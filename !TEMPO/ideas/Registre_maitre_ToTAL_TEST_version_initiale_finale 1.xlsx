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2.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1B86BD5E-099C-45A4-A616-59485F934FAA}" xr6:coauthVersionLast="47" xr6:coauthVersionMax="47" xr10:uidLastSave="{00000000-0000-0000-0000-000000000000}"/>
  <bookViews>
    <workbookView xWindow="0" yWindow="0" windowWidth="0" windowHeight="0" xr2:uid="{00000000-000D-0000-FFFF-FFFF00000000}"/>
  </bookViews>
  <sheets>
    <sheet name="Commencer ici" sheetId="1" r:id="rId1"/>
    <sheet name="Synthèse réconciliations" sheetId="2" r:id="rId2"/>
    <sheet name="Lisez-moi" sheetId="3" r:id="rId3"/>
    <sheet name="Pilotage primaire" sheetId="4" r:id="rId4"/>
    <sheet name="Registre expressions" sheetId="5" r:id="rId5"/>
    <sheet name="Réconciliation source" sheetId="6" r:id="rId6"/>
    <sheet name="Audit intégrité registre" sheetId="7" r:id="rId7"/>
    <sheet name="États et décisions" sheetId="8" r:id="rId8"/>
    <sheet name="Audit des accomplissements" sheetId="9" r:id="rId9"/>
    <sheet name="À faire ToTAL" sheetId="10" r:id="rId10"/>
    <sheet name="Axiomes ToTAL" sheetId="11" r:id="rId11"/>
    <sheet name="Termes canoniques" sheetId="12" r:id="rId12"/>
    <sheet name="Phases ToTAL" sheetId="13" r:id="rId13"/>
    <sheet name="Documentation et modèles" sheetId="14" r:id="rId14"/>
    <sheet name="Contrat Validation" sheetId="15" r:id="rId15"/>
    <sheet name="Relations canoniques" sheetId="16" r:id="rId16"/>
    <sheet name="Constats consolidés" sheetId="17" r:id="rId17"/>
    <sheet name="Contexte de validation" sheetId="18" r:id="rId18"/>
    <sheet name="Chaîne qualimétrique" sheetId="19" r:id="rId19"/>
    <sheet name="Métataxonomie métriques" sheetId="20" r:id="rId20"/>
    <sheet name="Principes de mesure" sheetId="21" r:id="rId21"/>
    <sheet name="Termes qualimétrie" sheetId="22" r:id="rId22"/>
    <sheet name="Relations termes-métriques" sheetId="23" r:id="rId23"/>
    <sheet name="Registre des métriques" sheetId="24" r:id="rId24"/>
    <sheet name="Convergence produit" sheetId="25" r:id="rId25"/>
    <sheet name="Gouvernance métriques outils" sheetId="26" r:id="rId26"/>
    <sheet name="Préalables conditionnels" sheetId="27" r:id="rId27"/>
    <sheet name="Couverture détaillée" sheetId="28" r:id="rId28"/>
    <sheet name="Qualification métriques" sheetId="29" r:id="rId29"/>
    <sheet name="Portrait qualimétrique" sheetId="30" r:id="rId30"/>
    <sheet name="Interfaces applicatives" sheetId="31" r:id="rId31"/>
    <sheet name="Modèles opérationnels" sheetId="32" r:id="rId32"/>
    <sheet name="Pilotage opérationnel" sheetId="33" r:id="rId33"/>
    <sheet name="Matrice couverture locale" sheetId="34" r:id="rId34"/>
    <sheet name="Backlog automatisation" sheetId="35" r:id="rId35"/>
    <sheet name="Validations manuelles" sheetId="36" r:id="rId36"/>
    <sheet name="Registre usages IA" sheetId="37" r:id="rId37"/>
    <sheet name="Carte Validation phases" sheetId="38" r:id="rId38"/>
    <sheet name="Référentiels saisie" sheetId="39" r:id="rId39"/>
  </sheets>
  <definedNames>
    <definedName name="_xlnm._FilterDatabase" localSheetId="33" hidden="1">'Matrice couverture locale'!$A$4:$R$505</definedName>
    <definedName name="_xlnm._FilterDatabase" localSheetId="34" hidden="1">'Backlog automatisation'!$A$4:$V$505</definedName>
    <definedName name="_xlnm._FilterDatabase" localSheetId="35" hidden="1">'Validations manuelles'!$A$4:$O$505</definedName>
    <definedName name="_xlnm._FilterDatabase" localSheetId="36" hidden="1">'Registre usages IA'!$A$4:$V$505</definedName>
    <definedName name="_xlnm._FilterDatabase" localSheetId="37" hidden="1">'Carte Validation phases'!$A$4:$P$505</definedName>
    <definedName name="Liste_01">'Référentiels saisie'!$A$5:$A$11</definedName>
    <definedName name="Liste_02">'Référentiels saisie'!$B$5:$B$7</definedName>
    <definedName name="Liste_03">'Référentiels saisie'!$C$5:$C$8</definedName>
    <definedName name="Liste_04">'Référentiels saisie'!$D$5:$D$8</definedName>
    <definedName name="Liste_05">'Référentiels saisie'!$E$5:$E$8</definedName>
    <definedName name="Liste_06">'Référentiels saisie'!$F$5:$F$9</definedName>
    <definedName name="Liste_07">'Référentiels saisie'!$G$5:$G$9</definedName>
    <definedName name="Liste_08">'Référentiels saisie'!$H$5:$H$10</definedName>
    <definedName name="Liste_09">'Référentiels saisie'!$I$5:$I$8</definedName>
    <definedName name="Liste_10">'Référentiels saisie'!$J$5:$J$9</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33" l="1"/>
  <c r="B9" i="33"/>
  <c r="C8" i="33"/>
  <c r="B8" i="33"/>
  <c r="C7" i="33"/>
  <c r="B7" i="33"/>
  <c r="C6" i="33"/>
  <c r="B6" i="33"/>
  <c r="C5" i="33"/>
  <c r="B5"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365 Copilot</author>
    <author>M365 Copilot</author>
  </authors>
  <commentList>
    <comment ref="H25" authorId="0" shapeId="0" xr:uid="{00000000-0006-0000-0400-000001000000}">
      <text>
        <r>
          <rPr>
            <sz val="11"/>
            <color theme="1"/>
            <rFont val="Calibri"/>
            <family val="2"/>
            <scheme val="minor"/>
          </rPr>
          <t>Soutien terminologique externe :
https://justqa.pro/blog/device-presets-testing
https://kulshekhar.github.io/ts-jest/docs/getting-started/presets
Ces sources soutiennent l’usage de preset pour des configurations prédéfinies et réutilisables. La définition générale et la réconciliation relèvent du cadre ToTAL et du besoin source fourni par l’utilisateur.</t>
        </r>
      </text>
    </comment>
    <comment ref="H31" authorId="0" shapeId="0" xr:uid="{00000000-0006-0000-0400-000002000000}">
      <text>
        <r>
          <rPr>
            <sz val="11"/>
            <color theme="1"/>
            <rFont val="Calibri"/>
            <family val="2"/>
            <scheme val="minor"/>
          </rPr>
          <t>Sources de soutien externe :
https://nightwatchjs.org/guide/writing-tests/visual-regression-testing.html
https://main.vitest.dev/guide/browser/visual-regression-testing
Décision et réconciliation : cadre ToTAL.</t>
        </r>
      </text>
    </comment>
    <comment ref="H32" authorId="0" shapeId="0" xr:uid="{00000000-0006-0000-0400-000003000000}">
      <text>
        <r>
          <rPr>
            <sz val="11"/>
            <color theme="1"/>
            <rFont val="Calibri"/>
            <family val="2"/>
            <scheme val="minor"/>
          </rPr>
          <t>Sources de soutien externe :
https://qapractices.com/documentation/visual-regression-testing-guide/
https://www.diffquery.com/guide/visual-regression-testing-with-screenshot-comparison
Décision et réconciliation : cadre ToTAL.</t>
        </r>
      </text>
    </comment>
    <comment ref="H34" authorId="0" shapeId="0" xr:uid="{00000000-0006-0000-0400-000004000000}">
      <text>
        <r>
          <rPr>
            <sz val="11"/>
            <color theme="1"/>
            <rFont val="Calibri"/>
            <family val="2"/>
            <scheme val="minor"/>
          </rPr>
          <t>Sources de soutien externe :
https://www.browserstack.com/guide/test-environment
Décision et réconciliation : cadre ToTAL.</t>
        </r>
      </text>
    </comment>
    <comment ref="H49" authorId="0" shapeId="0" xr:uid="{00000000-0006-0000-0400-000005000000}">
      <text>
        <r>
          <rPr>
            <sz val="11"/>
            <color theme="1"/>
            <rFont val="Calibri"/>
            <family val="2"/>
            <scheme val="minor"/>
          </rPr>
          <t>Sources de soutien externe :
https://en.wikipedia.org/wiki/Software_release_life_cycle
https://testsigma.com/blog/software-release-life-cycle/
Décision et réconciliation : cadre ToTAL.</t>
        </r>
      </text>
    </comment>
    <comment ref="H50" authorId="0" shapeId="0" xr:uid="{00000000-0006-0000-0400-000006000000}">
      <text>
        <r>
          <rPr>
            <sz val="11"/>
            <color theme="1"/>
            <rFont val="Calibri"/>
            <family val="2"/>
            <scheme val="minor"/>
          </rPr>
          <t>Sources de soutien externe :
https://en.wikipedia.org/wiki/Software_release_life_cycle
https://testsigma.com/blog/software-release-life-cycle/
Décision et réconciliation : cadre ToTAL.</t>
        </r>
      </text>
    </comment>
    <comment ref="H51" authorId="0" shapeId="0" xr:uid="{00000000-0006-0000-0400-000007000000}">
      <text>
        <r>
          <rPr>
            <sz val="11"/>
            <color theme="1"/>
            <rFont val="Calibri"/>
            <family val="2"/>
            <scheme val="minor"/>
          </rPr>
          <t>Sources de soutien externe :
https://en.wikipedia.org/wiki/Software_release_life_cycle
https://testsigma.com/blog/software-release-life-cycle/
Décision et réconciliation : cadre ToTAL.</t>
        </r>
      </text>
    </comment>
    <comment ref="H52" authorId="0" shapeId="0" xr:uid="{00000000-0006-0000-0400-000008000000}">
      <text>
        <r>
          <rPr>
            <sz val="11"/>
            <color theme="1"/>
            <rFont val="Calibri"/>
            <family val="2"/>
            <scheme val="minor"/>
          </rPr>
          <t>Sources de soutien externe :
https://en.wikipedia.org/wiki/Software_release_life_cycle
https://testsigma.com/blog/software-release-life-cycle/
Décision et réconciliation : cadre ToTAL.</t>
        </r>
      </text>
    </comment>
    <comment ref="H53" authorId="0" shapeId="0" xr:uid="{00000000-0006-0000-0400-000009000000}">
      <text>
        <r>
          <rPr>
            <sz val="11"/>
            <color theme="1"/>
            <rFont val="Calibri"/>
            <family val="2"/>
            <scheme val="minor"/>
          </rPr>
          <t>Sources de soutien externe :
https://upstat.io/blog/synthetic-vs-real-user-monitoring
https://www.dynatrace.com/news/blog/real-user-monitoring-vs-synthetic-monitoring/
Les sources soutiennent la distinction entre monitoring synthétique actif, fondé sur des transactions scriptées et contrôlées, et RUM passif fondé sur les interactions réelles. L’extension à toutes les phases, la chaîne qualimétrique et la formulation finale relèvent du cadre ToTAL et de la décision de l’utilisateur.</t>
        </r>
      </text>
    </comment>
    <comment ref="H55" authorId="0" shapeId="0" xr:uid="{00000000-0006-0000-0400-00000A000000}">
      <text>
        <r>
          <rPr>
            <sz val="11"/>
            <color theme="1"/>
            <rFont val="Calibri"/>
            <family val="2"/>
            <scheme val="minor"/>
          </rPr>
          <t>Sources de soutien externe :
https://owasp.org/www-project-web-security-testing-guide/v41/3-The_OWASP_Testing_Framework/1-Penetration_Testing_Methodologies
https://www.sentinelone.com/cybersecurity-101/cybersecurity/vulnerability-testing-vs-penetration-testing/
Décision et réconciliation : cadre ToTAL.</t>
        </r>
      </text>
    </comment>
    <comment ref="H59" authorId="0" shapeId="0" xr:uid="{00000000-0006-0000-0400-00000B000000}">
      <text>
        <r>
          <rPr>
            <sz val="11"/>
            <color theme="1"/>
            <rFont val="Calibri"/>
            <family val="2"/>
            <scheme val="minor"/>
          </rPr>
          <t>Sources de soutien externe :
https://scrumexpansion.org/holistic-testing/
https://qadrive.com/blog/holistic-testing-model/
Ces sources soutiennent l’intégration des activités de qualité et de test tout au long du cycle de développement, avec apprentissage et responsabilité partagée. La formulation et la réconciliation finales relèvent du cadre ToTAL et de la décision de l’utilisateur.</t>
        </r>
      </text>
    </comment>
    <comment ref="H60" authorId="0" shapeId="0" xr:uid="{00000000-0006-0000-0400-00000C000000}">
      <text>
        <r>
          <rPr>
            <sz val="11"/>
            <color theme="1"/>
            <rFont val="Calibri"/>
            <family val="2"/>
            <scheme val="minor"/>
          </rPr>
          <t>Sources de soutien externe :
https://softwaretestpilot.com/istqb/glossary/reliability
https://softwaretestpilot.com/istqb/glossary/recoverability-testing
Décision et réconciliation : cadre ToTAL.</t>
        </r>
      </text>
    </comment>
    <comment ref="H61" authorId="0" shapeId="0" xr:uid="{00000000-0006-0000-0400-00000D000000}">
      <text>
        <r>
          <rPr>
            <sz val="11"/>
            <color theme="1"/>
            <rFont val="Calibri"/>
            <family val="2"/>
            <scheme val="minor"/>
          </rPr>
          <t>Sources de soutien externe :
https://softwaretestpilot.com/istqb/glossary/reliability
https://softwaretestpilot.com/istqb/glossary/recoverability-testing
Décision et réconciliation : cadre ToTAL.</t>
        </r>
      </text>
    </comment>
    <comment ref="H64" authorId="0" shapeId="0" xr:uid="{00000000-0006-0000-0400-00000E000000}">
      <text>
        <r>
          <rPr>
            <sz val="11"/>
            <color theme="1"/>
            <rFont val="Calibri"/>
            <family val="2"/>
            <scheme val="minor"/>
          </rPr>
          <t>Sources de soutien externe :
https://www.metricstream.com/learn/compliance-testing.html
https://www.canada.ca/en/health-canada/services/drugs-health-products/medical-devices/application-information/guidance-documents/using-standards-support-compliance-regulations.html
Les sources soutiennent que la conformité confronte un produit, système ou processus à des règlements, normes, exigences ou politiques déclarés. La formulation, les distinctions et les garde-fous finaux relèvent du cadre ToTAL.</t>
        </r>
      </text>
    </comment>
    <comment ref="H66" authorId="0" shapeId="0" xr:uid="{00000000-0006-0000-0400-00000F000000}">
      <text>
        <r>
          <rPr>
            <sz val="11"/>
            <color theme="1"/>
            <rFont val="Calibri"/>
            <family val="2"/>
            <scheme val="minor"/>
          </rPr>
          <t>Décision et réconciliation : cadre ToTAL.</t>
        </r>
      </text>
    </comment>
    <comment ref="H67" authorId="0" shapeId="0" xr:uid="{00000000-0006-0000-0400-000010000000}">
      <text>
        <r>
          <rPr>
            <sz val="11"/>
            <color theme="1"/>
            <rFont val="Calibri"/>
            <family val="2"/>
            <scheme val="minor"/>
          </rPr>
          <t>Sources de soutien externe :
https://www.softwaretestinghelp.com/localization-and-internationalization-testing/
https://www.wwt.com/blog/globalization-internationalization-and-localization-testing
Décision et réconciliation : cadre ToTAL.</t>
        </r>
      </text>
    </comment>
    <comment ref="H68" authorId="0" shapeId="0" xr:uid="{00000000-0006-0000-0400-000011000000}">
      <text>
        <r>
          <rPr>
            <sz val="11"/>
            <color theme="1"/>
            <rFont val="Calibri"/>
            <family val="2"/>
            <scheme val="minor"/>
          </rPr>
          <t>Sources de soutien externe :
https://softwaretestpilot.com/istqb/glossary/internationalization-testing
https://www.wwt.com/blog/globalization-internationalization-and-localization-testing
Décision et réconciliation : cadre ToTAL.</t>
        </r>
      </text>
    </comment>
    <comment ref="H70" authorId="0" shapeId="0" xr:uid="{00000000-0006-0000-0400-000012000000}">
      <text>
        <r>
          <rPr>
            <sz val="11"/>
            <color theme="1"/>
            <rFont val="Calibri"/>
            <family val="2"/>
            <scheme val="minor"/>
          </rPr>
          <t>Sources de soutien externe :
https://www.algolia.com/doc/guides/ab-testing/what-is-ab-testing/in-depth/how-traffic-splits-affect-results
https://docs.uniform.app/docs/knowledge-base/ensuring-accurate-traffic-splits-in-ab-testing
Décision et réconciliation : cadre ToTAL.</t>
        </r>
      </text>
    </comment>
    <comment ref="H79" authorId="0" shapeId="0" xr:uid="{00000000-0006-0000-0400-000013000000}">
      <text>
        <r>
          <rPr>
            <sz val="11"/>
            <color theme="1"/>
            <rFont val="Calibri"/>
            <family val="2"/>
            <scheme val="minor"/>
          </rPr>
          <t>Sources de soutien externe :
https://www.metricstream.com/learn/compliance-testing.html
https://www.canada.ca/en/health-canada/services/drugs-health-products/medical-devices/application-information/guidance-documents/using-standards-support-compliance-regulations.html
Les sources soutiennent que la conformité confronte un produit, système ou processus à des règlements, normes, exigences ou politiques déclarés. La formulation, les distinctions et les garde-fous finaux relèvent du cadre ToTAL.</t>
        </r>
      </text>
    </comment>
    <comment ref="H84" authorId="0" shapeId="0" xr:uid="{00000000-0006-0000-0400-000014000000}">
      <text>
        <r>
          <rPr>
            <sz val="11"/>
            <color theme="1"/>
            <rFont val="Calibri"/>
            <family val="2"/>
            <scheme val="minor"/>
          </rPr>
          <t>Sources de soutien externe : NIST AI Measurement and Evaluation; NIST AI Risk Management Framework Resource Center; Microsoft Foundry Observability in Generative AI; Microsoft groundedness detection; OWASP GenAI Prompt Injection. Ces sources soutiennent l’évaluation multidimensionnelle, l’ancrage, la sécurité, l’observabilité et la nécessité de qualifier les systèmes IA. La structure en trois faces, l’intégration à SDD et la formulation finale relèvent du cadre ToTAL et de la décision de l’utilisateur.</t>
        </r>
      </text>
    </comment>
    <comment ref="H91" authorId="0" shapeId="0" xr:uid="{00000000-0006-0000-0400-000015000000}">
      <text>
        <r>
          <rPr>
            <sz val="11"/>
            <color theme="1"/>
            <rFont val="Calibri"/>
            <family val="2"/>
            <scheme val="minor"/>
          </rPr>
          <t>Sources de soutien externe :
https://vitrinelinguistique.oqlf.gouv.qc.ca/fiche-gdt/fiche/8383426/cybermetrie
Décision et réconciliation : cadre ToTAL.</t>
        </r>
      </text>
    </comment>
    <comment ref="H100" authorId="0" shapeId="0" xr:uid="{00000000-0006-0000-0400-000016000000}">
      <text>
        <r>
          <rPr>
            <sz val="11"/>
            <color theme="1"/>
            <rFont val="Calibri"/>
            <family val="2"/>
            <scheme val="minor"/>
          </rPr>
          <t>Décision et réconciliation : cadre ToTAL.</t>
        </r>
      </text>
    </comment>
    <comment ref="H101" authorId="0" shapeId="0" xr:uid="{00000000-0006-0000-0400-000017000000}">
      <text>
        <r>
          <rPr>
            <sz val="11"/>
            <color theme="1"/>
            <rFont val="Calibri"/>
            <family val="2"/>
            <scheme val="minor"/>
          </rPr>
          <t>Décision et réconciliation : cadre ToTAL.</t>
        </r>
      </text>
    </comment>
    <comment ref="H102" authorId="0" shapeId="0" xr:uid="{00000000-0006-0000-0400-000018000000}">
      <text>
        <r>
          <rPr>
            <sz val="11"/>
            <color theme="1"/>
            <rFont val="Calibri"/>
            <family val="2"/>
            <scheme val="minor"/>
          </rPr>
          <t>Décision et réconciliation : cadre ToTAL.</t>
        </r>
      </text>
    </comment>
    <comment ref="H103" authorId="0" shapeId="0" xr:uid="{00000000-0006-0000-0400-000019000000}">
      <text>
        <r>
          <rPr>
            <sz val="11"/>
            <color theme="1"/>
            <rFont val="Calibri"/>
            <family val="2"/>
            <scheme val="minor"/>
          </rPr>
          <t>Sources de soutien externe :
https://developers.apideck.com/guides/field-mapping
https://www.adeptia.com/blog/api-data-mapping
Décision et réconciliation : cadre ToTAL.</t>
        </r>
      </text>
    </comment>
    <comment ref="H105" authorId="1" shapeId="0" xr:uid="{00000000-0006-0000-0400-00001A000000}">
      <text>
        <r>
          <rPr>
            <sz val="11"/>
            <color theme="1"/>
            <rFont val="Calibri"/>
            <family val="2"/>
            <scheme val="minor"/>
          </rPr>
          <t>Sources de soutien externe :
https://www.testmuai.com/learning-hub/test-scenario/
https://www.geeksforgeeks.org/software-testing/difference-between-test-case-and-scenarios/
Décision et réconciliation : cadre ToTAL.</t>
        </r>
      </text>
    </comment>
    <comment ref="H106" authorId="1" shapeId="0" xr:uid="{00000000-0006-0000-0400-00001B000000}">
      <text>
        <r>
          <rPr>
            <sz val="11"/>
            <color theme="1"/>
            <rFont val="Calibri"/>
            <family val="2"/>
            <scheme val="minor"/>
          </rPr>
          <t>Sources de soutien externe :
https://www.softwaretestinghelp.com/how-to-write-effective-test-cases-test-cases-procedures-and-definitions/
https://www.geeksforgeeks.org/software-testing/difference-between-test-case-and-scenarios/
Décision et réconciliation : cadre ToTAL.</t>
        </r>
      </text>
    </comment>
    <comment ref="H107" authorId="1" shapeId="0" xr:uid="{00000000-0006-0000-0400-00001C000000}">
      <text>
        <r>
          <rPr>
            <sz val="11"/>
            <color theme="1"/>
            <rFont val="Calibri"/>
            <family val="2"/>
            <scheme val="minor"/>
          </rPr>
          <t>Sources de soutien externe :
https://www.istqb.org/
Décision et réconciliation : cadre ToTAL.</t>
        </r>
      </text>
    </comment>
    <comment ref="H108" authorId="1" shapeId="0" xr:uid="{00000000-0006-0000-0400-00001D000000}">
      <text>
        <r>
          <rPr>
            <sz val="11"/>
            <color theme="1"/>
            <rFont val="Calibri"/>
            <family val="2"/>
            <scheme val="minor"/>
          </rPr>
          <t>Sources de soutien externe :
https://www.lyssna.com/guides/navigation-testing-guide/
https://uxarmy.com/blog/navigation-testing/
Décision et réconciliation : cadre ToTAL.</t>
        </r>
      </text>
    </comment>
    <comment ref="H114" authorId="0" shapeId="0" xr:uid="{00000000-0006-0000-0400-00001E000000}">
      <text>
        <r>
          <rPr>
            <sz val="11"/>
            <color theme="1"/>
            <rFont val="Calibri"/>
            <family val="2"/>
            <scheme val="minor"/>
          </rPr>
          <t>Sources de soutien externe : https://docs.sonarsource.com/sonarqube-server/10.6/user-guide/clean-as-you-code ; https://www.sonarsource.com/resources/library/static-code-analysis-using-sonarqube/
Décision finale : cadre ToTAL et précision de l’utilisateur.</t>
        </r>
      </text>
    </comment>
    <comment ref="H115" authorId="0" shapeId="0" xr:uid="{00000000-0006-0000-0400-00001F000000}">
      <text>
        <r>
          <rPr>
            <sz val="11"/>
            <color theme="1"/>
            <rFont val="Calibri"/>
            <family val="2"/>
            <scheme val="minor"/>
          </rPr>
          <t>Sources de soutien externe : https://www.toptal.com/designers/ia/guide-to-information-architecture ; https://web.mit.edu/6.813/www/sp17/classes/05-ui-sw-arch/
Portée multidimensionnelle et décision finale : cadre ToTAL et précision de l’utilisateur.</t>
        </r>
      </text>
    </comment>
    <comment ref="H116" authorId="0" shapeId="0" xr:uid="{00000000-0006-0000-0400-000020000000}">
      <text>
        <r>
          <rPr>
            <sz val="11"/>
            <color theme="1"/>
            <rFont val="Calibri"/>
            <family val="2"/>
            <scheme val="minor"/>
          </rPr>
          <t>Source de soutien externe : https://www.kapptivate.com/blog/test-frameworks-a-comprehensive-guide
Décision finale : cadre ToTAL et précision de l’utilisateur.</t>
        </r>
      </text>
    </comment>
    <comment ref="H117" authorId="0" shapeId="0" xr:uid="{00000000-0006-0000-0400-000021000000}">
      <text>
        <r>
          <rPr>
            <sz val="11"/>
            <color theme="1"/>
            <rFont val="Calibri"/>
            <family val="2"/>
            <scheme val="minor"/>
          </rPr>
          <t>Sources de soutien externe : https://testmatick.com/glossary/formal-documented-testing/ ; https://testsigma.com/blog/formal-testing/
Adoption complète avec amélioration continue : décision ToTAL de l’utilisateur.</t>
        </r>
      </text>
    </comment>
    <comment ref="H118" authorId="0" shapeId="0" xr:uid="{00000000-0006-0000-0400-000022000000}">
      <text>
        <r>
          <rPr>
            <sz val="11"/>
            <color theme="1"/>
            <rFont val="Calibri"/>
            <family val="2"/>
            <scheme val="minor"/>
          </rPr>
          <t>Sources de soutien externe :
https://nightwatchjs.org/guide/writing-tests/visual-regression-testing.html
https://main.vitest.dev/guide/browser/visual-regression-testing
Décision et réconciliation : cadre ToTAL.</t>
        </r>
      </text>
    </comment>
    <comment ref="H119" authorId="0" shapeId="0" xr:uid="{00000000-0006-0000-0400-000023000000}">
      <text>
        <r>
          <rPr>
            <sz val="11"/>
            <color theme="1"/>
            <rFont val="Calibri"/>
            <family val="2"/>
            <scheme val="minor"/>
          </rPr>
          <t>Sources de soutien externe :
https://blog.waleedkhan.name/testing-tui-apps/
https://testfort.com/blog/pos-testing-in-retail
Décision et réconciliation : cadre ToTAL.</t>
        </r>
      </text>
    </comment>
    <comment ref="H129" authorId="0" shapeId="0" xr:uid="{00000000-0006-0000-0400-000024000000}">
      <text>
        <r>
          <rPr>
            <sz val="11"/>
            <color theme="1"/>
            <rFont val="Calibri"/>
            <family val="2"/>
            <scheme val="minor"/>
          </rPr>
          <t>Décision et réconciliation : cadre ToTAL.</t>
        </r>
      </text>
    </comment>
    <comment ref="H132" authorId="0" shapeId="0" xr:uid="{00000000-0006-0000-0400-000025000000}">
      <text>
        <r>
          <rPr>
            <sz val="11"/>
            <color theme="1"/>
            <rFont val="Calibri"/>
            <family val="2"/>
            <scheme val="minor"/>
          </rPr>
          <t>Sources de soutien externe :
https://www.browserstack.com/guide/tdd-vs-bdd-vs-atdd
Décision et réconciliation : cadre ToTAL.</t>
        </r>
      </text>
    </comment>
    <comment ref="H133" authorId="0" shapeId="0" xr:uid="{00000000-0006-0000-0400-000026000000}">
      <text>
        <r>
          <rPr>
            <sz val="11"/>
            <color theme="1"/>
            <rFont val="Calibri"/>
            <family val="2"/>
            <scheme val="minor"/>
          </rPr>
          <t>Sources de soutien externe :
https://www.browserstack.com/guide/tdd-vs-bdd-vs-atdd
Décision et réconciliation : cadre ToTAL.</t>
        </r>
      </text>
    </comment>
    <comment ref="H134" authorId="0" shapeId="0" xr:uid="{00000000-0006-0000-0400-000027000000}">
      <text>
        <r>
          <rPr>
            <sz val="11"/>
            <color theme="1"/>
            <rFont val="Calibri"/>
            <family val="2"/>
            <scheme val="minor"/>
          </rPr>
          <t>Sources de soutien externe :
https://www.browserstack.com/guide/tdd-vs-bdd-vs-atdd
Décision et réconciliation : cadre ToTAL.</t>
        </r>
      </text>
    </comment>
    <comment ref="H135" authorId="0" shapeId="0" xr:uid="{00000000-0006-0000-0400-000028000000}">
      <text>
        <r>
          <rPr>
            <sz val="11"/>
            <color theme="1"/>
            <rFont val="Calibri"/>
            <family val="2"/>
            <scheme val="minor"/>
          </rPr>
          <t>Sources de soutien externe :
https://www.skiils.com/blog/les-tdd-bdd-ddd-expliques-a-tata
Décision et réconciliation : cadre ToTAL.</t>
        </r>
      </text>
    </comment>
    <comment ref="H136" authorId="0" shapeId="0" xr:uid="{00000000-0006-0000-0400-000029000000}">
      <text>
        <r>
          <rPr>
            <sz val="11"/>
            <color theme="1"/>
            <rFont val="Calibri"/>
            <family val="2"/>
            <scheme val="minor"/>
          </rPr>
          <t>Soutien terminologique externe :
https://en.wikipedia.org/wiki/PRINCE2
https://www.prince2.com/usa/blog/the-7-principles-themes-and-processes-of-prince2
Décision et réconciliation : cadre ToTAL.</t>
        </r>
      </text>
    </comment>
    <comment ref="H137" authorId="0" shapeId="0" xr:uid="{00000000-0006-0000-0400-00002A000000}">
      <text>
        <r>
          <rPr>
            <sz val="11"/>
            <color theme="1"/>
            <rFont val="Calibri"/>
            <family val="2"/>
            <scheme val="minor"/>
          </rPr>
          <t>Soutien terminologique externe :
https://www.pmi.org/standards/pmbok
https://en.wikipedia.org/wiki/Project_Management_Body_of_Knowledge
Décision et réconciliation : cadre ToTAL.</t>
        </r>
      </text>
    </comment>
    <comment ref="H141" authorId="0" shapeId="0" xr:uid="{00000000-0006-0000-0400-00002B000000}">
      <text>
        <r>
          <rPr>
            <sz val="11"/>
            <color theme="1"/>
            <rFont val="Calibri"/>
            <family val="2"/>
            <scheme val="minor"/>
          </rPr>
          <t>Décision et réconciliation : cadre ToTAL.</t>
        </r>
      </text>
    </comment>
    <comment ref="H148" authorId="0" shapeId="0" xr:uid="{00000000-0006-0000-0400-00002C000000}">
      <text>
        <r>
          <rPr>
            <sz val="11"/>
            <color theme="1"/>
            <rFont val="Calibri"/>
            <family val="2"/>
            <scheme val="minor"/>
          </rPr>
          <t>Sources de soutien externe :
https://www.testdevlab.com/blog/what-is-a-test-matrix-examples
Décision et réconciliation : cadre ToTAL.</t>
        </r>
      </text>
    </comment>
    <comment ref="H153" authorId="0" shapeId="0" xr:uid="{00000000-0006-0000-0400-00002D000000}">
      <text>
        <r>
          <rPr>
            <sz val="11"/>
            <color theme="1"/>
            <rFont val="Calibri"/>
            <family val="2"/>
            <scheme val="minor"/>
          </rPr>
          <t>Sources de soutien externe : les sources consultées sur la Validation de messages soutiennent la vérification de l’envoi, de la réception, du contenu intact et de la chaîne de livraison. La compréhension et l’interprétation correcte sont ajoutées selon la précision de l’utilisateur et le cadre ToTAL.</t>
        </r>
      </text>
    </comment>
    <comment ref="H159" authorId="0" shapeId="0" xr:uid="{00000000-0006-0000-0400-00002E000000}">
      <text>
        <r>
          <rPr>
            <sz val="11"/>
            <color theme="1"/>
            <rFont val="Calibri"/>
            <family val="2"/>
            <scheme val="minor"/>
          </rPr>
          <t>Sources de soutien externe :
https://webdriver.io/blog/2024/03/20/snapshot-testing/
https://delta-qa.com/fr/blog/dom-vs-comparaison-visuelle-differences/
Décision et réconciliation : cadre ToTAL.</t>
        </r>
      </text>
    </comment>
    <comment ref="H160" authorId="0" shapeId="0" xr:uid="{00000000-0006-0000-0400-00002F000000}">
      <text>
        <r>
          <rPr>
            <sz val="11"/>
            <color theme="1"/>
            <rFont val="Calibri"/>
            <family val="2"/>
            <scheme val="minor"/>
          </rPr>
          <t>Décision et réconciliation : cadre ToTAL.</t>
        </r>
      </text>
    </comment>
    <comment ref="H161" authorId="0" shapeId="0" xr:uid="{00000000-0006-0000-0400-000030000000}">
      <text>
        <r>
          <rPr>
            <sz val="11"/>
            <color theme="1"/>
            <rFont val="Calibri"/>
            <family val="2"/>
            <scheme val="minor"/>
          </rPr>
          <t>Décision et réconciliation : cadre ToTAL.</t>
        </r>
      </text>
    </comment>
    <comment ref="H162" authorId="0" shapeId="0" xr:uid="{00000000-0006-0000-0400-000031000000}">
      <text>
        <r>
          <rPr>
            <sz val="11"/>
            <color theme="1"/>
            <rFont val="Calibri"/>
            <family val="2"/>
            <scheme val="minor"/>
          </rPr>
          <t>Source de soutien externe : https://www.geeksforgeeks.org/software-engineering/state-transition-testing/ soutient la Validation des états initiaux, intermédiaires et finaux ainsi que des transitions valides et invalides. Le terme normalisé et la portée produit relèvent du cadre ToTAL.</t>
        </r>
      </text>
    </comment>
    <comment ref="H163" authorId="0" shapeId="0" xr:uid="{00000000-0006-0000-0400-000032000000}">
      <text>
        <r>
          <rPr>
            <sz val="11"/>
            <color theme="1"/>
            <rFont val="Calibri"/>
            <family val="2"/>
            <scheme val="minor"/>
          </rPr>
          <t>Sources de soutien externe : les sources distinguent UAT, qui valide les exigences métier et les workflows, de l’Usability testing, qui évalue facilité, efficacité et expérience. La définition End User Testing et sa distinction finale relèvent du cadre ToTAL et de la précision de l’utilisateur.</t>
        </r>
      </text>
    </comment>
    <comment ref="H164" authorId="0" shapeId="0" xr:uid="{00000000-0006-0000-0400-000033000000}">
      <text>
        <r>
          <rPr>
            <sz val="11"/>
            <color theme="1"/>
            <rFont val="Calibri"/>
            <family val="2"/>
            <scheme val="minor"/>
          </rPr>
          <t>Décision et réconciliation : cadre ToTAL.</t>
        </r>
      </text>
    </comment>
    <comment ref="H165" authorId="0" shapeId="0" xr:uid="{00000000-0006-0000-0400-000034000000}">
      <text>
        <r>
          <rPr>
            <sz val="11"/>
            <color theme="1"/>
            <rFont val="Calibri"/>
            <family val="2"/>
            <scheme val="minor"/>
          </rPr>
          <t>Sources de soutien externe :
https://nightwatchjs.org/guide/writing-tests/visual-regression-testing.html
https://main.vitest.dev/guide/browser/visual-regression-testing
Décision et réconciliation : cadre ToTAL.</t>
        </r>
      </text>
    </comment>
    <comment ref="H167" authorId="0" shapeId="0" xr:uid="{00000000-0006-0000-0400-000035000000}">
      <text>
        <r>
          <rPr>
            <sz val="11"/>
            <color theme="1"/>
            <rFont val="Calibri"/>
            <family val="2"/>
            <scheme val="minor"/>
          </rPr>
          <t>Sources de soutien externe :
https://csrc.nist.gov/pubs/sp/800/88/r1/final
Décision et réconciliation : cadre ToTAL.</t>
        </r>
      </text>
    </comment>
    <comment ref="H181" authorId="0" shapeId="0" xr:uid="{00000000-0006-0000-0400-000036000000}">
      <text>
        <r>
          <rPr>
            <sz val="11"/>
            <color theme="1"/>
            <rFont val="Calibri"/>
            <family val="2"/>
            <scheme val="minor"/>
          </rPr>
          <t>Décision et réconciliation : cadre ToTAL.</t>
        </r>
      </text>
    </comment>
    <comment ref="H186" authorId="0" shapeId="0" xr:uid="{00000000-0006-0000-0400-000037000000}">
      <text>
        <r>
          <rPr>
            <sz val="11"/>
            <color theme="1"/>
            <rFont val="Calibri"/>
            <family val="2"/>
            <scheme val="minor"/>
          </rPr>
          <t>Sources de soutien externe :
https://www.geeksforgeeks.org/software-engineering/age-testing-in-software/
https://www.testingdocs.com/defect-age-metric/
Décision et réconciliation : cadre ToTAL.</t>
        </r>
      </text>
    </comment>
    <comment ref="H193" authorId="0" shapeId="0" xr:uid="{00000000-0006-0000-0400-000038000000}">
      <text>
        <r>
          <rPr>
            <sz val="11"/>
            <color theme="1"/>
            <rFont val="Calibri"/>
            <family val="2"/>
            <scheme val="minor"/>
          </rPr>
          <t>Source de soutien externe : Backward Compatibility Testing vérifie qu’une nouvelle version demeure compatible avec les versions antérieures, incluant données, API, GUI et fonctionnalités. La branche Backward Traceability est une décision ToTAL à documenter selon l’intention source.</t>
        </r>
      </text>
    </comment>
    <comment ref="H194" authorId="0" shapeId="0" xr:uid="{00000000-0006-0000-0400-000039000000}">
      <text>
        <r>
          <rPr>
            <sz val="11"/>
            <color theme="1"/>
            <rFont val="Calibri"/>
            <family val="2"/>
            <scheme val="minor"/>
          </rPr>
          <t>Sources de soutien externe :
https://www.tricentis.com/learn/big-bang-testing
https://www.geeksforgeeks.org/software-testing/big-bang-integration-testing/
Décision et réconciliation : cadre ToTAL.</t>
        </r>
      </text>
    </comment>
    <comment ref="H195" authorId="0" shapeId="0" xr:uid="{00000000-0006-0000-0400-00003A000000}">
      <text>
        <r>
          <rPr>
            <sz val="11"/>
            <color theme="1"/>
            <rFont val="Calibri"/>
            <family val="2"/>
            <scheme val="minor"/>
          </rPr>
          <t>Sources de soutien externe :
https://www.itpathsolutions.com/software-update-vs-software-upgrade
https://techsheva.com/software-update-vs-upgrade/
Décision et réconciliation : cadre ToTAL.</t>
        </r>
      </text>
    </comment>
    <comment ref="H196" authorId="0" shapeId="0" xr:uid="{00000000-0006-0000-0400-00003B000000}">
      <text>
        <r>
          <rPr>
            <sz val="11"/>
            <color theme="1"/>
            <rFont val="Calibri"/>
            <family val="2"/>
            <scheme val="minor"/>
          </rPr>
          <t>Sources de soutien externe :
https://www.itpathsolutions.com/software-update-vs-software-upgrade
https://techsheva.com/software-update-vs-upgrade/
Décision et réconciliation : cadre ToTAL.</t>
        </r>
      </text>
    </comment>
    <comment ref="H197" authorId="0" shapeId="0" xr:uid="{00000000-0006-0000-0400-00003C000000}">
      <text>
        <r>
          <rPr>
            <sz val="11"/>
            <color theme="1"/>
            <rFont val="Calibri"/>
            <family val="2"/>
            <scheme val="minor"/>
          </rPr>
          <t>Sources de soutien externe : Branch/Decision testing couvre les issues vrai et faux d’une décision. L’extension aux règles SI/ALORS, BPMN et modèles produit découle de la précision de l’utilisateur et du cadre ToTAL.</t>
        </r>
      </text>
    </comment>
    <comment ref="H198" authorId="0" shapeId="0" xr:uid="{00000000-0006-0000-0400-00003D000000}">
      <text>
        <r>
          <rPr>
            <sz val="11"/>
            <color theme="1"/>
            <rFont val="Calibri"/>
            <family val="2"/>
            <scheme val="minor"/>
          </rPr>
          <t>Sources de soutien externe :
https://glossary.istqb.org/en_US/term/portability
Décision et réconciliation : cadre ToTAL.</t>
        </r>
      </text>
    </comment>
    <comment ref="H199" authorId="0" shapeId="0" xr:uid="{00000000-0006-0000-0400-00003E000000}">
      <text>
        <r>
          <rPr>
            <sz val="11"/>
            <color theme="1"/>
            <rFont val="Calibri"/>
            <family val="2"/>
            <scheme val="minor"/>
          </rPr>
          <t>Source de soutien externe : la recherche consultée rapproche longevity testing de soak/endurance testing pour la performance et la stabilité prolongées. L’extension à la croissance des données, aux dépendances, à la maintenabilité et à CARE relève de la précision de l’utilisateur et du cadre ToTAL.</t>
        </r>
      </text>
    </comment>
    <comment ref="H209" authorId="0" shapeId="0" xr:uid="{00000000-0006-0000-0400-00003F000000}">
      <text>
        <r>
          <rPr>
            <sz val="11"/>
            <color theme="1"/>
            <rFont val="Calibri"/>
            <family val="2"/>
            <scheme val="minor"/>
          </rPr>
          <t>Décision et réconciliation : cadre ToTAL.</t>
        </r>
      </text>
    </comment>
    <comment ref="H216" authorId="0" shapeId="0" xr:uid="{00000000-0006-0000-0400-000040000000}">
      <text>
        <r>
          <rPr>
            <sz val="11"/>
            <color theme="1"/>
            <rFont val="Calibri"/>
            <family val="2"/>
            <scheme val="minor"/>
          </rPr>
          <t>Sources de soutien externe :
https://istqb.org/certifications/certified-tester-performance-testing-ct-pt/
https://sqadojo.com/learning-hub/categories/performance-testing
Décision et réconciliation : cadre ToTAL.</t>
        </r>
      </text>
    </comment>
    <comment ref="H219" authorId="0" shapeId="0" xr:uid="{00000000-0006-0000-0400-000041000000}">
      <text>
        <r>
          <rPr>
            <sz val="11"/>
            <color theme="1"/>
            <rFont val="Calibri"/>
            <family val="2"/>
            <scheme val="minor"/>
          </rPr>
          <t>Sources de soutien externe :
https://softwaretestpilot.com/istqb/glossary/reliability
https://softwaretestpilot.com/istqb/glossary/recoverability-testing
Décision et réconciliation : cadre ToTAL.</t>
        </r>
      </text>
    </comment>
    <comment ref="H220" authorId="0" shapeId="0" xr:uid="{00000000-0006-0000-0400-000042000000}">
      <text>
        <r>
          <rPr>
            <sz val="11"/>
            <color theme="1"/>
            <rFont val="Calibri"/>
            <family val="2"/>
            <scheme val="minor"/>
          </rPr>
          <t>Sources de soutien externe :
https://en.wikipedia.org/wiki/Fuzzing
https://www.geeksforgeeks.org/software-engineering/software-testing-fuzz-testing/
Décision et réconciliation : cadre ToTAL.</t>
        </r>
      </text>
    </comment>
    <comment ref="H221" authorId="0" shapeId="0" xr:uid="{00000000-0006-0000-0400-000043000000}">
      <text>
        <r>
          <rPr>
            <sz val="11"/>
            <color theme="1"/>
            <rFont val="Calibri"/>
            <family val="2"/>
            <scheme val="minor"/>
          </rPr>
          <t>Sources de soutien externe :
https://mastersoftwaretesting.com/testing-fundamentals/types-of-testing/specialized-testing/globalization-testing
https://testsigma.com/guides/globalization-testing/
Décision et réconciliation : cadre ToTAL.</t>
        </r>
      </text>
    </comment>
    <comment ref="H223" authorId="0" shapeId="0" xr:uid="{00000000-0006-0000-0400-000044000000}">
      <text>
        <r>
          <rPr>
            <sz val="11"/>
            <color theme="1"/>
            <rFont val="Calibri"/>
            <family val="2"/>
            <scheme val="minor"/>
          </rPr>
          <t>Sources de soutien externe :
https://istqb.org/certifications/certified-tester-performance-testing-ct-pt/
https://sqadojo.com/learning-hub/categories/performance-testing
Décision et réconciliation : cadre ToTAL.</t>
        </r>
      </text>
    </comment>
    <comment ref="H231" authorId="0" shapeId="0" xr:uid="{00000000-0006-0000-0400-000045000000}">
      <text>
        <r>
          <rPr>
            <sz val="11"/>
            <color theme="1"/>
            <rFont val="Calibri"/>
            <family val="2"/>
            <scheme val="minor"/>
          </rPr>
          <t>Sources de soutien externe : https://betterqa.co/positive-negative-testing/ ; https://www.guru99.com/positive-and-negative-testing.html . Les sources distinguent conditions valides et attendues des entrées invalides ou inattendues. La formulation finale, les collisions et les garde-fous relèvent du cadre ToTAL.</t>
        </r>
      </text>
    </comment>
    <comment ref="H232" authorId="0" shapeId="0" xr:uid="{00000000-0006-0000-0400-000046000000}">
      <text>
        <r>
          <rPr>
            <sz val="11"/>
            <color theme="1"/>
            <rFont val="Calibri"/>
            <family val="2"/>
            <scheme val="minor"/>
          </rPr>
          <t>Sources de soutien externe : https://betterqa.co/positive-negative-testing/ ; https://www.guru99.com/positive-and-negative-testing.html . Les sources distinguent conditions valides et attendues des entrées invalides ou inattendues. La formulation finale, les collisions et les garde-fous relèvent du cadre ToTAL.</t>
        </r>
      </text>
    </comment>
    <comment ref="H240" authorId="0" shapeId="0" xr:uid="{00000000-0006-0000-0400-000047000000}">
      <text>
        <r>
          <rPr>
            <sz val="11"/>
            <color theme="1"/>
            <rFont val="Calibri"/>
            <family val="2"/>
            <scheme val="minor"/>
          </rPr>
          <t>Sources de soutien externe : Mutation testing introduit de petites modifications dans un programme; les tests qui détectent le changement tuent le mutant. Décision finale : cadre ToTAL.</t>
        </r>
      </text>
    </comment>
    <comment ref="H243" authorId="0" shapeId="0" xr:uid="{00000000-0006-0000-0400-000048000000}">
      <text>
        <r>
          <rPr>
            <sz val="11"/>
            <color theme="1"/>
            <rFont val="Calibri"/>
            <family val="2"/>
            <scheme val="minor"/>
          </rPr>
          <t>Sources de soutien externe :
https://www.softwaretestinghelp.com/localization-and-internationalization-testing/
https://www.wwt.com/blog/globalization-internationalization-and-localization-testing
Décision et réconciliation : cadre ToTAL.</t>
        </r>
      </text>
    </comment>
    <comment ref="H246" authorId="0" shapeId="0" xr:uid="{00000000-0006-0000-0400-000049000000}">
      <text>
        <r>
          <rPr>
            <sz val="11"/>
            <color theme="1"/>
            <rFont val="Calibri"/>
            <family val="2"/>
            <scheme val="minor"/>
          </rPr>
          <t>Ordre d’exécution : https://docs.junit.org/6.1.3/writing-tests/test-execution-order.html
Décision terminologique Suite versus Set : cadre ToTAL et précision de l’utilisateur.</t>
        </r>
      </text>
    </comment>
    <comment ref="H251" authorId="0" shapeId="0" xr:uid="{00000000-0006-0000-0400-00004A000000}">
      <text>
        <r>
          <rPr>
            <sz val="11"/>
            <color theme="1"/>
            <rFont val="Calibri"/>
            <family val="2"/>
            <scheme val="minor"/>
          </rPr>
          <t>Sources de soutien externe :
https://learn.microsoft.com/en-us/azure/devops/pipelines/process/environments
Décision et réconciliation : cadre ToTAL.</t>
        </r>
      </text>
    </comment>
    <comment ref="H252" authorId="0" shapeId="0" xr:uid="{00000000-0006-0000-0400-00004B000000}">
      <text>
        <r>
          <rPr>
            <sz val="11"/>
            <color theme="1"/>
            <rFont val="Calibri"/>
            <family val="2"/>
            <scheme val="minor"/>
          </rPr>
          <t>Sources de soutien externe :
https://softwaretestpilot.com/istqb/glossary/reliability
https://softwaretestpilot.com/istqb/glossary/recoverability-testing
Décision et réconciliation : cadre ToTAL.</t>
        </r>
      </text>
    </comment>
    <comment ref="H255" authorId="0" shapeId="0" xr:uid="{00000000-0006-0000-0400-00004C000000}">
      <text>
        <r>
          <rPr>
            <sz val="11"/>
            <color theme="1"/>
            <rFont val="Calibri"/>
            <family val="2"/>
            <scheme val="minor"/>
          </rPr>
          <t>Sources de soutien externe :
https://istqb.org/certifications/certified-tester-performance-testing-ct-pt/
https://sqadojo.com/learning-hub/categories/performance-testing
Décision et réconciliation : cadre ToTAL.</t>
        </r>
      </text>
    </comment>
    <comment ref="H257" authorId="0" shapeId="0" xr:uid="{00000000-0006-0000-0400-00004D000000}">
      <text>
        <r>
          <rPr>
            <sz val="11"/>
            <color theme="1"/>
            <rFont val="Calibri"/>
            <family val="2"/>
            <scheme val="minor"/>
          </rPr>
          <t>Sources de soutien externe :
https://softwaretestpilot.com/istqb/glossary/reliability
https://softwaretestpilot.com/istqb/glossary/recoverability-testing
Décision et réconciliation : cadre ToTAL.</t>
        </r>
      </text>
    </comment>
    <comment ref="H258" authorId="0" shapeId="0" xr:uid="{00000000-0006-0000-0400-00004E000000}">
      <text>
        <r>
          <rPr>
            <sz val="11"/>
            <color theme="1"/>
            <rFont val="Calibri"/>
            <family val="2"/>
            <scheme val="minor"/>
          </rPr>
          <t>Sources de soutien externe :
https://istqb.org/certifications/certified-tester-performance-testing-ct-pt/
https://sqadojo.com/learning-hub/categories/performance-testing
Décision et réconciliation : cadre ToTAL.</t>
        </r>
      </text>
    </comment>
    <comment ref="H262" authorId="0" shapeId="0" xr:uid="{00000000-0006-0000-0400-00004F000000}">
      <text>
        <r>
          <rPr>
            <sz val="11"/>
            <color theme="1"/>
            <rFont val="Calibri"/>
            <family val="2"/>
            <scheme val="minor"/>
          </rPr>
          <t>Sources de soutien externe :
https://istqb.org/certifications/certified-tester-performance-testing-ct-pt/
https://sqadojo.com/learning-hub/categories/performance-testing
Décision et réconciliation : cadre ToTAL.</t>
        </r>
      </text>
    </comment>
    <comment ref="H263" authorId="0" shapeId="0" xr:uid="{00000000-0006-0000-0400-000050000000}">
      <text>
        <r>
          <rPr>
            <sz val="11"/>
            <color theme="1"/>
            <rFont val="Calibri"/>
            <family val="2"/>
            <scheme val="minor"/>
          </rPr>
          <t>Sources de soutien externe :
https://owasp.org/www-project-web-security-testing-guide/v41/3-The_OWASP_Testing_Framework/1-Penetration_Testing_Methodologies
https://www.sentinelone.com/cybersecurity-101/cybersecurity/vulnerability-testing-vs-penetration-testing/
Décision et réconciliation : cadre ToTAL.</t>
        </r>
      </text>
    </comment>
    <comment ref="H266" authorId="0" shapeId="0" xr:uid="{00000000-0006-0000-0400-000051000000}">
      <text>
        <r>
          <rPr>
            <sz val="11"/>
            <color theme="1"/>
            <rFont val="Calibri"/>
            <family val="2"/>
            <scheme val="minor"/>
          </rPr>
          <t>Source : https://www.iso.org/standard/63500.html</t>
        </r>
      </text>
    </comment>
    <comment ref="H269" authorId="0" shapeId="0" xr:uid="{00000000-0006-0000-0400-000052000000}">
      <text>
        <r>
          <rPr>
            <sz val="11"/>
            <color theme="1"/>
            <rFont val="Calibri"/>
            <family val="2"/>
            <scheme val="minor"/>
          </rPr>
          <t>Source : https://qapractices.com/test-cases/sitemap-robots-txt-validation-test-cases/</t>
        </r>
      </text>
    </comment>
    <comment ref="H272" authorId="0" shapeId="0" xr:uid="{00000000-0006-0000-0400-000053000000}">
      <text>
        <r>
          <rPr>
            <sz val="11"/>
            <color theme="1"/>
            <rFont val="Calibri"/>
            <family val="2"/>
            <scheme val="minor"/>
          </rPr>
          <t>Sources de soutien externe :
https://istqb.org/certifications/certified-tester-performance-testing-ct-pt/
https://sqadojo.com/learning-hub/categories/performance-testing
Décision et réconciliation : cadre ToTAL.</t>
        </r>
      </text>
    </comment>
    <comment ref="H273" authorId="0" shapeId="0" xr:uid="{00000000-0006-0000-0400-000054000000}">
      <text>
        <r>
          <rPr>
            <sz val="11"/>
            <color theme="1"/>
            <rFont val="Calibri"/>
            <family val="2"/>
            <scheme val="minor"/>
          </rPr>
          <t>Sources de soutien externe : https://en.wikipedia.org/wiki/Chaos_engineering ; https://chaostoolkit.org/
Ces sources soutiennent l’expérimentation contrôlée visant à découvrir les faiblesses. Le nom Shakeout et la réconciliation finale relèvent du cadre ToTAL et de la précision de l’utilisateur.</t>
        </r>
      </text>
    </comment>
    <comment ref="H274" authorId="0" shapeId="0" xr:uid="{00000000-0006-0000-0400-000055000000}">
      <text>
        <r>
          <rPr>
            <sz val="11"/>
            <color theme="1"/>
            <rFont val="Calibri"/>
            <family val="2"/>
            <scheme val="minor"/>
          </rPr>
          <t>Sources de soutien externe : https://stephaniewalter.design/blog/neurodiversity-and-ux-essential-resources-for-cognitive-accessibility/ ; https://accessiblemindstech.com/neurodiversity-focused-testing-criteria-a-guide-for-accessibility-testers/
Décision et réconciliation : cadre ToTAL.</t>
        </r>
      </text>
    </comment>
    <comment ref="H275" authorId="0" shapeId="0" xr:uid="{00000000-0006-0000-0400-000056000000}">
      <text>
        <r>
          <rPr>
            <sz val="11"/>
            <color theme="1"/>
            <rFont val="Calibri"/>
            <family val="2"/>
            <scheme val="minor"/>
          </rPr>
          <t>Source de soutien externe : https://stephaniewalter.design/blog/neurodiversity-and-ux-essential-resources-for-cognitive-accessibility/
Décision et réconciliation : cadre ToTAL.</t>
        </r>
      </text>
    </comment>
    <comment ref="H276" authorId="0" shapeId="0" xr:uid="{00000000-0006-0000-0400-000057000000}">
      <text>
        <r>
          <rPr>
            <sz val="11"/>
            <color theme="1"/>
            <rFont val="Calibri"/>
            <family val="2"/>
            <scheme val="minor"/>
          </rPr>
          <t>Source de soutien externe : https://stephaniewalter.design/blog/neurodiversity-and-ux-essential-resources-for-cognitive-accessibility/
Décision et réconciliation : cadre ToTAL.</t>
        </r>
      </text>
    </comment>
    <comment ref="H278" authorId="0" shapeId="0" xr:uid="{00000000-0006-0000-0400-000058000000}">
      <text>
        <r>
          <rPr>
            <sz val="11"/>
            <color theme="1"/>
            <rFont val="Calibri"/>
            <family val="2"/>
            <scheme val="minor"/>
          </rPr>
          <t>Sources soutenant Fuzz testing : https://github.com/resources/articles/what-is-fuzz-testing ; https://en.wikipedia.org/wiki/Fuzzing
La recherche n’a pas établi Buzz testing comme terme distinct. Décision : alias probable de Fuzz testing, avec provenance conservée.</t>
        </r>
      </text>
    </comment>
    <comment ref="H281" authorId="0" shapeId="0" xr:uid="{00000000-0006-0000-0400-000059000000}">
      <text>
        <r>
          <rPr>
            <sz val="11"/>
            <color theme="1"/>
            <rFont val="Calibri"/>
            <family val="2"/>
            <scheme val="minor"/>
          </rPr>
          <t>Soutien externe : AWS décrit le traffic mirroring comme la duplication des requêtes de production vers un environnement de test, la réponse de la version miroir étant écartée; InfoQ décrit également l'exécution parallèle dans un environnement shadow. La définition transversale finale, incluant transformation, synchronisation et interface réfléchie, découle de la recherche fournie par l'utilisateur et du cadre ToTAL.</t>
        </r>
      </text>
    </comment>
    <comment ref="H282" authorId="0" shapeId="0" xr:uid="{00000000-0006-0000-0400-00005A000000}">
      <text>
        <r>
          <rPr>
            <sz val="11"/>
            <color theme="1"/>
            <rFont val="Calibri"/>
            <family val="2"/>
            <scheme val="minor"/>
          </rPr>
          <t>Sources de soutien externe :
https://www.browserstack.com/cross-browser-testing
https://www.browserstack.com/guide/cross-platform-testing-tools
Décision et réconciliation : cadre ToTAL.</t>
        </r>
      </text>
    </comment>
    <comment ref="H283" authorId="0" shapeId="0" xr:uid="{00000000-0006-0000-0400-00005B000000}">
      <text>
        <r>
          <rPr>
            <sz val="11"/>
            <color theme="1"/>
            <rFont val="Calibri"/>
            <family val="2"/>
            <scheme val="minor"/>
          </rPr>
          <t>Sources de soutien externe :
https://www.browserstack.com/cross-browser-testing
https://www.browserstack.com/guide/cross-platform-testing-tools
Décision et réconciliation : cadre ToTAL.</t>
        </r>
      </text>
    </comment>
    <comment ref="H284" authorId="0" shapeId="0" xr:uid="{00000000-0006-0000-0400-00005C000000}">
      <text>
        <r>
          <rPr>
            <sz val="11"/>
            <color theme="1"/>
            <rFont val="Calibri"/>
            <family val="2"/>
            <scheme val="minor"/>
          </rPr>
          <t>Sources de soutien externe :
https://www.browserstack.com/cross-browser-testing
https://www.browserstack.com/guide/cross-platform-testing-tools
Décision et réconciliation : cadre ToTAL.</t>
        </r>
      </text>
    </comment>
    <comment ref="H285" authorId="0" shapeId="0" xr:uid="{00000000-0006-0000-0400-00005D000000}">
      <text>
        <r>
          <rPr>
            <sz val="11"/>
            <color theme="1"/>
            <rFont val="Calibri"/>
            <family val="2"/>
            <scheme val="minor"/>
          </rPr>
          <t>Sources de soutien externe :
https://glossary.istqb.org/en_US/term/portability
Décision et réconciliation : cadre ToTAL.</t>
        </r>
      </text>
    </comment>
    <comment ref="H289" authorId="0" shapeId="0" xr:uid="{00000000-0006-0000-0400-00005E000000}">
      <text>
        <r>
          <rPr>
            <sz val="11"/>
            <color theme="1"/>
            <rFont val="Calibri"/>
            <family val="2"/>
            <scheme val="minor"/>
          </rPr>
          <t>Sources de soutien externe :
https://softwaretestpilot.com/istqb/glossary/reliability
https://softwaretestpilot.com/istqb/glossary/recoverability-testing
Décision et réconciliation : cadre ToTAL.</t>
        </r>
      </text>
    </comment>
    <comment ref="H290" authorId="0" shapeId="0" xr:uid="{00000000-0006-0000-0400-00005F000000}">
      <text>
        <r>
          <rPr>
            <sz val="11"/>
            <color theme="1"/>
            <rFont val="Calibri"/>
            <family val="2"/>
            <scheme val="minor"/>
          </rPr>
          <t>Sources de soutien externe :
https://istqb.org/certifications/certified-tester-performance-testing-ct-pt/
https://sqadojo.com/learning-hub/categories/performance-testing
Décision et réconciliation : cadre ToTAL.</t>
        </r>
      </text>
    </comment>
    <comment ref="H293" authorId="0" shapeId="0" xr:uid="{00000000-0006-0000-0400-000060000000}">
      <text>
        <r>
          <rPr>
            <sz val="11"/>
            <color theme="1"/>
            <rFont val="Calibri"/>
            <family val="2"/>
            <scheme val="minor"/>
          </rPr>
          <t>Sources : https://www.ibm.com/fr-fr/think/topics/middleware ; https://hexaware.com/glossary/middleware-testing/</t>
        </r>
      </text>
    </comment>
    <comment ref="H298" authorId="0" shapeId="0" xr:uid="{00000000-0006-0000-0400-000061000000}">
      <text>
        <r>
          <rPr>
            <sz val="11"/>
            <color theme="1"/>
            <rFont val="Calibri"/>
            <family val="2"/>
            <scheme val="minor"/>
          </rPr>
          <t>Sources de soutien externe :
https://learn.microsoft.com/fr-fr/azure/devops/pipelines/yaml-schema/jobs-deployment-strategy-canary?view=azure-pipelines
Décision et réconciliation : cadre ToTAL.</t>
        </r>
      </text>
    </comment>
    <comment ref="H299" authorId="0" shapeId="0" xr:uid="{00000000-0006-0000-0400-000062000000}">
      <text>
        <r>
          <rPr>
            <sz val="11"/>
            <color theme="1"/>
            <rFont val="Calibri"/>
            <family val="2"/>
            <scheme val="minor"/>
          </rPr>
          <t>Sources : https://devguide.owasp.org/en/04-design/02-web-app-checklist/07-access-controls/ ; https://cheatsheetseries.owasp.org/cheatsheets/Authorization_Cheat_Sheet.html</t>
        </r>
      </text>
    </comment>
    <comment ref="H300" authorId="0" shapeId="0" xr:uid="{00000000-0006-0000-0400-000063000000}">
      <text>
        <r>
          <rPr>
            <sz val="11"/>
            <color theme="1"/>
            <rFont val="Calibri"/>
            <family val="2"/>
            <scheme val="minor"/>
          </rPr>
          <t>Sources de soutien externe :
https://www.tricentis.com/learn/role-testing
Décision et réconciliation : cadre ToTAL.</t>
        </r>
      </text>
    </comment>
    <comment ref="H301" authorId="0" shapeId="0" xr:uid="{00000000-0006-0000-0400-000064000000}">
      <text>
        <r>
          <rPr>
            <sz val="11"/>
            <color theme="1"/>
            <rFont val="Calibri"/>
            <family val="2"/>
            <scheme val="minor"/>
          </rPr>
          <t>Sources de soutien externe :
https://softwaretestpilot.com/istqb/glossary/reliability
https://softwaretestpilot.com/istqb/glossary/recoverability-testing
Décision et réconciliation : cadre ToTAL.</t>
        </r>
      </text>
    </comment>
    <comment ref="H302" authorId="0" shapeId="0" xr:uid="{00000000-0006-0000-0400-000065000000}">
      <text>
        <r>
          <rPr>
            <sz val="11"/>
            <color theme="1"/>
            <rFont val="Calibri"/>
            <family val="2"/>
            <scheme val="minor"/>
          </rPr>
          <t>Sources de soutien externe :
https://www.browserstack.com/cross-browser-testing
https://www.browserstack.com/guide/cross-platform-testing-tools
Décision et réconciliation : cadre ToTAL.</t>
        </r>
      </text>
    </comment>
    <comment ref="H303" authorId="0" shapeId="0" xr:uid="{00000000-0006-0000-0400-000066000000}">
      <text>
        <r>
          <rPr>
            <sz val="11"/>
            <color theme="1"/>
            <rFont val="Calibri"/>
            <family val="2"/>
            <scheme val="minor"/>
          </rPr>
          <t>Sources de soutien externe :
https://glossary.istqb.org/en_US/term/reactive-test-strategy
https://sqadojo.com/learning-hub/reactive-testing
Décision et réconciliation : cadre ToTAL.</t>
        </r>
      </text>
    </comment>
    <comment ref="H310" authorId="0" shapeId="0" xr:uid="{00000000-0006-0000-0400-000067000000}">
      <text>
        <r>
          <rPr>
            <sz val="11"/>
            <color theme="1"/>
            <rFont val="Calibri"/>
            <family val="2"/>
            <scheme val="minor"/>
          </rPr>
          <t>Sources de soutien externe :
https://www.agilealliance.org/glossary/three-amigos/
Décision et réconciliation : cadre ToTAL.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M365 Copilot</author>
  </authors>
  <commentList>
    <comment ref="C24" authorId="0" shapeId="0" xr:uid="{00000000-0006-0000-0B00-000001000000}">
      <text>
        <r>
          <rPr>
            <sz val="11"/>
            <color theme="1"/>
            <rFont val="Calibri"/>
            <family val="2"/>
            <scheme val="minor"/>
          </rPr>
          <t>Sources :
https://www.testmuai.com/learning-hub/test-scenario/
https://www.geeksforgeeks.org/software-testing/difference-between-test-case-and-scenarios/</t>
        </r>
      </text>
    </comment>
    <comment ref="C25" authorId="0" shapeId="0" xr:uid="{00000000-0006-0000-0B00-000002000000}">
      <text>
        <r>
          <rPr>
            <sz val="11"/>
            <color theme="1"/>
            <rFont val="Calibri"/>
            <family val="2"/>
            <scheme val="minor"/>
          </rPr>
          <t>Sources :
https://www.softwaretestinghelp.com/how-to-write-effective-test-cases-test-cases-procedures-and-definitions/
https://www.geeksforgeeks.org/software-testing/difference-between-test-case-and-scenarios/</t>
        </r>
      </text>
    </comment>
    <comment ref="C27" authorId="0" shapeId="0" xr:uid="{00000000-0006-0000-0B00-000003000000}">
      <text>
        <r>
          <rPr>
            <sz val="11"/>
            <color theme="1"/>
            <rFont val="Calibri"/>
            <family val="2"/>
            <scheme val="minor"/>
          </rPr>
          <t>Sources :
https://www.lyssna.com/guides/navigation-testing-guide/
https://uxarmy.com/blog/navigation-testing/</t>
        </r>
      </text>
    </comment>
  </commentList>
</comments>
</file>

<file path=xl/sharedStrings.xml><?xml version="1.0" encoding="utf-8"?>
<sst xmlns="http://schemas.openxmlformats.org/spreadsheetml/2006/main" count="13501" uniqueCount="4602">
  <si>
    <t>Registre maître ToTAL du test</t>
  </si>
  <si>
    <t>Version initiale finale  •  Découverte, clarification, réconciliation et redressement du test logiciel</t>
  </si>
  <si>
    <t>STATUT DE LA LIVRAISON</t>
  </si>
  <si>
    <t>Objectif primaire</t>
  </si>
  <si>
    <t>Terminé</t>
  </si>
  <si>
    <t>306 expressions possèdent une décision terminale documentée.</t>
  </si>
  <si>
    <t>Les évolutions futures sont des enrichissements versionnés, pas un chantier initial inachevé.</t>
  </si>
  <si>
    <t>Source préservée</t>
  </si>
  <si>
    <t>Complet</t>
  </si>
  <si>
    <t>311 occurrences sur 311 sont rapprochées, dont 5 répétitions conservées.</t>
  </si>
  <si>
    <t>Aucune occurrence ne doit disparaître silencieusement.</t>
  </si>
  <si>
    <t>Périmètre</t>
  </si>
  <si>
    <t>Test et testing logiciel</t>
  </si>
  <si>
    <t>Le registre traite d’abord des notions, pratiques, modèles et activités associés au test.</t>
  </si>
  <si>
    <t>La qualité et la réalisation logicielle complètes seront approfondies dans des travaux ultérieurs.</t>
  </si>
  <si>
    <t>COMMENT UTILISER CE REGISTRE</t>
  </si>
  <si>
    <t>Étape</t>
  </si>
  <si>
    <t>Feuille</t>
  </si>
  <si>
    <t>À quoi elle sert</t>
  </si>
  <si>
    <t>Résultat attendu</t>
  </si>
  <si>
    <t>1</t>
  </si>
  <si>
    <t>Synthèse réconciliations</t>
  </si>
  <si>
    <t>Comprendre rapidement les grandes collisions corrigées par ToTAL.</t>
  </si>
  <si>
    <t>Une carte mentale avant d’entrer dans le détail.</t>
  </si>
  <si>
    <t>2</t>
  </si>
  <si>
    <t>Registre expressions</t>
  </si>
  <si>
    <t>Rechercher une expression source, son terme normalisé, son état et sa réconciliation.</t>
  </si>
  <si>
    <t>Comprendre ce que le terme cherchait à exprimer et comment l’utiliser désormais.</t>
  </si>
  <si>
    <t>3</t>
  </si>
  <si>
    <t>Termes canoniques / Axiomes / Relations</t>
  </si>
  <si>
    <t>Comprendre le noyau commun et les liens entre les concepts.</t>
  </si>
  <si>
    <t>Éviter de recréer des contradictions entre objet, activité, occurrence, preuve et décision.</t>
  </si>
  <si>
    <t>4</t>
  </si>
  <si>
    <t>Contrat Validation / Couverture détaillée</t>
  </si>
  <si>
    <t>Lire comment une Validation est décrite et comment la couverture devient démontrable.</t>
  </si>
  <si>
    <t>Passer d’une liste de tests à une connaissance traçable de ce qui est applicable, exercé, observé et prouvé.</t>
  </si>
  <si>
    <t>5</t>
  </si>
  <si>
    <t>Modèles illustratifs</t>
  </si>
  <si>
    <t>Observer la forme réconciliée d’une matrice, d’une pyramide d’automatisation, du manuel, de l’IA et de la carte par phase.</t>
  </si>
  <si>
    <t>S’inspirer des modèles sans obligation de les instancier dans ce premier registre.</t>
  </si>
  <si>
    <t>PRINCIPE DE RÉCONCILIATION</t>
  </si>
  <si>
    <t>Intention utile</t>
  </si>
  <si>
    <t>Retrouver ce que la pratique cherchait réellement à accomplir.</t>
  </si>
  <si>
    <t>Collision ou dérive</t>
  </si>
  <si>
    <t>Rendre visibles les mots, objets, portées, décisions ou preuves qui ont été confondus.</t>
  </si>
  <si>
    <t>Redressement ToTAL</t>
  </si>
  <si>
    <t>Conserver ce qui aide, corriger ce qui nuit et relier la pratique au contrat commun de Validation.</t>
  </si>
  <si>
    <t>Posture non dogmatique</t>
  </si>
  <si>
    <t>Les décisions sont des références versionnées et révisables par preuve, apprentissage ou contradiction réelle.</t>
  </si>
  <si>
    <t>LIMITE DE CETTE VERSION</t>
  </si>
  <si>
    <t>Cette version constitue le premier registre maître ToTAL consacré au test. Elle introduit seulement les éléments de qualité, de produit, de réalisation, d’exploitation, d’IA et de qualimétrie nécessaires pour comprendre et réconcilier le test. Leur traitement complet appartient à des travaux ultérieurs.</t>
  </si>
  <si>
    <t>Synthèse des grandes réconciliations ToTAL du test</t>
  </si>
  <si>
    <t>Lecture rapide : intention utile, dérive fréquente, redressement ToTAL et repères associés.</t>
  </si>
  <si>
    <t>Réconciliation</t>
  </si>
  <si>
    <t>Dérive ou confusion fréquente</t>
  </si>
  <si>
    <t>Décision ToTAL</t>
  </si>
  <si>
    <t>Repères associés</t>
  </si>
  <si>
    <t>Test / testing / Run</t>
  </si>
  <si>
    <t>Décrire une mise à l’épreuve, l’activité de tester et son occurrence réelle.</t>
  </si>
  <si>
    <t>Employer “test” pour le cas, l’exécution, le résultat, la preuve et toute la discipline.</t>
  </si>
  <si>
    <t>Test = définition ou mise à l’épreuve; testing = activité; Run = occurrence datée et contextualisée.</t>
  </si>
  <si>
    <t>EXP-083, EXP-084, EXP-095</t>
  </si>
  <si>
    <t>Observation / Check / preuve / décision</t>
  </si>
  <si>
    <t>Transformer des faits en information utilisable sans masquer les limites.</t>
  </si>
  <si>
    <t>Traiter un résultat, un statut vert ou un Check comme une preuve complète ou une autorisation.</t>
  </si>
  <si>
    <t>Observation = fait capté; Check = comparaison locale; preuve = soutien contextualisé; décision = acte distinct.</t>
  </si>
  <si>
    <t>Contrat Validation; Chaîne qualimétrique</t>
  </si>
  <si>
    <t>Matrice de test</t>
  </si>
  <si>
    <t>Rendre visibles les relations, combinaisons, couvertures et inconnues.</t>
  </si>
  <si>
    <t>Assimiler une cellule cochée à une exécution, une preuve ou une couverture suffisante.</t>
  </si>
  <si>
    <t>La matrice est un modèle relationnel versionné; elle ne prouve rien sans Runs, observations et preuves reliés.</t>
  </si>
  <si>
    <t>EXP-144; Couverture détaillée</t>
  </si>
  <si>
    <t>Pyramide de tests</t>
  </si>
  <si>
    <t>Décider ce qu’il faut automatiser en premier.</t>
  </si>
  <si>
    <t>Classer universellement Unit, Integration, UI ou E2E par coût, taille ou ordre de construction.</t>
  </si>
  <si>
    <t>La pyramide priorise des candidats réels : dépendances et préalables d’abord, ROI contextualisé ensuite. Le manuel reste séparé.</t>
  </si>
  <si>
    <t>EXP-145; Backlog automatisation</t>
  </si>
  <si>
    <t>Portée / interface / tier / perspective</t>
  </si>
  <si>
    <t>Décrire précisément où, quoi et comment on valide.</t>
  </si>
  <si>
    <t>Prendre UI, API, Unit, E2E, Front End, Black Box ou Automated pour une seule hiérarchie.</t>
  </si>
  <si>
    <t>Ces dimensions sont orthogonales et se composent selon le contrat de Validation.</t>
  </si>
  <si>
    <t>UI, API, Unit, E2E, Front/Back End, Black/Gray/White</t>
  </si>
  <si>
    <t>Small / Medium / Large</t>
  </si>
  <si>
    <t>Exprimer la composition de la Validation.</t>
  </si>
  <si>
    <t>Supposer que Small est Unit ou moins cher, et que Large est UI/E2E ou plus coûteux.</t>
  </si>
  <si>
    <t>Small = indivisible; Medium = relation entre Small; Large = parcours ou boucle composée. Aucun coût intrinsèque.</t>
  </si>
  <si>
    <t>EXP-009 à EXP-011</t>
  </si>
  <si>
    <t>Scénario / cas / chemin / instruction</t>
  </si>
  <si>
    <t>Structurer la connaissance et les mises à l’épreuve.</t>
  </si>
  <si>
    <t>Confondre scénario, cas détaillé, procédure, exécution et preuve.</t>
  </si>
  <si>
    <t>Le scénario compose une situation; le cas borne une mise à l’épreuve; le chemin sélectionne un parcours; l’instruction précise une action.</t>
  </si>
  <si>
    <t>EXP-101 à EXP-104; EXP-177</t>
  </si>
  <si>
    <t>Smoke / Sanity / Health</t>
  </si>
  <si>
    <t>Obtenir rapidement l’information appropriée.</t>
  </si>
  <si>
    <t>Employer les trois termes comme synonymes.</t>
  </si>
  <si>
    <t>Smoke = viabilité minimale large; Sanity = cohérence focalisée; Health = portrait qualimétrique actuel et durable.</t>
  </si>
  <si>
    <t>EXP-036 à EXP-038</t>
  </si>
  <si>
    <t>Validation / acceptation / approbation / certification</t>
  </si>
  <si>
    <t>Séparer la production de preuves et les décisions d’autorité.</t>
  </si>
  <si>
    <t>Faire du test une douane qui approuve, certifie ou décide.</t>
  </si>
  <si>
    <t>La Validation soutient les décisions; l’acceptation, l’approbation et la certification appartiennent aux autorités déclarées.</t>
  </si>
  <si>
    <t>EXP-043, EXP-044, EXP-098, EXP-250</t>
  </si>
  <si>
    <t>Manuel / automatisé / hybride</t>
  </si>
  <si>
    <t>Choisir le mode approprié à l’intention.</t>
  </si>
  <si>
    <t>Croire qu’automatisé signifie supérieur ou que manuel signifie immature.</t>
  </si>
  <si>
    <t>Le mode ne détermine ni la valeur ni la portée. Les décisions d’automatiser sont gouvernées par dépendances, ROI et contexte.</t>
  </si>
  <si>
    <t>EXP-004, EXP-117, EXP-171</t>
  </si>
  <si>
    <t>Exploratoire / formel</t>
  </si>
  <si>
    <t>Apprendre et éprouver avec intention et traçabilité.</t>
  </si>
  <si>
    <t>Opposer exploration et discipline documentaire.</t>
  </si>
  <si>
    <t>Toute exploration possède une intention; le formel est structuré et évolutif, non rigide.</t>
  </si>
  <si>
    <t>EXP-017 à EXP-022; EXP-113</t>
  </si>
  <si>
    <t>Validation holistique</t>
  </si>
  <si>
    <t>Valider au fur et à mesure, partout où l’information est utile.</t>
  </si>
  <si>
    <t>Repousser le test à une campagne finale ou à une équipe spécialisée.</t>
  </si>
  <si>
    <t>La Validation accompagne Éliciter, Définir, Planifier, Implémenter, Diffuser et Confirmer, puis demeure attentive dans CARE.</t>
  </si>
  <si>
    <t>EXP-055; Phases ToTAL</t>
  </si>
  <si>
    <t>IA et Validation</t>
  </si>
  <si>
    <t>Valider l’IA, réaliser avec l’IA et valider avec l’IA.</t>
  </si>
  <si>
    <t>Considérer une IA comme oracle, preuve ou autorité automatique.</t>
  </si>
  <si>
    <t>Qualifier l’IA avant de déléguer; tracer instructions, sources, versions, accès, évaluateurs, coûts, dérives et limites.</t>
  </si>
  <si>
    <t>EXP-080; Registre usages IA</t>
  </si>
  <si>
    <t>Métrique et qualimétrie</t>
  </si>
  <si>
    <t>Rendre la réalité visible pour éclairer une décision.</t>
  </si>
  <si>
    <t>Transformer un KPI, un outil ou un tableau de bord en vérité sur le produit ou en classement des personnes.</t>
  </si>
  <si>
    <t>Une mesure répond à un besoin d’information, expose sa source et ses limites, puis converge vers le produit.</t>
  </si>
  <si>
    <t>Principes de mesure; Gouvernance métriques outils</t>
  </si>
  <si>
    <t>Registre maître ToTAL du test, version initiale finale</t>
  </si>
  <si>
    <t>Référentiel de découverte, clarification, réconciliation et redressement des expressions et pratiques associées au test et au testing logiciel.</t>
  </si>
  <si>
    <t>Élément</t>
  </si>
  <si>
    <t>Décision</t>
  </si>
  <si>
    <t>Conséquence</t>
  </si>
  <si>
    <t>Prochaine étape</t>
  </si>
  <si>
    <t>Autorité et statut</t>
  </si>
  <si>
    <t>Le Registre expressions demeure la livraison primaire. Les 306 expressions possèdent une décision terminale documentée.</t>
  </si>
  <si>
    <t>La version initiale est terminée; aucune autre feuille ne remplace les décisions individuelles.</t>
  </si>
  <si>
    <t>Maintenir la non-régression et traiter toute évolution comme un enrichissement versionné.</t>
  </si>
  <si>
    <t>Trajectoire</t>
  </si>
  <si>
    <t>Tout traverse Éliciter, Définir, Planifier, Implémenter, Diffuser et Confirmer.</t>
  </si>
  <si>
    <t>Les phases sont globalement linéaires, avec itération, Validation, recherche et apprentissage continus.</t>
  </si>
  <si>
    <t>Appliquer à chaque expression.</t>
  </si>
  <si>
    <t>Documentation</t>
  </si>
  <si>
    <t>Spécifications, modèles produit, toolbox, investigations, preuves et qualimétrie constituent la connaissance vivante du produit.</t>
  </si>
  <si>
    <t>Une investigation ouverte est documentée sans être forcée en spécification fermée.</t>
  </si>
  <si>
    <t>Relier les artefacts utiles.</t>
  </si>
  <si>
    <t>Fixed et réconcilié ToTAL est attribué expression par expression.</t>
  </si>
  <si>
    <t>Un concept parent fixed ne fixe pas automatiquement ses descendants ou alias historiques.</t>
  </si>
  <si>
    <t>Préserver provenance et version.</t>
  </si>
  <si>
    <t>Ce premier registre est centré sur le test et la Validation ToTAL.</t>
  </si>
  <si>
    <t>La qualité et la réalisation logicielle globales sont seulement introduites lorsqu’elles sont nécessaires pour comprendre le test.</t>
  </si>
  <si>
    <t>Réserver les approfondissements plus larges à des travaux ultérieurs.</t>
  </si>
  <si>
    <t>Intégrité de la source</t>
  </si>
  <si>
    <t>311 occurrences sont rapprochées à 306 expressions primaires; les répétitions sont conservées dans Réconciliation source.</t>
  </si>
  <si>
    <t>Aucune occurrence ne peut être supprimée silencieusement.</t>
  </si>
  <si>
    <t>Consulter Audit intégrité registre avant chaque nouvelle livraison.</t>
  </si>
  <si>
    <t>Les cinq registres opérationnels montrent la forme réconciliée de pratiques de test.</t>
  </si>
  <si>
    <t>Leur adaptation ou leur saisie locale est facultative et hors de l’objectif primaire de cette version.</t>
  </si>
  <si>
    <t>Les consulter comme exemples, patrons ou aides à la compréhension.</t>
  </si>
  <si>
    <t>Pilotage de l’objectif primaire ToTAL</t>
  </si>
  <si>
    <t>La livraison principale est la réconciliation complète de la liste initiale.</t>
  </si>
  <si>
    <t>Valeur / décision</t>
  </si>
  <si>
    <t>Interprétation</t>
  </si>
  <si>
    <t>Réconcilier chaque expression avec ToTAL</t>
  </si>
  <si>
    <t>Cette liste pilote le chantier.</t>
  </si>
  <si>
    <t>Expressions uniques</t>
  </si>
  <si>
    <t>Une ligne primaire par expression.</t>
  </si>
  <si>
    <t>Fixed</t>
  </si>
  <si>
    <t>Décision soutenue.</t>
  </si>
  <si>
    <t>Classé</t>
  </si>
  <si>
    <t>Coordonnée identifiée.</t>
  </si>
  <si>
    <t>Inventorié</t>
  </si>
  <si>
    <t>Analyse requise.</t>
  </si>
  <si>
    <t>Done</t>
  </si>
  <si>
    <t>Décision terminale atteinte.</t>
  </si>
  <si>
    <t>ToDo (not done)</t>
  </si>
  <si>
    <t>Travail de réconciliation restant.</t>
  </si>
  <si>
    <t>Occurrences source</t>
  </si>
  <si>
    <t>Chaque occurrence de la liste initiale est conservée.</t>
  </si>
  <si>
    <t>Répétitions source</t>
  </si>
  <si>
    <t>Cinq répétitions documentées sans créer de nouveaux concepts.</t>
  </si>
  <si>
    <t>Couverture source</t>
  </si>
  <si>
    <t>311 / 311</t>
  </si>
  <si>
    <t>Toutes les occurrences sont rapprochées à un ID primaire.</t>
  </si>
  <si>
    <t>Expressions absentes</t>
  </si>
  <si>
    <t>Aucune omission détectée dans la réconciliation source.</t>
  </si>
  <si>
    <t>Registre maître des expressions de test et testing</t>
  </si>
  <si>
    <t>Todo primaire exhaustive. La colonne Accomplissement indique Done lorsqu’une décision terminale est atteinte (Fixed, Alias reconnu ou À déprécier); sinon ToDo (not done).</t>
  </si>
  <si>
    <t>Expression originale</t>
  </si>
  <si>
    <t>ID</t>
  </si>
  <si>
    <t>Expression normalisée</t>
  </si>
  <si>
    <t>Occurrences</t>
  </si>
  <si>
    <t>Coordonnée principale</t>
  </si>
  <si>
    <t>État</t>
  </si>
  <si>
    <t>Accomplissement</t>
  </si>
  <si>
    <t>Réconciliation ToTAL</t>
  </si>
  <si>
    <t>Prochaine action</t>
  </si>
  <si>
    <t>Trajectoire ToTAL</t>
  </si>
  <si>
    <t>Documentation attendue</t>
  </si>
  <si>
    <t>UI testing</t>
  </si>
  <si>
    <t>EXP-001</t>
  </si>
  <si>
    <t>Interface / comportement observable</t>
  </si>
  <si>
    <t>Fixed et réconcilié ToTAL</t>
  </si>
  <si>
    <t>Validation par ou sur l’interface utilisateur, portant sur les comportements, informations et propriétés exposés à une personne. UI précise l’interface; elle ne détermine ni la portée, ni la technique, ni le mode.</t>
  </si>
  <si>
    <t>Conserver comme coordonnée d’interface; déclarer populations, modalités d’interaction, comportements, propriétés, environnements et preuves attendues.</t>
  </si>
  <si>
    <t>Éliciter → Définir → Planifier → Implémenter → Diffuser → Confirmer</t>
  </si>
  <si>
    <t>Spécification, modèle produit, investigation/toolbox, preuve et qualimétrie selon le besoin</t>
  </si>
  <si>
    <t>GUI testing</t>
  </si>
  <si>
    <t>EXP-002</t>
  </si>
  <si>
    <t>Interface / représentation graphique</t>
  </si>
  <si>
    <t>Spécialisation de UI testing portant sur les éléments graphiques et leurs interactions. Une GUI est une modalité d’interface utilisateur; elle ne couvre pas automatiquement les interfaces vocales, tactiles, clavier ou assistives.</t>
  </si>
  <si>
    <t>Conserver comme spécialisation graphique de UI; déclarer composants visuels, interactions, états, tailles, plateformes, accessibilité et tolérances.</t>
  </si>
  <si>
    <t>E2E testing</t>
  </si>
  <si>
    <t>EXP-003</t>
  </si>
  <si>
    <t>Portée / parcours / frontières</t>
  </si>
  <si>
    <t>Validation d’un parcours complet entre une entrée et une sortie, ou jusqu’au retour à l’entrée, à travers les frontières déclarées du produit ou de son écosystème. E2E précise la portée, pas nécessairement l’UI ni l’environnement de production.</t>
  </si>
  <si>
    <t>Conserver comme portée; déclarer entrée, sortie ou retour, systèmes traversés, dépendances, données, responsabilités, propriétés et preuves.</t>
  </si>
  <si>
    <t>Automated testing</t>
  </si>
  <si>
    <t>EXP-004</t>
  </si>
  <si>
    <t>Mode d’exécution</t>
  </si>
  <si>
    <t>Validation dont tout ou partie de la préparation, stimulation, observation, comparaison ou collecte de preuves est exécutée par un dispositif automatisé. L’automatisation qualifie le mode, non l’objet, la portée ou la valeur du test.</t>
  </si>
  <si>
    <t>Conserver comme mode; déclarer ce qui est automatisé, les contrôles humains, les oracles, la maintenabilité, la reproductibilité et les limites.</t>
  </si>
  <si>
    <t>Unit testing</t>
  </si>
  <si>
    <t>EXP-005</t>
  </si>
  <si>
    <t>Portée / unité délimitée</t>
  </si>
  <si>
    <t>Validation d’une unité délimitée dans un contexte déclaré. L’unité peut exister dans n’importe quel tier; elle ne se confond pas automatiquement avec une fonction, une classe ou un test White Box.</t>
  </si>
  <si>
    <t>Conserver comme portée; définir la frontière de l’unité, ses dépendances, ses entrées, sorties, propriétés et preuves.</t>
  </si>
  <si>
    <t>Atomic testing</t>
  </si>
  <si>
    <t>EXP-006</t>
  </si>
  <si>
    <t>Granularité / cas atomique</t>
  </si>
  <si>
    <t>Validation d’une intention ou condition atomique ne pouvant être réduite sans perdre le sens de l’attente évaluée. Atomic renseigne la granularité et peut correspondre à un Small lorsque la frontière est explicitée.</t>
  </si>
  <si>
    <t>Conserver comme granularité; déclarer l’unique intention, les conditions minimales et la raison de l’indivisibilité.</t>
  </si>
  <si>
    <t>API testing</t>
  </si>
  <si>
    <t>EXP-007</t>
  </si>
  <si>
    <t>Interface applicative / contrat</t>
  </si>
  <si>
    <t>Validation d’une interface de programmation et de son contrat observable : opérations, entrées, sorties, erreurs, invariants, versions et propriétés. Une API expose ou soutient un Service sans être le Service complet.</t>
  </si>
  <si>
    <t>Conserver comme interface; relier opérations, schémas, protocoles, consommateurs, contrats, propriétés, dépendances et preuves.</t>
  </si>
  <si>
    <t>Machine testing</t>
  </si>
  <si>
    <t>EXP-008</t>
  </si>
  <si>
    <t>Interface machine / système</t>
  </si>
  <si>
    <t>Validation réalisée par ou sur une interface destinée principalement à une machine, un système, un agent ou un composant. Machine précise la famille d’interface, non la portée ni la perspective à elle seule.</t>
  </si>
  <si>
    <t>Conserver comme interface; déclarer producteur, consommateur, protocole, format, contrat, automatisation et observations.</t>
  </si>
  <si>
    <t>Small testing</t>
  </si>
  <si>
    <t>EXP-009</t>
  </si>
  <si>
    <t>Granularité / composition</t>
  </si>
  <si>
    <t>Small = validation indivisible dans le contexte déclaré : la plus petite mise à l’épreuve utile dont la division ferait perdre le sens de la validation.</t>
  </si>
  <si>
    <t>Conserver comme granularité canonique ToTAL; déclarer la cible, les conditions et la frontière indivisible.</t>
  </si>
  <si>
    <t>Medium testing</t>
  </si>
  <si>
    <t>EXP-010</t>
  </si>
  <si>
    <t>Medium = validation entre deux Small : elle qualifie leur relation, leur passage, leur échange ou leur interaction.</t>
  </si>
  <si>
    <t>Conserver comme granularité canonique ToTAL; identifier explicitement les deux Small et la relation validée.</t>
  </si>
  <si>
    <t>Large testing</t>
  </si>
  <si>
    <t>EXP-011</t>
  </si>
  <si>
    <t>Large = validation d’un parcours ou d’une boucle composée de Medium et de Small : de l’entrée à la sortie, ou de l’entrée jusqu’au retour à l’entrée.</t>
  </si>
  <si>
    <t>Conserver comme granularité canonique ToTAL; déclarer l’entrée, la sortie ou le retour, ainsi que les Medium et Small mobilisés.</t>
  </si>
  <si>
    <t>Integration testing</t>
  </si>
  <si>
    <t>EXP-012</t>
  </si>
  <si>
    <t>Relation / composition / portée</t>
  </si>
  <si>
    <t>Validation d’une relation, d’une composition ou d’une interaction entre objets délimités, notamment échanges, contrats, états, ordre, erreurs et dépendances. Integration ne signifie pas automatiquement Middle Tier.</t>
  </si>
  <si>
    <t>Conserver comme relation et portée; identifier les objets intégrés, leurs frontières, contrats, séquences, dépendances et effets.</t>
  </si>
  <si>
    <t>System testing</t>
  </si>
  <si>
    <t>EXP-013</t>
  </si>
  <si>
    <t>Portée / système délimité</t>
  </si>
  <si>
    <t>Validation du système considéré comme un ensemble délimité de constituants, capacités et relations. System précise la frontière de l’objet validé, sans imposer une perspective ou une technique.</t>
  </si>
  <si>
    <t>Conserver comme portée; définir le système, son environnement, ses interfaces, propriétés, dépendances et exclusions.</t>
  </si>
  <si>
    <t>Static testing</t>
  </si>
  <si>
    <t>EXP-014</t>
  </si>
  <si>
    <t>Technique / sans exécution dynamique</t>
  </si>
  <si>
    <t>Validation ou analyse d’un artefact sans exécuter dynamiquement le comportement de la cible, par exemple revue, inspection, analyse de code, modèle, configuration ou documentation.</t>
  </si>
  <si>
    <t>Conserver comme technique; déclarer l’artefact, les règles, l’analyseur ou la méthode, les observations, faux positifs et limites.</t>
  </si>
  <si>
    <t>dynamic testing</t>
  </si>
  <si>
    <t>EXP-015</t>
  </si>
  <si>
    <t>Dynamic testing</t>
  </si>
  <si>
    <t>Technique / exécution dynamique</t>
  </si>
  <si>
    <t>Validation par exécution, stimulation ou observation d’un comportement en fonctionnement. Dynamic précise la mise en mouvement de la cible, non son objet, sa portée ou son mode humain ou automatisé.</t>
  </si>
  <si>
    <t>Conserver comme technique; déclarer cible exécutable, conditions, stimuli, observations, environnement et preuves.</t>
  </si>
  <si>
    <t>passive testing</t>
  </si>
  <si>
    <t>EXP-016</t>
  </si>
  <si>
    <t>Passive testing</t>
  </si>
  <si>
    <t>Mode d’observation</t>
  </si>
  <si>
    <t>Validation fondée principalement sur l’observation de comportements ou événements existants sans stimulation directe intentionnelle de la cible pendant l’observation.</t>
  </si>
  <si>
    <t>Conserver comme mode; déclarer sources, fenêtre, représentativité, fraîcheur, corrélation, confidentialité et limites causales.</t>
  </si>
  <si>
    <t>Exploratory testing</t>
  </si>
  <si>
    <t>EXP-017</t>
  </si>
  <si>
    <t>Approche d’investigation</t>
  </si>
  <si>
    <t>Approche dans laquelle apprentissage, conception des prochaines mises à l’épreuve et exécution progressent ensemble sous une intention déclarée. Exploratoire ne signifie ni absence de but ni absence de traçabilité.</t>
  </si>
  <si>
    <t>Conserver comme famille d’investigation; documenter intention, charte ou question, cible, observations, bifurcations, apprentissages et limites.</t>
  </si>
  <si>
    <t>Scientific testing</t>
  </si>
  <si>
    <t>EXP-018</t>
  </si>
  <si>
    <t>Investigation exploratoire / raisonnement</t>
  </si>
  <si>
    <t>Variante d’exploration dirigée par une question, une hypothèse et des observations. Le caractère scientifique précise la rigueur de l’investigation, non un type exclusif de test.</t>
  </si>
  <si>
    <t>Conserver comme modalité exploratoire; déclarer question, hypothèse, protocole adaptable, observations et limites.</t>
  </si>
  <si>
    <t>Monkey testing</t>
  </si>
  <si>
    <t>EXP-019</t>
  </si>
  <si>
    <t>Investigation exploratoire / aléatoire</t>
  </si>
  <si>
    <t>Variante exploratoire utilisant des actions ou données largement aléatoires afin de révéler des comportements inattendus, notamment erreurs, blocages et pertes de robustesse.</t>
  </si>
  <si>
    <t>Conserver comme technique exploratoire historique; déclarer l’intention, la population d’actions, l’aléa et la traçabilité permettant la reproduction.</t>
  </si>
  <si>
    <t>Gorilla testing</t>
  </si>
  <si>
    <t>EXP-020</t>
  </si>
  <si>
    <t>Investigation exploratoire / focalisée</t>
  </si>
  <si>
    <t>Variante exploratoire intensive et répétée sur une cible restreinte afin d’en éprouver profondément la robustesse et les limites.</t>
  </si>
  <si>
    <t>Conserver comme technique exploratoire historique; déclarer la cible, l’intensité, les variations, la durée et les critères d’arrêt.</t>
  </si>
  <si>
    <t>Preset testing</t>
  </si>
  <si>
    <t>EXP-021</t>
  </si>
  <si>
    <t>Préparation / conditions prédéfinies</t>
  </si>
  <si>
    <t>Validation utilisant un ensemble prédéfini, versionné et réutilisable de conditions, données, configurations, états ou paramètres afin d’obtenir des exécutions comparables et reproductibles. Preset qualifie la préparation connue appliquée à la cible; il ne définit ni l’objet, ni la portée, ni la finalité de la Validation. Un preset peut soutenir des cas standard, critiques, limites ou de régression, et peut être appliqué manuellement ou automatiquement.</t>
  </si>
  <si>
    <t>Conserver comme modalité de préparation prédéfinie; déclarer identifiant et version du preset, intention, cible, conditions, données, configuration, état initial, environnement, résultats ou propriétés attendus, procédures de création et restauration, provenance, couverture et limites. Ne pas confondre preset, fixture, jeu de données, cas de Validation, baseline, configuration par défaut ou résultat attendu.</t>
  </si>
  <si>
    <t>Catalogue de presets versionnés, intention et cas d’usage, paramètres et données, configuration et état initial, environnement, dépendances, procédure d’application et de remise à zéro, définition de Validation liée, Runs, observations, résultats attendus, preuves, couverture, historique et limites</t>
  </si>
  <si>
    <t>adaptive testing</t>
  </si>
  <si>
    <t>EXP-022</t>
  </si>
  <si>
    <t>Investigation exploratoire / adaptative</t>
  </si>
  <si>
    <t>Variante exploratoire dont les prochaines actions sont ajustées selon les observations et apprentissages obtenus pendant la Validation.</t>
  </si>
  <si>
    <t>Conserver comme modalité exploratoire; documenter la règle d’adaptation, les signaux observés, les changements de direction et les limites.</t>
  </si>
  <si>
    <t>Gray testing</t>
  </si>
  <si>
    <t>EXP-023</t>
  </si>
  <si>
    <t>Gray Box testing</t>
  </si>
  <si>
    <t>Perspective / connaissance partielle</t>
  </si>
  <si>
    <t>Validation conduite avec une connaissance partielle de la structure ou du fonctionnement interne de la cible, conventionnellement associée aux interfaces applicatives et au Middle Tier sans s’y limiter.</t>
  </si>
  <si>
    <t>Normaliser en Gray Box testing; déclarer les connaissances utilisées, les accès disponibles et les frontières inconnues.</t>
  </si>
  <si>
    <t>White ou clear ou Glass testing</t>
  </si>
  <si>
    <t>EXP-024</t>
  </si>
  <si>
    <t>White Box testing</t>
  </si>
  <si>
    <t>Perspective / connaissance interne</t>
  </si>
  <si>
    <t>Famille d’alias White Box, Clear Box et Glass Box décrivant une Validation avec connaissance et accès substantiels à la structure interne de la cible.</t>
  </si>
  <si>
    <t>Normaliser vers White Box testing; conserver Clear Box et Glass Box comme alias; déclarer structures, chemins et informations internes utilisés.</t>
  </si>
  <si>
    <t>Black testing</t>
  </si>
  <si>
    <t>EXP-025</t>
  </si>
  <si>
    <t>Black Box testing</t>
  </si>
  <si>
    <t>Perspective / comportement externe</t>
  </si>
  <si>
    <t>Validation fondée sur les entrées, sorties, comportements et propriétés observables sans dépendre de la structure interne de la cible.</t>
  </si>
  <si>
    <t>Normaliser en Black Box testing; déclarer les contrats et observations externes ainsi que les informations internes volontairement exclues.</t>
  </si>
  <si>
    <t>Component testing</t>
  </si>
  <si>
    <t>EXP-026</t>
  </si>
  <si>
    <t>Portée / composant</t>
  </si>
  <si>
    <t>Validation d’un composant délimité comme unité de composition possédant responsabilités, interfaces et dépendances identifiables. Component précise la portée, non le tier.</t>
  </si>
  <si>
    <t>Conserver comme portée; définir le composant, ses contrats, dépendances, propriétés, substituts et limites.</t>
  </si>
  <si>
    <t>Visual testing</t>
  </si>
  <si>
    <t>EXP-027</t>
  </si>
  <si>
    <t>Propriété visuelle / pratique de Validation</t>
  </si>
  <si>
    <t>Pratique de Validation visant la conformité et la cohérence du rendu perceptible d’une interface ou d’un artefact visuel dans le temps, les états, les résolutions, les navigateurs, les systèmes et les environnements déclarés. Elle peut utiliser des captures d’écran, des baselines, des comparaisons pixel ou structurelles, des zones masquées, des tolérances et une revue humaine; elle complète la Validation fonctionnelle sans la remplacer.</t>
  </si>
  <si>
    <t>Conserver comme pratique de Validation visuelle; déclarer surfaces critiques, états, données, résolutions, navigateurs, plateformes, baseline approuvée, algorithme de comparaison, seuils et exclusions, gestion du bruit, workflow de revue, versionnement, preuves, intégration au pipeline et responsabilité de décision.</t>
  </si>
  <si>
    <t>Inventaire des surfaces et états, matrice navigateurs-résolutions-plateformes, environnement stabilisé, captures et baselines versionnées, configuration de diff, masques et tolérances, rapport visuel, revue, décisions, incidents, couverture et limites</t>
  </si>
  <si>
    <t>Comparative testing</t>
  </si>
  <si>
    <t>EXP-028</t>
  </si>
  <si>
    <t>Technique / comparaison entre références ou variantes</t>
  </si>
  <si>
    <t>Famille de Validation comparant au moins deux occurrences, variantes, versions, produits, environnements, résultats ou représentations selon des critères déclarés. La comparaison peut révéler une différence ou soutenir une expérimentation, mais elle ne détermine pas seule si l’écart est souhaitable, causal ou statistiquement significatif.</t>
  </si>
  <si>
    <t>Conserver comme technique transversale; déclarer objets comparés, référence ou contrôle, hypothèse, critères, conditions équivalentes, méthode d’alignement, tolérances, population, mesures, confiance, différences observées, décision distincte et limites.</t>
  </si>
  <si>
    <t>Objets ou variantes versionnés, baseline ou contrôle, protocole, critères, données et populations, environnement, observations, mesures, différences, analyses, preuves, décision et limites</t>
  </si>
  <si>
    <t>Installation testing</t>
  </si>
  <si>
    <t>EXP-029</t>
  </si>
  <si>
    <t>Transition / installation</t>
  </si>
  <si>
    <t>Validation de la capacité à installer le produit ou un constituant dans des environnements déclarés, incluant prérequis, création d’artefacts, configuration, erreurs, reprise et état final.</t>
  </si>
  <si>
    <t>Conserver comme transition; documenter matrices d’environnement, préconditions, étapes, preuves, nettoyage, reprise et désinstallation lorsque applicable.</t>
  </si>
  <si>
    <t>Setup testing</t>
  </si>
  <si>
    <t>EXP-030</t>
  </si>
  <si>
    <t>Transition / préparation et configuration</t>
  </si>
  <si>
    <t>Validation de la préparation initiale nécessaire pour rendre un produit ou constituant utilisable dans un contexte déclaré, incluant prérequis, initialisation, configuration, comptes, droits, données de départ, dépendances et état prêt. Setup peut inclure Installation testing sans s’y réduire.</t>
  </si>
  <si>
    <t>Conserver comme transition de préparation; déclarer état initial, prérequis, installation éventuelle, paramètres, secrets, données, identités, dépendances, répétabilité, nettoyage, état final et preuves.</t>
  </si>
  <si>
    <t>Procédure ou automatisation de setup, prérequis, configuration, identités, jeux de données, environnements, Runs, observations, preuves, reprise et limites</t>
  </si>
  <si>
    <t>Config testing</t>
  </si>
  <si>
    <t>EXP-031</t>
  </si>
  <si>
    <t>Configuration testing</t>
  </si>
  <si>
    <t>Objet / contrainte / variantes</t>
  </si>
  <si>
    <t>Validation des configurations applicables et de leurs effets sur les capacités, propriétés, dépendances et comportements du produit.</t>
  </si>
  <si>
    <t>Normaliser en Configuration testing; déclarer paramètres, valeurs, combinaisons, défauts, héritages, secrets, environnements et références.</t>
  </si>
  <si>
    <t>Integrity testing</t>
  </si>
  <si>
    <t>EXP-032</t>
  </si>
  <si>
    <t>Propriété / données / cohérence</t>
  </si>
  <si>
    <t>Validation de la préservation de l’exactitude, de la complétude et de la cohérence d’un objet, notamment les données, pendant le stockage, le transport, la transformation et les échanges.</t>
  </si>
  <si>
    <t>Conserver comme propriété de Validation; déclarer l’objet, les invariants, les transformations, les frontières et les preuves de non-altération.</t>
  </si>
  <si>
    <t>Integrality testing</t>
  </si>
  <si>
    <t>EXP-033</t>
  </si>
  <si>
    <t>Alias / collision terminologique</t>
  </si>
  <si>
    <t>Alias reconnu</t>
  </si>
  <si>
    <t>Expression non canonique réconciliée comme alias historique probable de Integrity testing. Lorsqu’elle vise plutôt l’entièreté ou la complétude, cette intention doit être exprimée explicitement comme couverture ou complétude de la cible.</t>
  </si>
  <si>
    <t>Rediriger vers Integrity testing; exiger une précision explicite si l’intention réelle est la complétude ou la couverture.</t>
  </si>
  <si>
    <t>Compatibility testing</t>
  </si>
  <si>
    <t>EXP-034</t>
  </si>
  <si>
    <t>Propriété / coexistence / interopérabilité</t>
  </si>
  <si>
    <t>Validation de la capacité du produit à fonctionner avec des versions, plateformes, navigateurs, systèmes, formats, configurations ou produits déclarés.</t>
  </si>
  <si>
    <t>Conserver comme propriété; définir matrice applicable, sens de compatibilité, versions, tolérances, populations et exclusions.</t>
  </si>
  <si>
    <t>Usuability testing</t>
  </si>
  <si>
    <t>EXP-035</t>
  </si>
  <si>
    <t>Usability testing</t>
  </si>
  <si>
    <t>Propriété / population / usage</t>
  </si>
  <si>
    <t>Validation de la capacité de populations déclarées à comprendre, apprendre et utiliser le produit pour accomplir des intentions avec efficacité, efficience et satisfaction contextualisées.</t>
  </si>
  <si>
    <t>Normaliser en Usability testing; déclarer populations, tâches, contexte, modalités, critères, observations et biais.</t>
  </si>
  <si>
    <t>Smoke testing</t>
  </si>
  <si>
    <t>EXP-036</t>
  </si>
  <si>
    <t>Stratégie / sélection / profondeur</t>
  </si>
  <si>
    <t>Validation volontairement large, rapide et peu profonde d’un ensemble minimal de capacités critiques afin de déterminer si une occurrence est suffisamment viable pour poursuivre des validations plus coûteuses.</t>
  </si>
  <si>
    <t>Conserver comme stratégie de sélection; déclarer les capacités critiques, le seuil minimal, le coût, la durée, la preuve et la décision éclairée.</t>
  </si>
  <si>
    <t>Sanity testing</t>
  </si>
  <si>
    <t>EXP-037</t>
  </si>
  <si>
    <t>Stratégie / sélection / focalisation</t>
  </si>
  <si>
    <t>Validation rapide et focalisée visant à établir qu’un changement, une correction ou une zone précise demeure cohérente et plausible avant d’élargir l’effort de Validation.</t>
  </si>
  <si>
    <t>Conserver comme stratégie focalisée; déclarer le changement, la zone touchée, les attentes essentielles, les dépendances proches et les critères d’élargissement.</t>
  </si>
  <si>
    <t>Health testing</t>
  </si>
  <si>
    <t>EXP-038</t>
  </si>
  <si>
    <t>Qualimétrie / état courant / CARE</t>
  </si>
  <si>
    <t>Qualification contextualisée de la santé courante du produit ou d’un Service à partir d’un ensemble de signaux, mesures, Checks et preuves actuelles. Il ne s’agit pas d’un test unique ni d’un simple synonyme de Smoke ou Sanity.</t>
  </si>
  <si>
    <t>Conserver comme vue qualimétrique et opérationnelle; déclarer dimensions de santé, sources, fenêtre temporelle, fraîcheur, seuils, confiance et limites.</t>
  </si>
  <si>
    <t>Regression testing</t>
  </si>
  <si>
    <t>EXP-039</t>
  </si>
  <si>
    <t>Finalité / maintien après changement</t>
  </si>
  <si>
    <t>Validation visant à déterminer si des attentes auparavant satisfaites demeurent satisfaites après un changement du produit, de ses dépendances, de ses données ou de son contexte.</t>
  </si>
  <si>
    <t>Conserver comme finalité; déclarer changement, référence antérieure, rayon d’impact, attentes applicables, fraîcheur et preuves.</t>
  </si>
  <si>
    <t>Non regression testing</t>
  </si>
  <si>
    <t>EXP-040</t>
  </si>
  <si>
    <t>Alias / finalité</t>
  </si>
  <si>
    <t>Expression historique visant le même objectif que Regression testing : confirmer l’absence de régression significative sur un ensemble d’attentes déclarées.</t>
  </si>
  <si>
    <t>Normaliser vers Regression testing et conserver Non-regression testing comme alias reconnu; éviter de prétendre démontrer l’absence absolue de toute régression.</t>
  </si>
  <si>
    <t>Bug regression testing</t>
  </si>
  <si>
    <t>EXP-041</t>
  </si>
  <si>
    <t>Régression / référence / anomalie</t>
  </si>
  <si>
    <t>Validation de régression centrée sur une anomalie corrigée : confirmer la correction et vérifier que le changement n’a pas dégradé les comportements connexes dans un rayon d’impact déclaré.</t>
  </si>
  <si>
    <t>Conserver comme spécialisation de Regression testing; relier anomalie, correction, spécification, preuve antérieure, zones voisines et occurrence validée.</t>
  </si>
  <si>
    <t>Feature regression testing</t>
  </si>
  <si>
    <t>EXP-042</t>
  </si>
  <si>
    <t>Régression / objet / Feature</t>
  </si>
  <si>
    <t>Validation de régression centrée sur une Feature afin de confirmer que ses attentes applicables demeurent satisfaites après un changement du produit, de ses dépendances ou de son contexte.</t>
  </si>
  <si>
    <t>Conserver comme spécialisation de Regression testing; relier la Feature à ses spécifications, dépendances, versions, populations et preuves actuelles.</t>
  </si>
  <si>
    <t>Acceptance testing</t>
  </si>
  <si>
    <t>EXP-043</t>
  </si>
  <si>
    <t>Finalité / autorité / décision</t>
  </si>
  <si>
    <t>Validation destinée à soutenir une décision d’acceptation par rapport à des attentes, critères, responsabilités et conditions explicitement déclarés.</t>
  </si>
  <si>
    <t>Conserver comme finalité; déclarer autorité, objet accepté, critères, preuves, réserves, limites et décision distincte de la Validation.</t>
  </si>
  <si>
    <t>UAT testing</t>
  </si>
  <si>
    <t>EXP-044</t>
  </si>
  <si>
    <t>User Acceptance Testing</t>
  </si>
  <si>
    <t>Population / autorité / acceptation</t>
  </si>
  <si>
    <t>Validation d’acceptation impliquant des utilisateurs ou représentants autorisés afin de soutenir une décision sur l’aptitude du produit à répondre aux besoins et usages déclarés.</t>
  </si>
  <si>
    <t>Normaliser en UAT ou User Acceptance Testing; déclarer représentativité, scénarios, responsabilités, critères, preuves et limites.</t>
  </si>
  <si>
    <t>Alpha testing</t>
  </si>
  <si>
    <t>EXP-045</t>
  </si>
  <si>
    <t>Maturité / validation précoce contrôlée</t>
  </si>
  <si>
    <t>Validation d’une version en maturité alpha dans un périmètre contrôlé afin d’apprendre tôt sur les capacités disponibles, comportements, défauts majeurs, risques et inconnues. Alpha qualifie la maturité et la population d’exposition; il ne détermine ni la technique, ni la perspective, ni une garantie de complétude.</t>
  </si>
  <si>
    <t>Conserver comme stade de maturité; déclarer version, capacités incluses et absentes, population autorisée, environnement, risques acceptés, données protégées, objectifs d’apprentissage, critères de sortie, preuves et limites.</t>
  </si>
  <si>
    <t>Version et périmètre alpha, fonctionnalités présentes ou absentes, population, environnement, charte, risques, incidents, retours, Runs, preuves et critères de sortie</t>
  </si>
  <si>
    <t>Beta testing</t>
  </si>
  <si>
    <t>EXP-046</t>
  </si>
  <si>
    <t>Maturité / exposition élargie contrôlée</t>
  </si>
  <si>
    <t>Validation d’une version en maturité beta auprès d’une population élargie et déclarée afin d’observer le produit dans davantage de contextes d’usage, de compatibilité et d’environnement avant une diffusion générale. Beta ne signifie ni production complète ni acceptation automatique.</t>
  </si>
  <si>
    <t>Conserver comme stade de maturité et d’exposition; déclarer version, population, représentativité, consentement ou information, environnements, télémétrie, support, risques, collecte des retours, critères de sortie et rollback.</t>
  </si>
  <si>
    <t>Version beta, population et représentativité, canaux de diffusion, scénarios d’usage, télémétrie, incidents, retours, preuves, critères de sortie et limites</t>
  </si>
  <si>
    <t>Candidate testing</t>
  </si>
  <si>
    <t>EXP-047</t>
  </si>
  <si>
    <t>Release Candidate testing</t>
  </si>
  <si>
    <t>Maturité / candidat à la diffusion</t>
  </si>
  <si>
    <t>Validation d’une version candidate susceptible de devenir la version diffusée si aucune information nouvelle ne justifie une modification. Candidate qualifie la maturité de l’occurrence; la décision de promotion demeure distincte de la Validation et exige des critères, preuves et responsabilités déclarés.</t>
  </si>
  <si>
    <t>Normaliser en Release Candidate testing; déclarer version immuable ou contrôlée, contenu, écarts connus, environnements, couverture actuelle, risques, critères de qualification, autorité de promotion, preuves et plan de retour.</t>
  </si>
  <si>
    <t>Artefact candidat versionné, manifeste, changements, environnements, spécifications, Runs, couverture, anomalies connues, risques, preuves, décision et plan de retour</t>
  </si>
  <si>
    <t>Gold testing</t>
  </si>
  <si>
    <t>EXP-048</t>
  </si>
  <si>
    <t>Gold release</t>
  </si>
  <si>
    <t>Alias historique / version finale désignée</t>
  </si>
  <si>
    <t>Expression historique désignant une version déclarée finale ou prête à reproduction et diffusion dans un cycle donné. Gold est un statut de version ou d’artefact, non une technique de Validation et non une preuve intrinsèque de qualité, de stabilité ou de satisfaction.</t>
  </si>
  <si>
    <t>Rediriger Gold testing vers Validation d’une Gold release; déclarer version, autorité, décision, artefact exact, références, preuves, réserves, population cible, modalités de diffusion et conditions de retrait.</t>
  </si>
  <si>
    <t>Artefact Gold versionné, manifeste, décision et autorité, critères, preuves, réserves, signatures ou traces, plan de diffusion, support et retrait</t>
  </si>
  <si>
    <t>Synthetic testing</t>
  </si>
  <si>
    <t>EXP-049</t>
  </si>
  <si>
    <t>Dispositif actif / source qualimétrique transversale</t>
  </si>
  <si>
    <t>Validation active utilisant des requêtes, événements, données, transactions, parcours ou comportements artificiels et contrôlés pour stimuler une cible et recueillir de façon reproductible des observations, signaux et mesures. En production, elle peut prendre la forme de monitoring synthétique exécutant périodiquement des parcours connus afin d’observer disponibilité, fonctionnalité et performance sans dépendre du trafic réel. Dans ToTAL, son usage est plus large : des stimulations synthétiques peuvent soutenir toutes les phases, depuis l’exploration d’une intention et l’épreuve d’un modèle jusqu’à la qualification d’une occurrence diffusée et au suivi durable dans CARE.</t>
  </si>
  <si>
    <t>Conserver comme dispositif actif de Validation et source qualimétrique transversale; déclarer intention et besoin d’information, cible et phase, scénario ou sonde, caractère synthétique des données ou interactions, environnement, fréquence ou déclencheur, points d’observation, métriques, références, seuils, preuves, coût, perturbation possible, couverture, confiance et limites. Distinguer Synthetic testing du Real User Monitoring : le premier produit des observations contrôlées à partir de stimulations artificielles; le second observe des usages réels. Les combiner lorsque le besoin exige à la fois reproductibilité contrôlée et réalité d’usage.</t>
  </si>
  <si>
    <t>Catalogue de scénarios et sondes synthétiques versionnés; besoins d’information; phases et cibles; données et identités synthétiques; environnements; calendrier ou événements déclencheurs; parcours, API et dépendances; observations, métriques, seuils et baselines; Runs; alertes; traces et preuves; couverture; coûts; impacts; faux positifs; limites; corrélation avec télémétrie, RUM et CARE</t>
  </si>
  <si>
    <t>Security testing</t>
  </si>
  <si>
    <t>EXP-050</t>
  </si>
  <si>
    <t>Propriété / risque / domaine</t>
  </si>
  <si>
    <t>Validation d’attentes de sécurité concernant notamment confidentialité, intégrité, disponibilité, identité, autorisation, traçabilité, résilience et exposition aux menaces.</t>
  </si>
  <si>
    <t>Conserver comme domaine de propriétés; relier actifs, menaces, scénarios, contrôles, populations, environnement, preuves et risque résiduel.</t>
  </si>
  <si>
    <t>Penetration testing</t>
  </si>
  <si>
    <t>EXP-051</t>
  </si>
  <si>
    <t>Sécurité / exploitation autorisée</t>
  </si>
  <si>
    <t>Validation de sécurité autorisée simulant des actions adverses afin de déterminer si des faiblesses peuvent être exploitées et quels effets réels elles permettraient dans une portée contrôlée. Penetration testing dépasse l’identification de vulnérabilités, sans constituer une attaque non autorisée.</t>
  </si>
  <si>
    <t>Conserver comme investigation de sécurité strictement autorisée; déclarer mandat, portée, exclusions, règles d’engagement, environnements, données protégées, méthodes permises, critères d’arrêt, restauration, preuves, divulgation et risque résiduel.</t>
  </si>
  <si>
    <t>Autorisation écrite, portée et règles d’engagement, actifs, modèle de menace, environnement, comptes, scénarios, traces, constats reproductibles, impacts, preuves, remédiations, restauration et rapport</t>
  </si>
  <si>
    <t>Functional testing</t>
  </si>
  <si>
    <t>EXP-052</t>
  </si>
  <si>
    <t>Nature de spécification / comportement</t>
  </si>
  <si>
    <t>Validation d’attentes fonctionnelles décrivant ce que la cible doit accomplir, transformer ou rendre observable dans des conditions données.</t>
  </si>
  <si>
    <t>Conserver comme nature de spécification; déclarer capacité, comportement, préconditions, déclencheur, observation et résultat utile.</t>
  </si>
  <si>
    <t>Non functional testing</t>
  </si>
  <si>
    <t>EXP-053</t>
  </si>
  <si>
    <t>Non-functional testing</t>
  </si>
  <si>
    <t>Nature de spécification / propriété ou contrainte</t>
  </si>
  <si>
    <t>Validation d’attentes portant principalement sur une propriété, contrainte, convention, structure ou condition applicable à la cible ou à son fonctionnement.</t>
  </si>
  <si>
    <t>Normaliser en Non-functional testing; déclarer propriété, mesure ou règle, contexte, référence, seuil, confiance et limites.</t>
  </si>
  <si>
    <t>Continuous testing</t>
  </si>
  <si>
    <t>EXP-054</t>
  </si>
  <si>
    <t>Contexte / temporalité / feedback</t>
  </si>
  <si>
    <t>Organisation fréquente et intégrée des activités de Validation tout au long du flux de réalisation et d’exploitation afin de fournir des rétroactions utiles. Continuous ne signifie ni permanent, ni exhaustif.</t>
  </si>
  <si>
    <t>Conserver comme contexte et temporalité; déclarer événements déclencheurs, couverture, délai de feedback, coûts, responsabilités et CARE.</t>
  </si>
  <si>
    <t>Holistic testing</t>
  </si>
  <si>
    <t>EXP-055</t>
  </si>
  <si>
    <t>Approche transversale / Validation partout dans la réalisation</t>
  </si>
  <si>
    <t>Approche transversale dans laquelle les activités de Validation, de prévention, d’investigation, d’observation et d’apprentissage sont intégrées au fur et à mesure dans toute la réalisation, plutôt que regroupées dans une phase, une équipe ou un point de contrôle unique. Holistic testing mobilise les perspectives, propriétés, portées, techniques et preuves pertinentes à chaque phase, puis poursuit l’observation des effets réels dans CARE. Il cherche la cohérence de l’ensemble du produit et de ses interactions sans exiger que tout soit testé partout ni que chaque activité soit permanente.</t>
  </si>
  <si>
    <t>Conserver comme approche transversale de qualité intégrée; pour chaque phase, déclarer les questions de Validation, risques, spécifications, modèles, investigations, activités de prévention, techniques, observations, preuves, responsabilités et boucles de rétroaction utiles. Ne pas confondre Holistic testing avec une campagne finale exhaustive, System testing, E2E testing ou Continuous testing : l’holistique précise la distribution et la cohérence de la Validation dans l’ensemble de la réalisation; le continu précise surtout sa fréquence et son intégration au flux.</t>
  </si>
  <si>
    <t>Carte de Validation à travers Éliciter, Définir, Planifier, Implémenter, Diffuser et Confirmer; risques et attributs qualité; spécifications et modèles produit; toolbox et investigations; validations statiques et dynamiques; responsabilités partagées; automatisation et activités humaines; preuves et couverture par phase; décisions; apprentissages et suivi CARE</t>
  </si>
  <si>
    <t>Destructive testing</t>
  </si>
  <si>
    <t>EXP-056</t>
  </si>
  <si>
    <t>Résilience / dommages contrôlés</t>
  </si>
  <si>
    <t>Validation provoquant intentionnellement, dans un cadre contrôlé, une dégradation, une corruption, une saturation ou une perte afin d’observer protections, détection, confinement, récupération et conséquences. Destructive qualifie l’effet provoqué; il exige autorisation et limitation du rayon d’impact.</t>
  </si>
  <si>
    <t>Conserver avec garde-fous forts; déclarer cible, dommages permis et interdits, environnement isolé, sauvegardes, critères d’arrêt, observabilité, responsabilités, récupération, élimination des données et preuves.</t>
  </si>
  <si>
    <t>Autorisation, scénario de dommage, environnement isolé, sauvegarde, critères d’arrêt, mesures de protection, Runs, incidents, récupération, preuves et bilan</t>
  </si>
  <si>
    <t>Chaos testing</t>
  </si>
  <si>
    <t>EXP-057</t>
  </si>
  <si>
    <t>Résilience / expérimentation de défaillances</t>
  </si>
  <si>
    <t>Expérimentation contrôlée introduisant des défaillances ou perturbations dans un système afin d’éprouver ses hypothèses de résilience, sa tolérance aux pannes, son observabilité et sa récupération. Chaos ne signifie ni absence de protocole ni destruction incontrôlée.</t>
  </si>
  <si>
    <t>Conserver comme modalité expérimentale de résilience; déclarer hypothèse, état stable attendu, perturbation, rayon d’impact, environnement, protections, critères d’arrêt, métriques, autorité, rollback et apprentissages.</t>
  </si>
  <si>
    <t>Hypothèse, architecture et dépendances, état stable, expérience, rayon d’impact, observabilité, Runs, mesures, incidents, restauration, preuves et apprentissages</t>
  </si>
  <si>
    <t>Performance testing</t>
  </si>
  <si>
    <t>EXP-058</t>
  </si>
  <si>
    <t>Propriété / comportement sous conditions</t>
  </si>
  <si>
    <t>Validation des comportements de temps, débit, capacité, utilisation ou saturation sous des charges, populations, données et environnements déclarés.</t>
  </si>
  <si>
    <t>Conserver comme propriété; définir charge, profil, fenêtre, environnement, métriques, percentiles, seuils, variabilité et limites.</t>
  </si>
  <si>
    <t>Accessibility testing</t>
  </si>
  <si>
    <t>EXP-059</t>
  </si>
  <si>
    <t>Propriété / population / comportement</t>
  </si>
  <si>
    <t>Validation de la capacité de personnes aux modalités et besoins déclarés à percevoir, comprendre, naviguer, interagir et accomplir leurs intentions avec le produit.</t>
  </si>
  <si>
    <t>Conserver comme propriété et comportement; déclarer populations, technologies d’assistance, modalités, tâches, références, preuves et limites.</t>
  </si>
  <si>
    <t>Compliance testing</t>
  </si>
  <si>
    <t>EXP-060</t>
  </si>
  <si>
    <t>Finalité / obligations applicables / autorité</t>
  </si>
  <si>
    <t>Validation structurée déterminant dans quelle mesure un produit, système, processus, contrôle ou ensemble de preuves satisfait des obligations applicables explicitement identifiées, notamment lois, règlements, normes imposées, engagements contractuels et politiques organisationnelles autorisées. Compliance testing produit des observations et preuves contextualisées pour soutenir gouvernance, audit, remédiation et décision; il ne constitue pas à lui seul un avis juridique, une certification ni une garantie d’absence de non-conformité.</t>
  </si>
  <si>
    <t>Conserver comme finalité référencée; déclarer juridiction et autorité, texte ou politique exacts, version et date d’applicabilité, objet et périmètre, exigences atomisées, critères et méthodes, populations et environnements, contrôles, preuves, dérogations, responsabilités, fréquence de réévaluation, risques résiduels et décisions distinctes. Distinguer conformité réglementaire, conformité à une norme, sécurité, audit et certification.</t>
  </si>
  <si>
    <t>Registre des obligations applicables; juridictions, autorités, normes et politiques versionnées; cartographie exigences-spécifications-contrôles-validations; périmètre et exclusions; responsables; cas et Runs; observations; preuves d’audit; écarts et causes; dérogations; remédiations; revalidation; historique; risques et limites</t>
  </si>
  <si>
    <t>Legal testing</t>
  </si>
  <si>
    <t>EXP-061</t>
  </si>
  <si>
    <t>Legal validation</t>
  </si>
  <si>
    <t>Finalité / obligations juridiques applicables / autorité</t>
  </si>
  <si>
    <t>Validation des fonctionnalités, contenus, données, usages, contrats, licences, dépendances et diffusion au regard des lois et droits applicables; elle ne remplace pas un avis juridique.</t>
  </si>
  <si>
    <t>Conserver la décision documentée; déclarer objet, contexte, références, méthodes, preuves, responsabilités et limites.</t>
  </si>
  <si>
    <t>Intention, cible, références, versions, données, environnement, Runs, observations, preuves, décisions, couverture, confiance et limites</t>
  </si>
  <si>
    <t>Redaction testing</t>
  </si>
  <si>
    <t>EXP-062</t>
  </si>
  <si>
    <t>Wording and content validation</t>
  </si>
  <si>
    <t>Contenu rédactionnel omnicanal / cohésion produit</t>
  </si>
  <si>
    <t>Validation de l’ensemble de la rédaction associée au produit et à son écosystème, qu’elle soit intégrée au logiciel ou diffusée par d’autres canaux : libellés, messages, aide, tutoriels, documentation, formation, marketing, vente, publicité, réseaux sociaux, soutien, communications opérationnelles et contenus de marque. Elle qualifie exactitude, clarté, cohérence intercanal, terminologie du domaine, orthographe, grammaire, ton, actionnabilité, accessibilité, localisation, internationalisation et continuité avec les capacités, usages, engagements et limites réels du produit. Le travail peut être réalisé par une personne ou collectivement; le nombre de participants ne définit pas la Validation.</t>
  </si>
  <si>
    <t>Normaliser Redaction testing vers Validation rédactionnelle et des contenus; inventorier canaux, audiences, propriétaires, contenus, variantes et dépendances; déclarer langue, locale, domaine, terminologie approuvée, message produit, règles éditoriales et de marque, obligations juridiques, accessibilité, traduction, workflow de revue, preuves, décisions et limites. Relier sans confondre Terminology, Documentation, Tutorial, Help, Support, Brand, Localization, Internationalization, Accessibility et Legal validation.</t>
  </si>
  <si>
    <t>Inventaire omnicanal versionné; carte contenus-capacités-publics-canaux; glossaire et terminologie de domaine; guide rédactionnel et de marque; langues et locales; règles d’accessibilité et juridiques; sources produit; tutoriels et documentation; campagnes et publications; revues individuelles ou collectives; approbations éditoriales distinctes; captures et preuves; cohérence intercanal; couverture, historique et limites</t>
  </si>
  <si>
    <t>Localization testing</t>
  </si>
  <si>
    <t>EXP-063</t>
  </si>
  <si>
    <t>Locale / adaptation d’une version</t>
  </si>
  <si>
    <t>Validation d’une version adaptée à un locale déclaré afin de confirmer langue, contenu, formats, calendriers, unités, devises, tri, saisie, conventions, contraintes juridiques et adéquation culturelle applicables. Localization qualifie une adaptation concrète; elle ne démontre pas à elle seule la capacité générale d’internationalisation.</t>
  </si>
  <si>
    <t>Conserver comme Validation d’un locale ciblé; déclarer langue, région, population, version, contenus traduits, formats, conventions, législation applicable, données, technologies d’assistance, personnes compétentes et preuves.</t>
  </si>
  <si>
    <t>Locale et population, ressources traduites, formats et règles régionales, données, écrans, documentation, scénarios, revues locales, Runs, preuves et limites</t>
  </si>
  <si>
    <t>Internationalization testing</t>
  </si>
  <si>
    <t>EXP-064</t>
  </si>
  <si>
    <t>Adaptabilité à plusieurs locales / architecture</t>
  </si>
  <si>
    <t>Validation de la capacité du produit à être adapté à différentes langues et régions sans modification d’ingénierie spécifique à chaque locale, notamment externalisation des ressources, Unicode, formats paramétrables, expansion du texte, direction d’écriture et séparation du contenu et du code.</t>
  </si>
  <si>
    <t>Conserver comme propriété d’adaptabilité architecturale; déclarer locales cibles, encodages, formats, calendriers, direction, règles de pluralisation, ressources externes, disposition adaptable, données et limites.</t>
  </si>
  <si>
    <t>Architecture d’internationalisation, ressources, encodages, formats, dispositions, pseudo-localisation, jeux de données, Runs, preuves et couverture des locales</t>
  </si>
  <si>
    <t>Development testing</t>
  </si>
  <si>
    <t>EXP-065</t>
  </si>
  <si>
    <t>Development validation</t>
  </si>
  <si>
    <t>Contexte de réalisation / feedback pendant le développement</t>
  </si>
  <si>
    <t>Validation intégrée au travail de développement afin de clarifier, prévenir, éprouver et confirmer progressivement les changements pendant leur conception et leur implémentation. Development qualifie le contexte de réalisation; il ne détermine ni la portée, ni la technique, ni la propriété.</t>
  </si>
  <si>
    <t>Normaliser Development testing vers Validation en contexte de développement; déclarer changement, intention, spécifications, modèle, occurrence, responsabilités, techniques, environnements, feedback, preuves et conditions de passage.</t>
  </si>
  <si>
    <t>Intention; objet; spécifications; modèles; changements; environnements; cas; Runs; observations; preuves; couverture; apprentissages et limites.</t>
  </si>
  <si>
    <t>A/B testing</t>
  </si>
  <si>
    <t>EXP-066</t>
  </si>
  <si>
    <t>Expérimentation comparative / variantes</t>
  </si>
  <si>
    <t>Expérimentation comparative exposant des populations ou unités d’observation à une version de contrôle A et à une variante B afin d’estimer leur différence sur un objectif et des métriques déclarés. A/B peut porter sur un élément visuel, un comportement, un parcours, une règle ou une offre; ce n’est donc pas uniquement du Visual testing. Plusieurs variantes relèvent préférablement de A/B/n testing ou d’une expérimentation multivariée plutôt que d’un type canonique « C/D testing ».</t>
  </si>
  <si>
    <t>Conserver comme expérimentation; déclarer hypothèse, contrôle et variantes, unité d’assignation, randomisation, allocation du trafic, population, exposition cohérente, objectif principal, métriques de garde-fou, taille et durée planifiées, analyse statistique, biais, critères d’arrêt, effet observé et décision distincte.</t>
  </si>
  <si>
    <t>Plan d’expérimentation, hypothèse, variantes versionnées, population et consentement ou information applicable, mécanisme d’assignation, allocation, instrumentation, qualité des données, métriques, résultats, incertitude, segments, décision, apprentissages et limites</t>
  </si>
  <si>
    <t>Concurrent testing</t>
  </si>
  <si>
    <t>EXP-067</t>
  </si>
  <si>
    <t>Alias ambigu / exécution ou comportement</t>
  </si>
  <si>
    <t>À déprécier</t>
  </si>
  <si>
    <t>Expression ambiguë pouvant viser des validations exécutées simultanément ou le comportement du produit sous opérations concurrentes. Elle mélange l’organisation des Runs et la propriété observée de la cible.</t>
  </si>
  <si>
    <t>Rediriger vers Parallel testing pour l’exécution simultanée, ou vers Concurrency testing pour les opérations qui se chevauchent.</t>
  </si>
  <si>
    <t>Intention, cible, Runs, simultanéité, ressources partagées, redirection, observations, preuves et limites</t>
  </si>
  <si>
    <t>Collision testing</t>
  </si>
  <si>
    <t>EXP-068</t>
  </si>
  <si>
    <t>Interférence / ressources partagées / cohérence</t>
  </si>
  <si>
    <t>Validation visant les interférences indésirables entre composants, Runs, sessions ou opérations utilisant des états, données, fichiers, ports, verrous, caches ou identifiants partagés.</t>
  </si>
  <si>
    <t>Déclarer acteurs, ressources, chevauchements, invariants, isolation, erreurs recherchées, reproductibilité et preuves.</t>
  </si>
  <si>
    <t>Carte des ressources, scénarios, données, isolation, journaux, Runs, preuves et limites</t>
  </si>
  <si>
    <t>Spaghetit testing</t>
  </si>
  <si>
    <t>EXP-069</t>
  </si>
  <si>
    <t>Spaghetti testing</t>
  </si>
  <si>
    <t>Maintenabilité / structure du code</t>
  </si>
  <si>
    <t>Expression métaphorique historique visant à détecter ou prévenir le code spaghetti : enchevêtrement excessif des responsabilités, contrôles, dépendances et chemins rendant le code difficile à comprendre, valider, modifier et maintenir.</t>
  </si>
  <si>
    <t>Normaliser en Spaghetti testing et conserver comme métaphore locale de maintenabilité; préférer des propriétés mesurables comme couplage, cohésion, complexité, dépendances et testabilité.</t>
  </si>
  <si>
    <t>Bread testing</t>
  </si>
  <si>
    <t>EXP-070</t>
  </si>
  <si>
    <t>Métaphore locale visant à éviter un code organisé en bloc compact ou en « pain », dont les responsabilités sont insuffisamment séparées et dont la découpe, la compréhension, la réutilisation et la Validation deviennent difficiles.</t>
  </si>
  <si>
    <t>Conserver avec prudence comme métaphore locale; documenter le sens recherché et préférer les propriétés canoniques de modularité, séparation des responsabilités, cohésion et couplage.</t>
  </si>
  <si>
    <t>Circular testing</t>
  </si>
  <si>
    <t>EXP-071</t>
  </si>
  <si>
    <t>Architecture / dépendances / cycles</t>
  </si>
  <si>
    <t>Validation visant à révéler ou prévenir les cycles indésirables dans les dépendances, appels, références, flux ou états, notamment lorsque ces cycles créent couplage, récursion non maîtrisée, blocage ou comportement sans terminaison.</t>
  </si>
  <si>
    <t>Conserver comme expression orientée structure; déclarer le graphe observé, les cycles permis ou interdits, les critères de terminaison et les effets recherchés.</t>
  </si>
  <si>
    <t>Solid testing</t>
  </si>
  <si>
    <t>EXP-072</t>
  </si>
  <si>
    <t>SOLID testing</t>
  </si>
  <si>
    <t>Conception / maintenabilité / principes SOLID</t>
  </si>
  <si>
    <t>Validation de la conception et du code au regard des principes SOLID : responsabilité unique, ouverture-fermeture, substitution de Liskov, ségrégation des interfaces et inversion des dépendances. Ce terme ne désigne pas un test d’endurance.</t>
  </si>
  <si>
    <t>Normaliser en SOLID testing; évaluer chaque principe avec des attentes observables, des revues ou analyses statiques, des tests de substituabilité et des preuves de découplage, sans transformer SOLID en conformité dogmatique.</t>
  </si>
  <si>
    <t>Benchmark testing</t>
  </si>
  <si>
    <t>EXP-073</t>
  </si>
  <si>
    <t>Benchmark validation</t>
  </si>
  <si>
    <t>Comparaison à des références internes, externes ou de marché</t>
  </si>
  <si>
    <t>Validation comparative du produit, Service, capacité, propriété, processus ou résultat envers une référence interne, historique, sectorielle, normative, concurrentielle ou de marché.</t>
  </si>
  <si>
    <t>RoI testing</t>
  </si>
  <si>
    <t>EXP-074</t>
  </si>
  <si>
    <t>ROI validation</t>
  </si>
  <si>
    <t>Valeur et économie / rentabilité de l’investissement</t>
  </si>
  <si>
    <t>Validation du retour attribuable à un investissement en confrontant coûts, gains, pertes, hypothèses, horizon, comparateur et effets observés.</t>
  </si>
  <si>
    <t>Conformence testing</t>
  </si>
  <si>
    <t>EXP-075</t>
  </si>
  <si>
    <t>Conformance testing</t>
  </si>
  <si>
    <t>Alias orthographique / conformité à une référence déclarée</t>
  </si>
  <si>
    <t>Expression source comportant une faute, normalisée vers Conformance testing. La conformance qualifie principalement l’adhérence d’un produit, service, protocole ou processus à une spécification, une norme technique, un contrat ou une référence déclarée. Elle chevauche Compliance testing lorsque la référence est imposée par une autorité ou une politique applicable, mais ne doit pas laisser entendre automatiquement une conformité juridique ou une certification officielle.</t>
  </si>
  <si>
    <t>Corriger Conformence en Conformance testing; rediriger vers Compliance testing lorsque l’intention concerne des obligations réglementaires ou organisationnelles, ou vers Validation basée sur spécification, Contract testing ou Standard conformance selon la référence. Préserver la provenance et déclarer référence, version, autorité, critères, portée, preuves et limites.</t>
  </si>
  <si>
    <t>Expression originale et terme normalisé; référence normative, contractuelle ou réglementaire; version; autorité; exigences applicables; matrice de traçabilité; méthodes et critères; cas et Runs; observations; preuves; écarts; dérogations; décision et limites</t>
  </si>
  <si>
    <t>Output testing</t>
  </si>
  <si>
    <t>EXP-076</t>
  </si>
  <si>
    <t>Output validation</t>
  </si>
  <si>
    <t>Sortie / résultat observable / contrat</t>
  </si>
  <si>
    <t>Validation des sorties produites, notamment valeurs, messages, documents, fichiers, signaux, événements, états, effets et métadonnées.</t>
  </si>
  <si>
    <t>Property testing</t>
  </si>
  <si>
    <t>EXP-077</t>
  </si>
  <si>
    <t>Technique probabiliste / propriété globale / approximation</t>
  </si>
  <si>
    <t>Technique algorithmique probabiliste déterminant par requêtes limitées si un grand objet satisfait une propriété ou en est suffisamment éloigné. Distinct de Property-based testing.</t>
  </si>
  <si>
    <t>Déclarer propriété, modèle de distance, échantillonnage, probabilités d’erreur, confiance et limites.</t>
  </si>
  <si>
    <t>Spécification, modèle produit, contexte, Runs, observations, preuves, couverture et limites</t>
  </si>
  <si>
    <t>Metamorphic testing</t>
  </si>
  <si>
    <t>EXP-078</t>
  </si>
  <si>
    <t>Technique fondée sur propriétés / oracle relationnel</t>
  </si>
  <si>
    <t>Validation par relations métamorphiques reliant cas source, transformations, cas de suivi et sorties lorsque le résultat exact isolé est difficile à connaître.</t>
  </si>
  <si>
    <t>Déclarer transformations, relations, domaine, tolérances, Runs corrélés, violations et limites.</t>
  </si>
  <si>
    <t>Contract testing</t>
  </si>
  <si>
    <t>EXP-079</t>
  </si>
  <si>
    <t>Référence / interaction</t>
  </si>
  <si>
    <t>Validation de la satisfaction d’un contrat versionné entre producteurs et consommateurs, couvrant opérations, messages, schémas, erreurs, invariants, propriétés et compatibilité.</t>
  </si>
  <si>
    <t>Conserver comme Validation référencée; déclarer parties, version, direction, attentes, environnements, dérogations, preuves et portée.</t>
  </si>
  <si>
    <t>AI testing</t>
  </si>
  <si>
    <t>EXP-080</t>
  </si>
  <si>
    <t>AI-enabled system and AI-assisted validation</t>
  </si>
  <si>
    <t>IA / cible, constituant, contributeur et instrument transversal</t>
  </si>
  <si>
    <t>Famille transversale couvrant trois usages distincts et complémentaires : valider l’IA, réaliser avec l’IA et valider avec l’IA. Valider l’IA qualifie les produits, constituants, modèles, agents, systèmes multi-agents, prompts, instructions, données, connaissances, mécanismes RAG, mémoires, outils, orchestrations, décisions, sorties et effets utilisant l’intelligence artificielle. Réaliser avec l’IA qualifie son emploi comme contributeur à l’élicitation, aux spécifications, aux modèles, aux standards, conventions, stratégies, politiques, architectures, données, code, configurations, documentation et apprentissages, notamment dans une démarche SDD où des spécifications claires, versionnées et validables servent de référence commune. Valider avec l’IA qualifie son emploi comme assistant, instrument, évaluateur ou agent pour définir la couverture ToTAL, générer ou sélectionner des cas et données, explorer risques et chemins, analyser spécifications et résultats, détecter anomalies et dérives, rapprocher observations et références, soutenir le diagnostic, l’automatisation, les preuves et la qualimétrie. L’IA amplifie fortement la clarté, la production, la couverture et l’apprentissage, mais amplifie aussi ambiguïtés, erreurs, biais, vulnérabilités et fausses certitudes. Elle ne constitue jamais automatiquement son propre oracle, une preuve suffisante ou une autorité de décision.</t>
  </si>
  <si>
    <t>Conserver comme famille transversale et distinguer explicitement, pour chaque usage, IA comme cible, IA comme actif à définir et configurer, IA comme contributeur à la réalisation, et IA comme instrument ou agent de Validation. Déclarer intention, rôle, modèle et version, prompts et instructions, paramètres, sources et ancrage, données d’entraînement, d’évaluation et d’exploitation selon le cas, mémoire, outils, accès et autonomie, populations, environnements, variabilité, références, évaluateurs, supervision et recours humains, sécurité, confidentialité, équité, explicabilité, performance, coûts, métriques, seuils, preuves, confiance, dérives et limites. Valider l’IA avant de lui confier une responsabilité de Validation, puis requalifier continuellement ses productions et effets dans CARE. Relier aux validations fonctionnelles, statistiques, sémantiques, de données, sécurité, éthique, équité, robustesse, performance, coût, régression, dérive, accessibilité, satisfaction et confiance sans les recréer comme une taxonomie plate.</t>
  </si>
  <si>
    <t>Registre des usages IA et responsabilités; cas d’usage et résultats utiles; modèles, fournisseurs et versions; prompts système, développeur et utilisateur; gabarits, exemples, politiques et instructions versionnés; configurations et paramètres; architecture, RAG, sources, index, mémoire, outils et permissions; données d’entraînement, de réglage et d’évaluation selon applicabilité; spécifications et jeux d’évaluation; scénarios nominaux, négatifs, limites, adverses et d’injection directe ou indirecte; évaluateurs déterministes, statistiques, humains ou assistés par modèle; mesures d’exactitude, pertinence, complétude, cohérence, ancrage, robustesse, stabilité, équité, explicabilité, sécurité, performance, coût et accomplissement; Runs répétés et distributions; traces, appels d’outils et décisions; faux positifs, faux négatifs, biais, incertitude, confiance et limites; régressions, dérives, incidents, supervision, recours, preuves, approbations distinctes et suivi CARE.</t>
  </si>
  <si>
    <t>Shift Left testing</t>
  </si>
  <si>
    <t>EXP-081</t>
  </si>
  <si>
    <t>Stratégie / temporalité</t>
  </si>
  <si>
    <t>Stratégie consistant à déplacer ou renforcer certaines activités de clarification, prévention et Validation plus tôt dans la trajectoire de réalisation afin d’apprendre avant que les coûts et impacts augmentent.</t>
  </si>
  <si>
    <t>Conserver comme stratégie temporelle; préciser quelles activités sont déplacées, pourquoi, avec quels coûts et sans remplacer Diffuser, Confirmer ou CARE.</t>
  </si>
  <si>
    <t>Analytics testing</t>
  </si>
  <si>
    <t>EXP-082</t>
  </si>
  <si>
    <t>Analytics validation</t>
  </si>
  <si>
    <t>Instrument / source / qualité analytique</t>
  </si>
  <si>
    <t>Validation de la chaîne qui transforme événements et données en mesures, agrégations, segments, indicateurs et restitutions, avec collecte, calcul, cohérence et fraîcheur déclarés.</t>
  </si>
  <si>
    <t>test versus testing</t>
  </si>
  <si>
    <t>EXP-083</t>
  </si>
  <si>
    <t>Test versus testing</t>
  </si>
  <si>
    <t>Terminologie / objet versus activité</t>
  </si>
  <si>
    <t>Test désigne une définition, un objet ou une mise à l’épreuve délimitée contribuant à une Validation; testing désigne l’activité de concevoir, préparer, exécuter, observer, analyser et maintenir ces mises à l’épreuve. Validation demeure la discipline englobante.</t>
  </si>
  <si>
    <t>Conserver comme distinction terminologique; employer Test pour l’objet ou la mise à l’épreuve, activité de test pour testing, et Validation pour la discipline.</t>
  </si>
  <si>
    <t>test versus execution testing</t>
  </si>
  <si>
    <t>EXP-084</t>
  </si>
  <si>
    <t>Test versus Run</t>
  </si>
  <si>
    <t>Terminologie / définition versus occurrence</t>
  </si>
  <si>
    <t>Un test ou une définition de Validation est réutilisable; son exécution réelle est un Run daté et contextualisé. Un même test peut produire plusieurs Runs, observations, Checks et résultats.</t>
  </si>
  <si>
    <t>Normaliser execution testing vers Run; conserver séparément définition, occurrence, observations, qualification, preuve et couverture.</t>
  </si>
  <si>
    <t>Statistics testing</t>
  </si>
  <si>
    <t>EXP-085</t>
  </si>
  <si>
    <t>Statistical validation</t>
  </si>
  <si>
    <t>Technique / analyse statistique / confiance</t>
  </si>
  <si>
    <t>Validation des méthodes, calculs et conclusions statistiques, avec population, échantillonnage, hypothèses, distributions, incertitude, biais et reproductibilité déclarés.</t>
  </si>
  <si>
    <t>Traceability testing</t>
  </si>
  <si>
    <t>EXP-086</t>
  </si>
  <si>
    <t>Traceability validation</t>
  </si>
  <si>
    <t>Traçabilité / relation / preuve</t>
  </si>
  <si>
    <t>Validation de l’existence, de l’exactitude et de l’utilité des liens entre intentions, spécifications, modèles, réalisations, définitions de Validation, Runs, preuves, décisions et effets.</t>
  </si>
  <si>
    <t>Conserver comme Validation de la traçabilité; déclarer types de liens, directions, couverture, fraîcheur, ruptures, doublons et usages décisionnels.</t>
  </si>
  <si>
    <t>Cybermetry testing</t>
  </si>
  <si>
    <t>EXP-087</t>
  </si>
  <si>
    <t>Cybermetry capture validation</t>
  </si>
  <si>
    <t>Traçabilité / captation des données numériques</t>
  </si>
  <si>
    <t>Validation de la captation et de la traçabilité des données générées ou recueillies par le Web, le produit et les technologies de l’information. Elle confirme que les événements, champs, identifiants, horodatages, contextes, consentements, provenances et transmissions attendus sont effectivement captés, exacts, complets, non dupliqués, corrélables et préservés jusqu’au point déclaré de remise. Elle ne réalise pas à ce niveau l’analyse, l’interprétation, les règles décisionnelles, l’analytics, le monitoring ou la qualimétrie, même si ces disciplines consomment ensuite les données captées.</t>
  </si>
  <si>
    <t>Normaliser Cybermetry testing vers Cybermetry capture validation; déclarer événements et données attendus, producteurs, points de captation, identifiants et corrélation, schémas, types, horodatage, séquence, consentement et confidentialité, pertes, doublons, transformations permises, transport, destination, accusés de réception, rétention, preuves et limites. Séparer explicitement captation, qualité de données, analyse, indicateurs et décision.</t>
  </si>
  <si>
    <t>Plan de marquage et de captation; catalogue d’événements et champs; schémas versionnés; sources et destinations; identifiants et règles de corrélation; consentements; configuration des capteurs; données attendues et observées; Runs; traces de bout en bout; contrôles de perte, duplication, ordre, exactitude et fraîcheur; preuves; couverture; incidents et limites</t>
  </si>
  <si>
    <t>Tracability testing</t>
  </si>
  <si>
    <t>EXP-088</t>
  </si>
  <si>
    <t>Alias / faute historique</t>
  </si>
  <si>
    <t>Variante orthographique historique et non canonique de Traceability testing. La décision ToTAL conserve la forme originale pour la provenance, mais redirige systématiquement vers la Validation de la traçabilité et ses relations utiles.</t>
  </si>
  <si>
    <t>Rediriger vers Traceability testing; vérifier les liens, directions, ruptures, doublons, fraîcheur et usages décisionnels, puis préserver l’alias uniquement pour la recherche historique.</t>
  </si>
  <si>
    <t>Journalisation testing</t>
  </si>
  <si>
    <t>EXP-089</t>
  </si>
  <si>
    <t>Logging validation</t>
  </si>
  <si>
    <t>Observabilité / production des journaux</t>
  </si>
  <si>
    <t>Validation de la capacité à produire des événements journalisés utiles, structurés, contextualisés, corrélables, sécurisés et suffisamment complets.</t>
  </si>
  <si>
    <t>Log testing</t>
  </si>
  <si>
    <t>EXP-090</t>
  </si>
  <si>
    <t>Log validation</t>
  </si>
  <si>
    <t>Artefact / source d’observation</t>
  </si>
  <si>
    <t>Validation des journaux comme artefacts observables: format, contenu, ordre, horodatage, corrélation, protection et exploitabilité.</t>
  </si>
  <si>
    <t>Data testing</t>
  </si>
  <si>
    <t>EXP-091</t>
  </si>
  <si>
    <t>Data validation</t>
  </si>
  <si>
    <t>Objet / données / propriétés</t>
  </si>
  <si>
    <t>Validation de données selon exactitude, complétude, cohérence, validité, unicité, fraîcheur, intégrité, provenance et adéquation à l’usage.</t>
  </si>
  <si>
    <t>Data Driven testing</t>
  </si>
  <si>
    <t>EXP-092</t>
  </si>
  <si>
    <t>Data-driven testing</t>
  </si>
  <si>
    <t>Technique / paramétrage par données</t>
  </si>
  <si>
    <t>Technique séparant une définition de Validation de plusieurs jeux de données pour produire des Runs comparables.</t>
  </si>
  <si>
    <t>fixture testing</t>
  </si>
  <si>
    <t>EXP-093</t>
  </si>
  <si>
    <t>Test fixture</t>
  </si>
  <si>
    <t>Préparation / état contrôlé</t>
  </si>
  <si>
    <t>Dispositif ou état préparé et réutilisable fournissant objets, données, ressources ou dépendances connus avec installation et nettoyage maîtrisés.</t>
  </si>
  <si>
    <t>harness testing</t>
  </si>
  <si>
    <t>EXP-094</t>
  </si>
  <si>
    <t>Test harness</t>
  </si>
  <si>
    <t>Dispositif d’exécution / orchestration</t>
  </si>
  <si>
    <t>Ensemble coordonné de scripts, pilotes, doubles, données, instruments, exécuteurs et rapporteurs soutenant des Validations répétables.</t>
  </si>
  <si>
    <t>run testing</t>
  </si>
  <si>
    <t>EXP-095</t>
  </si>
  <si>
    <t>Run</t>
  </si>
  <si>
    <t>Occurrence / exécution ou observation</t>
  </si>
  <si>
    <t>Expression à normaliser vers Run : occurrence datée d’exécution ou d’observation d’une définition de Validation dans un contexte réel. Un Run n’est ni le test réutilisable, ni son verdict, ni sa preuve complète.</t>
  </si>
  <si>
    <t>Normaliser vers Run; documenter définition utilisée, occurrence, version, environnement, données, horodatage, observations et artefacts.</t>
  </si>
  <si>
    <t>drive run testing</t>
  </si>
  <si>
    <t>EXP-096</t>
  </si>
  <si>
    <t>Drive Run</t>
  </si>
  <si>
    <t>Confirmation d’usage réel / occurrence complète conduite</t>
  </si>
  <si>
    <t>Occurrence de Validation dans laquelle une unité suffisamment complète du produit est réellement conduite ou opérée par une personne représentative, avec des facteurs, valeurs, interfaces et conditions réels ou fidèlement représentatifs. Drive qualifie l’usage effectivement vécu et piloté : la cible doit posséder les constituants indispensables à l’intention du parcours et une personne doit réellement la conduire. Un assemblage incomplet qui empêche l’usage essentiel, ou une exécution sans acteur lorsque la conduite humaine fait partie de l’intention, n’est pas un Drive Run.</t>
  </si>
  <si>
    <t>Conserver comme première confirmation d’usage représentatif; déclarer unité complète minimale, fonctions indispensables, acteur et représentativité, intention, parcours, facteurs et valeurs, environnement, dépendances réelles ou substituées, écarts au réel, critères de sécurité, observations, données de cybermétrie et qualimétrie, preuves et limites. Ne pas confondre Drive Run avec simple exécution technique, test automatisé sans conduite, démonstration ou usage réel en production.</t>
  </si>
  <si>
    <t>Définition de l’unité complète minimale; justification des éléments présents et absents; profil et autorisation de l’acteur; environnement ou laboratoire; facteurs, valeurs et contexte; scénario ou charte; dépendances et périphériques; Runs datés; observations; traces; retours d’usage; preuves; écarts au réel; couverture et limites</t>
  </si>
  <si>
    <t>test drive testing</t>
  </si>
  <si>
    <t>EXP-097</t>
  </si>
  <si>
    <t>Drive test</t>
  </si>
  <si>
    <t>Définition de confirmation d’usage réel</t>
  </si>
  <si>
    <t>Définition réutilisable d’une mise à l’épreuve par conduite ou opération réelle d’une unité suffisamment complète du produit par une personne représentative. Le Drive test précise l’intention, le niveau minimal de complétude, les facteurs, valeurs, contexte, parcours et observations attendues; son exécution produit un ou plusieurs Drive Runs.</t>
  </si>
  <si>
    <t>Normaliser test drive testing vers Drive test; séparer la définition réutilisable du Drive Run daté; déclarer unité complète minimale, acteur, intention, parcours, facteurs, contexte, environnements, conditions de sécurité, observations, critères, données et limites.</t>
  </si>
  <si>
    <t>Définition versionnée du Drive test; unité et frontières; acteur cible; scénarios; facteurs et valeurs; contexte; préconditions; environnement; instrumentation; observations et critères; liens aux spécifications; Drive Runs; preuves; couverture et limites</t>
  </si>
  <si>
    <t>certification testing</t>
  </si>
  <si>
    <t>EXP-098</t>
  </si>
  <si>
    <t>Certification-oriented validation</t>
  </si>
  <si>
    <t>Finalité / certification d’usage et de plateforme</t>
  </si>
  <si>
    <t>Ensemble de Validations réalisées selon un programme, référentiel et périmètre déclarés afin de produire les preuves requises pour qu’une autorité habilitée puisse certifier l’utilisation d’un logiciel ou matériel dans des plateformes, environnements, dispositifs, configurations, marchés ou contextes déterminés. La certification peut porter sur compatibilité, sécurité, conformité, interopérabilité, performance ou autres exigences du programme; les Validations ne délivrent pas elles-mêmes la certification.</t>
  </si>
  <si>
    <t>Conserver comme Validation orientée certification; déclarer programme et autorité, plateformes et configurations admissibles, versions, usages permis, environnements, matériel et logiciels associés, exigences et méthodes officielles, laboratoires ou compétences, preuves, écarts, corrections, revalidation, durée de validité, surveillance et décision officielle distincte.</t>
  </si>
  <si>
    <t>Programme et référentiel de certification; autorité; plateformes, matériels, logiciels, versions et configurations; matrice d’admissibilité; usages; exigences; méthodes; environnements; cas et Runs; résultats; preuves; écarts; remédiations; rapport; décision; portée, validité et surveillance</t>
  </si>
  <si>
    <t>mapping testing</t>
  </si>
  <si>
    <t>EXP-099</t>
  </si>
  <si>
    <t>Mapping validation</t>
  </si>
  <si>
    <t>Relation / correspondance entre deux représentations</t>
  </si>
  <si>
    <t>Validation des correspondances déclarées entre deux ensembles, modèles, structures, champs, valeurs, états, rôles, règles, événements ou représentations. Elle vérifie que chaque élément source applicable est relié à la bonne cible, avec cardinalité, sens, type, format, transformation, valeur par défaut, condition, priorité et traitement des absences ou collisions appropriés. Les mappings de champs entre API sont un cas fréquent, mais la pratique s’applique à toute relation source-cible et peut alimenter la définition de règles, conditions, tables de décision, switchs et combinaisons.</t>
  </si>
  <si>
    <t>Conserver comme Validation relationnelle générique; déclarer objets source et cible, versions, clés, cardinalités un-à-un/un-à-plusieurs/plusieurs-à-un, direction, types, formats, conversions, dictionnaires de valeurs, conditions, priorités, défauts, nulls, erreurs, collisions, traçabilité, cas et limites. Relier aux spécifications, Contract, Data, API, Conversion, Format, Type, Rules, Decision et Combinatorial testing selon l’intention.</t>
  </si>
  <si>
    <t>Inventaires source et cible; schémas et versions; matrice de mapping; clés et cardinalités; dictionnaires de valeurs; transformations et règles; conditions et priorités; cas nominaux et limites; données d’essai; Runs; écarts; réconciliations; preuves; couverture des correspondances et combinaisons; historique et limites</t>
  </si>
  <si>
    <t>documentation testing</t>
  </si>
  <si>
    <t>EXP-100</t>
  </si>
  <si>
    <t>Documentation validation</t>
  </si>
  <si>
    <t>Artefact produit / contenu de référence / usage</t>
  </si>
  <si>
    <t>Validation de la documentation qui décrit, explique, enseigne, configure, exploite, soutient ou accompagne le produit. Elle qualifie notamment exactitude, complétude utile, cohérence avec la version réelle, lisibilité, actionnabilité, navigation, exemples, prérequis, accessibilité, localisation, traçabilité et maintien dans le temps. La documentation peut être interne ou externe, destinée aux utilisateurs, équipes de soutien, opérations, développeurs, partenaires ou autorités; elle demeure un artefact du produit sans se confondre avec le produit réel.</t>
  </si>
  <si>
    <t>Normaliser documentation testing vers Documentation validation; déclarer audiences, intentions, canaux, propriétaires, versions du produit couvertes, sources de vérité, structure, procédures, exemples, captures, liens, obligations, langues, accessibilité, revues, preuves et fréquence de synchronisation. Relier à Wording and content, Tutorial, Help, Support, Brand, Legal, Localization et Traceability validation sans les confondre.</t>
  </si>
  <si>
    <t>Inventaire documentaire versionné; audiences et usages; carte documentation-capacités-versions; architecture de l’information; guides, références, procédures, tutoriels, aide et notes de version; exemples; captures; liens; terminologie; langues; accessibilité; revues; Runs d’instructions; retours; écarts; décisions; couverture et limites.</t>
  </si>
  <si>
    <t>scenario testing</t>
  </si>
  <si>
    <t>EXP-101</t>
  </si>
  <si>
    <t>Scenario testing</t>
  </si>
  <si>
    <t>Spécification / composition / situation</t>
  </si>
  <si>
    <t>Validation structurée autour d’un scénario : représentation cohérente d’une situation, d’un contexte ou d’un enchaînement de comportements à considérer. Le scénario indique surtout ce qui doit être couvert et peut composer plusieurs spécifications, cas, chemins ou observations; il n’est pas obligatoirement centré sur un utilisateur ni limité à une procédure d’exécution.</t>
  </si>
  <si>
    <t>Conserver comme artefact de modélisation et de couverture; déclarer l’intention, le contexte, les comportements ou spécifications mobilisés, les variantes pertinentes et les limites. Ne pas confondre scénario, cas détaillé, Run ou preuve.</t>
  </si>
  <si>
    <t>case testing</t>
  </si>
  <si>
    <t>EXP-102</t>
  </si>
  <si>
    <t>Test case</t>
  </si>
  <si>
    <t>Définition de Validation / cas borné</t>
  </si>
  <si>
    <t>Validation au moyen d’un cas borné décrivant une cible et une combinaison déterminée de conditions, données, actions ou stimuli, observations attendues et critères. Le cas définit comment mettre à l’épreuve une intention précise; il peut être exécuté plusieurs fois et produire plusieurs Runs.</t>
  </si>
  <si>
    <t>Normaliser l’expression vers Test case; documenter identifiant, intention, cible, préconditions, données, actions ou stimuli, observations attendues, critères et traçabilité. Ne pas confondre le cas avec la spécification qu’il couvre, son exécution ou son résultat.</t>
  </si>
  <si>
    <t>path testing</t>
  </si>
  <si>
    <t>EXP-103</t>
  </si>
  <si>
    <t>Path testing</t>
  </si>
  <si>
    <t>Technique / parcours / graphe</t>
  </si>
  <si>
    <t>Technique de Validation qui sélectionne et exerce un ou plusieurs chemins dans un graphe de contrôle, d’état, de données, de dépendances ou de navigation afin de confirmer les transitions, décisions, conditions et résultats observables associés.</t>
  </si>
  <si>
    <t>Conserver comme technique de sélection et de couverture; déclarer le modèle ou graphe, le point de départ, la destination ou condition d’arrêt, les branches et boucles applicables, les chemins couverts, les oracles et les chemins exclus ou impossibles.</t>
  </si>
  <si>
    <t>navigation testing</t>
  </si>
  <si>
    <t>EXP-104</t>
  </si>
  <si>
    <t>Navigation testing</t>
  </si>
  <si>
    <t>Interface / comportement / cheminement</t>
  </si>
  <si>
    <t>Validation des comportements de navigation d’une interface ou d’un espace informationnel : une destination, capacité ou information demandée doit être accessible par des liens, menus, commandes, recherche, historique ou autres mécanismes cohérents, sans rupture ni impasse indésirable.</t>
  </si>
  <si>
    <t>Conserver comme comportement d’interface et, selon l’intention, comme propriété d’utilisabilité; déclarer origine, destination, mécanisme, contexte, rôles ou populations, résultats attendus, retours, liens rompus, impasses, cohérence et accessibilité. Ne pas réduire la navigation à un clic ou à un seul chemin technique.</t>
  </si>
  <si>
    <t>flow testing</t>
  </si>
  <si>
    <t>EXP-105</t>
  </si>
  <si>
    <t>Flow testing</t>
  </si>
  <si>
    <t>Technique / modèle de flux</t>
  </si>
  <si>
    <t>Validation d’un flux déclaré de contrôle, données, événements, travail, états ou interactions afin de confirmer les transitions, l’ordre, les conditions, les attentes, les blocages et les résultats associés.</t>
  </si>
  <si>
    <t>Conserver comme technique fondée sur un modèle; préciser le type de flux, les frontières, nœuds, transitions, branches, boucles, délais, preuves et liens avec Path testing.</t>
  </si>
  <si>
    <t>limite testing</t>
  </si>
  <si>
    <t>EXP-106</t>
  </si>
  <si>
    <t>Boundary Value Analysis</t>
  </si>
  <si>
    <t>Sélection de cas / frontières</t>
  </si>
  <si>
    <t>Expression locale normalisée vers Boundary Value Analysis, technique sélectionnant les frontières de partitions ordonnées et leurs voisines selon la rigueur choisie.</t>
  </si>
  <si>
    <t>Déclarer partitions, bornes, inclusivité, valeurs voisines, approche 2 ou 3 valeurs et couverture.</t>
  </si>
  <si>
    <t>Partitions, frontières, voisinage, cas, Runs, couverture et limites</t>
  </si>
  <si>
    <t>treshold testing</t>
  </si>
  <si>
    <t>EXP-107</t>
  </si>
  <si>
    <t>Threshold testing</t>
  </si>
  <si>
    <t>Sélection de cas / seuil</t>
  </si>
  <si>
    <t>Validation du comportement sous, au niveau et au-dessus d’un seuil déclaré déclenchant une qualification, alerte, transition ou changement de règle.</t>
  </si>
  <si>
    <t>Déclarer objet, seuil, unité, tolérance, inclusivité, fenêtre, valeurs voisines et preuves.</t>
  </si>
  <si>
    <t>Spécification du seuil, valeurs, Runs, mesures, Checks et preuves</t>
  </si>
  <si>
    <t>standard testing</t>
  </si>
  <si>
    <t>EXP-108</t>
  </si>
  <si>
    <t>Standard conformance validation</t>
  </si>
  <si>
    <t>Référence / norme déclarée / conformance</t>
  </si>
  <si>
    <t>Validation de l’adhérence à une norme déclarée et versionnée, obligatoire, contractuelle ou volontaire.</t>
  </si>
  <si>
    <t>source testing</t>
  </si>
  <si>
    <t>EXP-109</t>
  </si>
  <si>
    <t>Browser source and diagnostics validation</t>
  </si>
  <si>
    <t>Navigateur / source livrée / diagnostics techniques</t>
  </si>
  <si>
    <t>Validation, depuis les outils de développement du navigateur, de la réalité technique livrée et exécutée par une page ou application Web : source reçue, DOM, scripts, styles, ressources, console, stockage, requêtes et réponses réseau, en-têtes, statuts, chronologie, erreurs et avertissements.</t>
  </si>
  <si>
    <t>Déclarer URL, navigateur, version, environnement, éléments inspectés, console, réseau, références, preuves et limites.</t>
  </si>
  <si>
    <t>URL et version; navigateur; source et DOM; console; réseau; erreurs; captures ou traces; Runs; preuves et limites.</t>
  </si>
  <si>
    <t>code testing</t>
  </si>
  <si>
    <t>EXP-110</t>
  </si>
  <si>
    <t>Code quality validation</t>
  </si>
  <si>
    <t>Code propre / maintenabilité / sécurité / conception</t>
  </si>
  <si>
    <t>Validation du code source et de ses propriétés de qualité afin de soutenir un code propre, compréhensible, cohérent, maintenable, sécuritaire, testable et adaptable. Elle peut combiner revues, analyses statiques, règles de codage, mesures et outils tels que SonarQube, ainsi que des principes de conception comme SOLID. Code testing qualifie le code comme objet; il ne se réduit ni à l’exécution de tests unitaires, ni à un score d’outil, ni à une porte de contrôle.</t>
  </si>
  <si>
    <t>Normaliser code testing vers Code quality validation; déclarer langages, dépôts, versions et périmètres, conventions, règles, propriétés recherchées, analyseurs, profils et quality gates éventuels, complexité, duplication, dette, vulnérabilités, testabilité, principes SOLID, faux positifs, exceptions, preuves et limites. Relier à Static, Maintainability, Security, SOLID, Modularity, Indentation, Spaghetti, Circular et E2E in code testing sans les confondre.</t>
  </si>
  <si>
    <t>Dépôts et versions; standards et guides de code; profils d’analyse; configuration SonarQube ou outils équivalents; revues; constats statiques; complexité; duplication; dette; vulnérabilités; principes SOLID; exceptions; tendances; preuves; couverture et limites.</t>
  </si>
  <si>
    <t>architecture testing</t>
  </si>
  <si>
    <t>EXP-111</t>
  </si>
  <si>
    <t>Architecture validation</t>
  </si>
  <si>
    <t>DÉFINIR / architecture multidimensionnelle du produit</t>
  </si>
  <si>
    <t>Validation des architectures qui organisent les constituants, espaces, responsabilités, relations, flux, contraintes et qualités d’un produit ou de son écosystème. Dans ToTAL, l’architecture ne se limite pas au code ou au logiciel : elle peut concerner l’information, l’UI, l’interaction, les données, les applications, les Services, l’infrastructure, la machine, le matériel, le réseau, la sécurité, l’exploitation ou toute autre structure utile, par analogie avec l’architecture immobilière, véhiculaire ou paysagère. Elle appartient à DÉFINIR, comme spécialisation de Design validation et Product modelling validation, et doit être décrite par des modèles et des spécifications.</t>
  </si>
  <si>
    <t>Normaliser architecture testing vers Architecture validation; déclarer objet architectural, intention, point de vue, niveau d’abstraction, frontières, constituants, responsabilités, relations, flux, décisions, alternatives, contraintes, propriétés, risques, modèles, spécifications, cohérence entre vues, évolution, preuves et limites. Ne pas réduire Architecture validation à l’architecture du code ni confondre architecture, design détaillé, implémentation et simple diagramme.</t>
  </si>
  <si>
    <t>Dossier d’architecture versionné; intentions et spécifications; vues et modèles; architecture de l’information et UI; domaines, données et applications; Services et intégrations; infrastructure, machine, matériel et réseau; sécurité et exploitation; décisions et alternatives; contraintes; revues; prototypes ou simulations; preuves; historique et limites.</t>
  </si>
  <si>
    <t>framework testing</t>
  </si>
  <si>
    <t>EXP-112</t>
  </si>
  <si>
    <t>Framework validation</t>
  </si>
  <si>
    <t>Cadre technique ou méthodologique / soutien du produit</t>
  </si>
  <si>
    <t>Validation qu’un framework choisi, configuré, étendu ou construit est correctement utilisé et suffisamment solide pour soutenir durablement le produit. Elle qualifie notamment adéquation au besoin, conventions, fonctionnalités offertes, intégration, extensibilité, compatibilité, sécurité, performance, stabilité, maintenabilité, testabilité, documentation, soutien, dépendances et évolution. Framework peut désigner une infrastructure technique de développement ou de Validation, ou un cadre méthodologique; le sens doit être déclaré.</t>
  </si>
  <si>
    <t>Normaliser framework testing vers Framework validation; déclarer framework et type, version, usage prévu, capacités utilisées et exclues, conventions, extensions, dépendances, intégrations, compatibilité, sécurité, charge, stabilité, mises à jour, obsolescence, support, licences, documentation, preuves et limites. Distinguer la Validation du framework lui-même, la Validation de son utilisation par le produit et la Validation du produit construit avec lui.</t>
  </si>
  <si>
    <t>Framework et version; intention et critères de sélection; architecture d’utilisation; conventions et configuration; extensions; dépendances; matrices de compatibilité; cas d’intégration; performance et sécurité; documentation; mises à jour; support et cycle de vie; Runs; preuves; risques et limites.</t>
  </si>
  <si>
    <t>Formal testing</t>
  </si>
  <si>
    <t>EXP-113</t>
  </si>
  <si>
    <t>Approche structurée / planification / documentation / traçabilité</t>
  </si>
  <si>
    <t>Approche de Validation réalisée selon un cadre défini comprenant une intention et une portée planifiées, des spécifications ou résultats attendus explicites, des cas documentés, une procédure d’exécution connue, des Runs enregistrés, une traçabilité et des preuves. Dans ToTAL, Formal testing constitue l’approche normale de maîtrise : la structure rend le travail explicite et auditable, tandis que l’amélioration continue permet d’ajuster progressivement plans, cas, procédures, références et documentation selon les apprentissages. Formal ne signifie donc ni rigide, ni immuable, ni opposé à l’exploration.</t>
  </si>
  <si>
    <t>Conserver Formal testing comme approche transversale pleinement adoptée par ToTAL; déclarer plan, intention, portée, références, cas ou chartes structurées, résultats attendus, procédures, données, environnements, responsabilités, Runs, observations, anomalies, traçabilité, preuves, couverture, changements, revues et limites. Versionner les ajustements et préserver l’historique. Distinguer Formal testing des méthodes formelles mathématiques, de Formal verification et d’une bureaucratie documentaire sans utilité.</t>
  </si>
  <si>
    <t>Plan et stratégie versionnés; spécifications et références; cas documentés; procédures et données; résultats attendus; environnements; responsabilités; calendrier; Runs et journaux; observations et résultats; anomalies; matrice de traçabilité; preuves; couverture; rapports; changements; apprentissages et historique.</t>
  </si>
  <si>
    <t>Graphical testing</t>
  </si>
  <si>
    <t>EXP-114</t>
  </si>
  <si>
    <t>Alias ambigu / GUI ou rendu visuel</t>
  </si>
  <si>
    <t>Expression ambiguë pouvant viser la Validation d’une interface graphique et de ses interactions, ou la Validation du rendu visuel par comparaison. Elle ne doit pas demeurer autonome, car elle confond la modalité d’interface avec la propriété ou la technique visuelle.</t>
  </si>
  <si>
    <t>Déprécier Graphical testing; rediriger vers GUI testing lorsque l’objet est l’interface graphique et ses interactions, ou vers Visual testing lorsque l’intention porte sur le rendu, les baselines, captures, différences et cohérence visuelle.</t>
  </si>
  <si>
    <t>Intention d’origine, objet et interface, propriété visuelle recherchée, redirection choisie, scénarios, captures éventuelles, interactions, preuves et limites</t>
  </si>
  <si>
    <t>Terminal testing</t>
  </si>
  <si>
    <t>EXP-115</t>
  </si>
  <si>
    <t>Interface et dispositif terminal / usage produit</t>
  </si>
  <si>
    <t>Validation de l’utilisation du produit par un terminal déclaré, physique ou logiciel, incluant l’interface terminale, les entrées et sorties, périphériques, protocoles, sessions, affichage, commandes, ressources, connectivité et comportements d’usage propres au terminal. Terminal précise le point d’accès ou dispositif; il ne détermine pas à lui seul la portée, la plateforme, la technique ou la finalité.</t>
  </si>
  <si>
    <t>Conserver comme coordonnée d’interface et de dispositif; déclarer type de terminal, matériel ou émulation, utilisateur ou système consommateur, périphériques, OS et versions, interfaces, capacités, contraintes, connectivité, sécurité, accessibilité, scénarios, erreurs, preuves et matrice applicable. Préciser s’il s’agit d’un terminal de commande, de paiement, industriel, mobile, embarqué ou autre.</t>
  </si>
  <si>
    <t>Inventaire et matrice des terminaux; matériel, émulateurs et périphériques; versions et configurations; interfaces et protocoles; profils d’usage; scénarios; données; environnements; Runs; observations; preuves; compatibilité; sécurité; performance; accessibilité; couverture et limites</t>
  </si>
  <si>
    <t>Independent testing</t>
  </si>
  <si>
    <t>EXP-116</t>
  </si>
  <si>
    <t>Organisation / indépendance de perspective</t>
  </si>
  <si>
    <t>Validation avec un degré déclaré de séparation entre réalisation et perspective de Validation afin de diversifier le regard. Elle n’est ni objectivité absolue ni douane QA.</t>
  </si>
  <si>
    <t>Déclarer degré d’indépendance, responsabilités, accès, compétences, collaboration, biais et limites.</t>
  </si>
  <si>
    <t>Rôles, mandat, accès, critères, échanges, observations, preuves et limites</t>
  </si>
  <si>
    <t>Manuel testing</t>
  </si>
  <si>
    <t>EXP-117</t>
  </si>
  <si>
    <t>Manual testing</t>
  </si>
  <si>
    <t>Mode d’exécution humain</t>
  </si>
  <si>
    <t>Validation dont une personne réalise directement tout ou partie de la préparation, de la stimulation, de l’observation, de la comparaison, de l’investigation ou de la collecte de preuves. Manual qualifie le mode d’exécution; il ne détermine ni l’objet, ni la portée, ni la technique, ni la valeur de la Validation.</t>
  </si>
  <si>
    <t>Normaliser en Manual testing; déclarer les activités humaines, compétences et accès requis, instructions ou charte, observations, critères, preuves, répétabilité, variabilité, biais et limites.</t>
  </si>
  <si>
    <t>Intention, charte ou cas de Validation, instructions utiles, compétences et responsabilités, contexte, observations, critères, preuves, variabilité, biais et limites</t>
  </si>
  <si>
    <t>Orthogonal testing</t>
  </si>
  <si>
    <t>EXP-118</t>
  </si>
  <si>
    <t>Orthogonal Array Testing</t>
  </si>
  <si>
    <t>Technique combinatoire / plan équilibré</t>
  </si>
  <si>
    <t>Technique utilisant un tableau orthogonal pour sélectionner un sous-ensemble équilibré de combinaisons de facteurs et niveaux.</t>
  </si>
  <si>
    <t>Déclarer facteurs, niveaux, contraintes, force recherchée, tableau, exclusions et risque résiduel.</t>
  </si>
  <si>
    <t>Facteurs, niveaux, tableau, cas, couverture, Runs et limites</t>
  </si>
  <si>
    <t>Diagonal testing</t>
  </si>
  <si>
    <t>EXP-119</t>
  </si>
  <si>
    <t>Sélection représentative guidée par les risques / combinaisons</t>
  </si>
  <si>
    <t>Sélection non exhaustive de combinaisons traversant plusieurs dimensions pour maximiser l’information utile selon les risques, sans garantir toutes les paires.</t>
  </si>
  <si>
    <t>Déclarer facteurs, risques, règle diagonale, combinaisons retenues et exclues, couverture et risque résiduel.</t>
  </si>
  <si>
    <t>Pair testing</t>
  </si>
  <si>
    <t>EXP-120</t>
  </si>
  <si>
    <t>Collaboration synchrone / binôme</t>
  </si>
  <si>
    <t>Deux personnes travaillent simultanément sur la même cible avec intention partagée, observation immédiate et alternance possible afin de produire la qualité ensemble et réduire le ping-pong.</t>
  </si>
  <si>
    <t>Déclarer cible, participants, rôles, durée, intention, décisions, apprentissages et preuves.</t>
  </si>
  <si>
    <t>Intention, cible, participants, rôles, session, observations, décisions et preuves</t>
  </si>
  <si>
    <t>Mob testing</t>
  </si>
  <si>
    <t>EXP-121</t>
  </si>
  <si>
    <t>Collaboration synchrone / groupe</t>
  </si>
  <si>
    <t>Plusieurs personnes travaillent ensemble au même moment sur la même cible pour concevoir, stimuler, observer, décider et apprendre collectivement.</t>
  </si>
  <si>
    <t>Déclarer cible, participants, conduite, rotations, protocole, décisions, apprentissages et preuves.</t>
  </si>
  <si>
    <t>Charte, cible, participants, rôles, observations, décisions, apprentissages et preuves</t>
  </si>
  <si>
    <t>Extreme testing</t>
  </si>
  <si>
    <t>EXP-122</t>
  </si>
  <si>
    <t>Validation en contexte Extreme Programming</t>
  </si>
  <si>
    <t>Contexte / démarche Extreme Programming</t>
  </si>
  <si>
    <t>Validation intégrée à Extreme Programming avec boucles courtes, travail en binôme, rétroaction fréquente et pratiques techniques disciplinées. Extreme ne signifie ni stress ni endurance.</t>
  </si>
  <si>
    <t>Préciser objet, portée, pratique XP, participants, feedback, automatisation, preuves et apprentissages.</t>
  </si>
  <si>
    <t>Contexte XP, pratique, intention, participants, tests, Runs, intégration et preuves</t>
  </si>
  <si>
    <t>Reverse testing</t>
  </si>
  <si>
    <t>EXP-123</t>
  </si>
  <si>
    <t>Reverse stress testing</t>
  </si>
  <si>
    <t>Risque / point de rupture / raisonnement inversé</t>
  </si>
  <si>
    <t>Validation partant d’une issue critique ou d’un point de rupture déclaré, puis remontant vers les scénarios, conditions et dépendances susceptibles de le provoquer.</t>
  </si>
  <si>
    <t>Déclarer issue, seuil, périmètre, hypothèses, scénarios, dépendances, protections, critères d’arrêt, preuves et limites.</t>
  </si>
  <si>
    <t>Issue critique; hypothèses; scénarios de rupture; dépendances; Runs contrôlés; observations; protections; preuves et limites.</t>
  </si>
  <si>
    <t>semantic testing</t>
  </si>
  <si>
    <t>EXP-124</t>
  </si>
  <si>
    <t>Semantic testing</t>
  </si>
  <si>
    <t>Validation des relations sémantiques / données et règles métier</t>
  </si>
  <si>
    <t>Validation du sens des relations entre données, contexte, temps, états et règles métier, au-delà du format et du type isolés.</t>
  </si>
  <si>
    <t>Déclarer domaine, données liées, règles SI/ALORS, temporalité, cas valides et invalides, couverture et limites.</t>
  </si>
  <si>
    <t>Feature Test Driven (FDD) testing</t>
  </si>
  <si>
    <t>EXP-125</t>
  </si>
  <si>
    <t>Feature-Driven Development</t>
  </si>
  <si>
    <t>Démarche de réalisation pilotée par fonctionnalités</t>
  </si>
  <si>
    <t>Démarche de réalisation organisée autour de fonctionnalités utiles, délimitées et suivies de la modélisation jusqu’à leur construction. Dans ToTAL, FDD fournit un contexte de découpage et de progression par Feature; il ne transforme pas Feature en spécification, en cas de Validation ou en preuve.</t>
  </si>
  <si>
    <t>Corriger Feature Test Driven (FDD) testing vers Feature-Driven Development; déclarer modèle général, liste et frontières des Features, responsabilités, planification, conception, réalisation, validations, intégration, preuves et effets. Distinguer Feature, capacité, spécification, Release et Feature regression testing.</t>
  </si>
  <si>
    <t>Modèle produit; catalogue de Features; frontières et dépendances; plans; responsables; conceptions; spécifications; implémentations; Runs; preuves; intégration; progression et limites</t>
  </si>
  <si>
    <t>Integrated testing</t>
  </si>
  <si>
    <t>EXP-126</t>
  </si>
  <si>
    <t>Alias / relation / composition</t>
  </si>
  <si>
    <t>Variante adjectivale historique réconciliée vers Integration testing. L’intention utile est de valider les relations, échanges, contrats, états, séquences, erreurs et dépendances entre objets délimités après leur intégration. Integrated ne crée pas une portée distincte et ne signifie pas automatiquement que l’ensemble du produit est validé.</t>
  </si>
  <si>
    <t>Rediriger vers Integration testing; préserver l’expression originale pour la provenance et déclarer les objets intégrés, leurs frontières, contrats, séquences, dépendances, effets et preuves.</t>
  </si>
  <si>
    <t>Spécifications et contrats d’interaction, modèle de composition, frontières, dépendances, séquences, données, erreurs, Runs, preuves et couverture</t>
  </si>
  <si>
    <t>Specification testing</t>
  </si>
  <si>
    <t>EXP-127</t>
  </si>
  <si>
    <t>Specification validation</t>
  </si>
  <si>
    <t>Référence / qualité de la spécification</t>
  </si>
  <si>
    <t>Expression à distinguer en deux usages : utiliser une spécification comme référence pour valider la réalité, ou valider la qualité de la spécification elle-même, notamment clarté, cohérence, complétude utile, vérifiabilité et absence de collision.</t>
  </si>
  <si>
    <t>Normaliser selon l’intention vers Validation basée sur spécification ou Validation de spécification; ne pas confondre la référence et l’objet validé.</t>
  </si>
  <si>
    <t>ATDD testing</t>
  </si>
  <si>
    <t>EXP-128</t>
  </si>
  <si>
    <t>Acceptance Test-Driven Development</t>
  </si>
  <si>
    <t>Démarche pilotée par critères et exemples d’acceptation</t>
  </si>
  <si>
    <t>Démarche collaborative dans laquelle des critères et exemples d’acceptation sont clarifiés avant l’implémentation afin d’aligner produit, métier, réalisation et qualité sur ce qui rendra une capacité acceptable. Dans ToTAL, ATDD contribue à transformer les intentions en spécifications communes et validables; il qualifie la démarche de réalisation, non un type autonome de test.</t>
  </si>
  <si>
    <t>Normaliser ATDD testing vers Validation en contexte ATDD; déclarer intention, participants, critères d’acceptation, exemples, spécifications liées, automatisation éventuelle, décisions, preuves et limites. Ne pas confondre acceptation, décision d’accepter, UAT, BDD ou simple syntaxe Gherkin.</t>
  </si>
  <si>
    <t>Intentions et besoins; participants; critères et exemples d’acceptation; spécifications; décisions; scénarios; cas; automatisation; Runs; preuves; traçabilité; apprentissages et limites</t>
  </si>
  <si>
    <t>BDD testing</t>
  </si>
  <si>
    <t>EXP-129</t>
  </si>
  <si>
    <t>Behavior-Driven Development</t>
  </si>
  <si>
    <t>Démarche pilotée par comportements partagés</t>
  </si>
  <si>
    <t>Démarche collaborative de conception et de réalisation centrée sur les comportements observables attendus, exprimés dans un langage partagé par les parties concernées et illustrés par des exemples. Dans ToTAL, BDD soutient la clarification des spécifications comportementales et leur continuité jusqu’aux preuves; BDD ne se réduit ni à Gherkin, ni à Cucumber, ni à l’automatisation.</t>
  </si>
  <si>
    <t>Normaliser BDD testing vers Validation en contexte BDD; déclarer domaine, langage partagé, comportements, règles, exemples, participants, frontières, outils éventuels, liens aux spécifications et preuves. Distinguer BDD, ATDD, TDD, scénario, notation et Run.</t>
  </si>
  <si>
    <t>Glossaire et langage partagé; règles métier; comportements et exemples; ateliers; spécifications; scénarios; automatisation éventuelle; Runs; preuves; traçabilité; décisions et limites</t>
  </si>
  <si>
    <t>TDD testing</t>
  </si>
  <si>
    <t>EXP-130</t>
  </si>
  <si>
    <t>Test-Driven Development</t>
  </si>
  <si>
    <t>Démarche de conception pilotée par validations rapprochées</t>
  </si>
  <si>
    <t>Démarche de réalisation dans laquelle une attente exécutable est formulée avant l’implémentation correspondante, puis le minimum nécessaire est réalisé et restructuré en conservant la satisfaction des attentes. TDD soutient la conception, le feedback court et la maintenabilité; il ne garantit ni la valeur produit, ni l’acceptation, ni la couverture globale.</t>
  </si>
  <si>
    <t>Normaliser TDD testing vers Validation en contexte TDD; déclarer portée, attentes, cycle Red-Green-Refactor ou adaptation locale, granularité, conception recherchée, dépendances, refactorisation, preuves et limites. Relier à la spécification ToTAL sans imposer un dogme ni réduire TDD à un taux de couverture.</t>
  </si>
  <si>
    <t>Attentes exécutables; portée; tests initiaux; changements de code; cycles; refactorisations; Runs; conception émergente; couverture contextualisée; preuves; dette et limites</t>
  </si>
  <si>
    <t>DDD testing</t>
  </si>
  <si>
    <t>EXP-131</t>
  </si>
  <si>
    <t>Domain-Driven Design</t>
  </si>
  <si>
    <t>Démarche de modélisation pilotée par le domaine</t>
  </si>
  <si>
    <t>Démarche de conception centrée sur la compréhension et la modélisation du domaine, ses concepts, règles, frontières et langage partagé afin que le logiciel exprime la réalité métier pertinente. Dans ToTAL, DDD contribue aux modèles produit et aux spécifications; le suffixe testing qualifie ici la Validation dans ce contexte, pas un type de test autonome.</t>
  </si>
  <si>
    <t>Normaliser DDD testing vers Validation en contexte Domain-Driven Design; déclarer domaine, experts, langage partagé, modèles, contextes bornés, règles, invariants, événements, interfaces, validations et apprentissages. Ne pas confondre DDD avec data-driven development ou simple architecture en couches.</t>
  </si>
  <si>
    <t>Carte du domaine; langage partagé; modèles; contextes bornés; entités, valeurs, agrégats et invariants selon le besoin; événements; spécifications; exemples; validations; décisions; évolutions et limites</t>
  </si>
  <si>
    <t>PRINCE2 testing</t>
  </si>
  <si>
    <t>EXP-132</t>
  </si>
  <si>
    <t>Validation en contexte PRINCE2</t>
  </si>
  <si>
    <t>Contexte / méthode de management de projet</t>
  </si>
  <si>
    <t>Validation intégrée à un projet gouverné avec PRINCE2. PRINCE2 qualifie la méthode de management du projet, avec justification continue, responsabilités, management par séquences et par exception, focalisation sur les produits, pratiques de qualité, risques, plans, enjeux et progression, ainsi qu’adaptation au contexte. PRINCE2 ne définit pas à lui seul l’objet, la portée ou la technique de Validation.</t>
  </si>
  <si>
    <t>Normaliser PRINCE2 testing vers Validation en contexte PRINCE2; déclarer édition et adaptation retenues, projet et produits concernés, rôles, critères qualité, descriptions de produits, séquences, tolérances, risques, plans, registres, décisions d’autorité, preuves et interfaces avec la réalisation ToTAL. Ne pas transformer une revue de gouvernance ou un passage de séquence en preuve automatique de satisfaction du produit.</t>
  </si>
  <si>
    <t>Édition PRINCE2 et adaptation locale; mandat et contexte; justification; organisation et rôles; descriptions de produits; critères et méthode qualité; plans et séquences; tolérances; risques et enjeux; registres; rapports; décisions; Validations et Runs liés; preuves; leçons; effets produit et limites.</t>
  </si>
  <si>
    <t>PMBOK testing</t>
  </si>
  <si>
    <t>EXP-133</t>
  </si>
  <si>
    <t>Validation en contexte PMBOK</t>
  </si>
  <si>
    <t>Contexte / référentiel de management de projet</t>
  </si>
  <si>
    <t>Validation intégrée à un projet dont le management s’appuie sur le PMBOK Guide et The Standard for Project Management. PMBOK fournit un référentiel de principes, domaines, processus, outils, techniques, vocabulaire et pratiques de management à adapter au contexte; il ne constitue ni une méthode unique obligatoire ni un type autonome de test. La Validation doit rester reliée aux résultats utiles et à la réalité du produit.</t>
  </si>
  <si>
    <t>Normaliser PMBOK testing vers Validation en contexte PMBOK; déclarer édition, principes, domaines ou processus retenus, adaptation, gouvernance, valeur recherchée, parties prenantes, périmètre, échéancier, finances, ressources, risques, qualité, informations, décisions, Validations, preuves et limites. Ne pas confondre conformité documentaire au référentiel, performance du projet et satisfaction du produit.</t>
  </si>
  <si>
    <t>Édition PMBOK; adaptation locale; objectifs et valeur; gouvernance; parties prenantes; périmètre; échéancier; finances; ressources; risques; qualité; communications et informations; plans et baselines; décisions; Validations et Runs; preuves; résultats; leçons; effets produit et limites.</t>
  </si>
  <si>
    <t>Project testing</t>
  </si>
  <si>
    <t>EXP-134</t>
  </si>
  <si>
    <t>Project validation</t>
  </si>
  <si>
    <t>Contexte temporaire / gouvernance / résultats du projet</t>
  </si>
  <si>
    <t>Validation d’un projet comme initiative temporaire et contexte de réalisation, portant sur sa capacité à produire les résultats, livrables et transitions convenus sous des contraintes et responsabilités déclarées. Elle peut qualifier justification, périmètre, échéancier, coûts, risques, qualité des livrables, préparation au changement, décisions et clôture. La réussite du projet ne démontre pas automatiquement la santé, la satisfaction, la valeur ou la pérennité du produit.</t>
  </si>
  <si>
    <t>Normaliser Project testing vers Project validation; déclarer mandat, début et fin, résultats et livrables, produit ou changement soutenu, gouvernance, responsabilités, contraintes, baselines, risques, critères, transitions, preuves et décisions. Séparer les mesures du projet de la Validation du produit et conserver le chemin de contribution vers celui-ci.</t>
  </si>
  <si>
    <t>Mandat et justification; charte ou cadre de projet; résultats et livrables; produit concerné; gouvernance et rôles; plans; contraintes; budgets; échéancier; risques; critères; revues; décisions; transition; clôture; leçons; preuves; effets produit et limites.</t>
  </si>
  <si>
    <t>Product testing</t>
  </si>
  <si>
    <t>EXP-135</t>
  </si>
  <si>
    <t>Product validation</t>
  </si>
  <si>
    <t>Objet central / produit logiciel / cycle de vie</t>
  </si>
  <si>
    <t>Validation du produit logiciel comme ensemble durable de capacités, constituants, Services, données, interfaces et connaissances produisant des résultats utiles. Elle compose les portées, propriétés, populations, environnements, transitions, preuves et observations nécessaires à travers tout le cycle de vie, puis poursuit la confirmation des effets réels dans CARE. Product validation ne désigne pas une campagne finale unique.</t>
  </si>
  <si>
    <t>Normaliser Product testing vers Product validation; déclarer frontières du produit, capacités, populations, résultats utiles, versions, environnements, dépendances, propriétés, risques, spécifications, modèles, stratégie de Validation, couverture, preuves, santé, satisfaction, valeur et pérennité. Distinguer produit, projet, solution, système, application et simple artefact.</t>
  </si>
  <si>
    <t>Vision et frontières du produit; intentions et résultats utiles; capacités et Services; populations; modèle produit; spécifications; architecture et dépendances; versions; stratégie et carte de Validation; cas et Runs; preuves; couverture; portrait qualimétrique; santé, satisfaction, valeur, pérennité; apprentissages CARE et limites.</t>
  </si>
  <si>
    <t>Solution testing</t>
  </si>
  <si>
    <t>EXP-136</t>
  </si>
  <si>
    <t>Solution validation</t>
  </si>
  <si>
    <t>Objet composé / réponse à un besoin / écosystème</t>
  </si>
  <si>
    <t>Validation d’une solution comme composition contextualisée destinée à répondre à un besoin ou produire un résultat, pouvant inclure un ou plusieurs produits, Services, processus, données, intégrations, infrastructures, matériels, personnes, fournisseurs et changements organisationnels. La solution qualifie une réponse composée; elle ne devient pas automatiquement le produit durable ni un système unique.</t>
  </si>
  <si>
    <t>Normaliser Solution testing vers Solution validation; déclarer besoin, résultat recherché, périmètre, constituants, responsabilités, intégrations, dépendances, hypothèses, populations, environnements, propriétés, transitions, critères d’acceptabilité, preuves et limites. Distinguer la réussite de la solution, la santé de chaque produit et la réalisation temporaire du projet.</t>
  </si>
  <si>
    <t>Besoin et résultats; architecture de solution; produits et Services; processus et organisations; données; interfaces et intégrations; infrastructures et matériels; fournisseurs; responsabilités; hypothèses; scénarios bout en bout; transitions; Runs; preuves; couverture; décisions; effets réels et limites.</t>
  </si>
  <si>
    <t>SDD testing</t>
  </si>
  <si>
    <t>EXP-137</t>
  </si>
  <si>
    <t>Specification-Driven Development</t>
  </si>
  <si>
    <t>Démarche de réalisation pilotée par spécifications</t>
  </si>
  <si>
    <t>Démarche dans laquelle les spécifications claires, versionnées et validables pilotent la conception, l’implémentation, l’intégration, la diffusion et la confirmation. Dans ToTAL, cette lecture est naturelle : la spécification constitue l’attente commune, mais elle demeure révisable par l’apprentissage et ne remplace ni le modèle produit, ni le jugement, ni la réalité observée.</t>
  </si>
  <si>
    <t>Normaliser SDD testing vers Specification-Driven Development dans ce registre, tout en déclarant explicitement l’expansion de l’acronyme puisque SDD peut désigner d’autres concepts. Relier intentions, spécifications, modèles, décisions, code, configurations, validations, preuves, diffusion et CARE; préserver version, traçabilité, changements et limites.</t>
  </si>
  <si>
    <t>Définition locale de SDD; intentions; spécifications versionnées; modèles; décisions; liens vers réalisation et configuration; validations et Runs; preuves; changements; couverture; diffusion; effets CARE; historique et limites</t>
  </si>
  <si>
    <t>Process testing</t>
  </si>
  <si>
    <t>EXP-138</t>
  </si>
  <si>
    <t>Process validation</t>
  </si>
  <si>
    <t>Objet / processus / capacité de transformation</t>
  </si>
  <si>
    <t>Validation d’un processus comme ensemble organisé d’entrées, activités, décisions, rôles, contrôles et sorties visant un résultat déclaré. Elle qualifie la cohérence, l’exécutabilité, l’efficacité, l’efficience, les délais, les contrôles, les exceptions, la traçabilité et les effets du processus. Elle se distingue du test process, qui décrit le processus utilisé pour réaliser les activités de Validation.</t>
  </si>
  <si>
    <t>Normaliser Process testing vers Process validation; déclarer finalité, propriétaire, frontières, entrées, sorties, activités, rôles, règles, décisions, contrôles, outils, données, délais, exceptions, mesures, références, preuves et amélioration continue. Distinguer Validation d’un processus, Workflow testing, Flow testing, procédure, projet et processus de test.</t>
  </si>
  <si>
    <t>Carte ou modèle de processus; finalité et résultats; SIPOC ou représentation équivalente selon le besoin; entrées et sorties; activités; rôles; règles et décisions; contrôles; données et outils; variantes et exceptions; délais et coûts; Runs ou observations; mesures; preuves; écarts; améliorations; historique et limites.</t>
  </si>
  <si>
    <t>MBT testing</t>
  </si>
  <si>
    <t>EXP-139</t>
  </si>
  <si>
    <t>Model-Based Testing</t>
  </si>
  <si>
    <t>Technique / dérivation de validations depuis un modèle</t>
  </si>
  <si>
    <t>Dérivation manuelle ou automatisée de cas et suites de Validation depuis un modèle abstrait versionné du comportement, de la stratégie ou de l’environnement.</t>
  </si>
  <si>
    <t>Déclarer modèle, abstraction, états, transitions, règles, critères de couverture, concrétisation, oracle et limites.</t>
  </si>
  <si>
    <t>Modelisation testing</t>
  </si>
  <si>
    <t>EXP-140</t>
  </si>
  <si>
    <t>Product modelling validation</t>
  </si>
  <si>
    <t>Définir / représentation du produit et de ses dépendances</t>
  </si>
  <si>
    <t>Validation des représentations utiles du produit dans DÉFINIR : domaine, capacités, comportements, données, règles, architecture, interfaces, navigation, états, flux, dépendances, scénarios, mockups, sketches et prototypes.</t>
  </si>
  <si>
    <t>Déclarer question, point de vue, abstraction, frontières, cohérence intermodèles, versions, décisions et limites.</t>
  </si>
  <si>
    <t>GREEN testing</t>
  </si>
  <si>
    <t>EXP-141</t>
  </si>
  <si>
    <t>GREEN in TDD</t>
  </si>
  <si>
    <t>TDD / Run satisfaisant après implémentation minimale</t>
  </si>
  <si>
    <t>État du cycle TDD où une attente exécutable précédemment RED est satisfaite après l’implémentation minimale; GREEN ne signifie pas produit terminé.</t>
  </si>
  <si>
    <t>Exiger RED antérieur, Run GREEN, changement minimal, refactorisation et nouvelles exécutions.</t>
  </si>
  <si>
    <t>RED testing</t>
  </si>
  <si>
    <t>EXP-142</t>
  </si>
  <si>
    <t>RED in TDD</t>
  </si>
  <si>
    <t>TDD / Run en échec avant implémentation</t>
  </si>
  <si>
    <t>État initial TDD où une spécification automatisée exécutée avant l’implémentation échoue pour une raison pertinente.</t>
  </si>
  <si>
    <t>Distinguer échec attendu et erreur de dispositif; préserver le Run RED comme preuve.</t>
  </si>
  <si>
    <t>Critical testing</t>
  </si>
  <si>
    <t>EXP-143</t>
  </si>
  <si>
    <t>Stratégie de sélection / criticité / priorité d’exécution</t>
  </si>
  <si>
    <t>Stratégie priorisant les capacités, parcours, propriétés et dépendances dont l’échec aurait les conséquences les plus graves.</t>
  </si>
  <si>
    <t>Déclarer criticité, impact, vraisemblance, ordre, profondeur, couverture et risque résiduel.</t>
  </si>
  <si>
    <t>Matrix testing</t>
  </si>
  <si>
    <t>EXP-144</t>
  </si>
  <si>
    <t>Test matrix</t>
  </si>
  <si>
    <t>Modèle tabulaire / couverture / décision</t>
  </si>
  <si>
    <t>Modèle tabulaire structuré mettant en relation des dimensions utiles de Validation, par exemple spécifications ou exigences, risques, cas, environnements, configurations, populations, versions, résultats, anomalies et preuves. Une matrice rend visibles les combinaisons applicables, les liens, la couverture et les écarts; elle n’est ni un type de test autonome ni une garantie de complétude. La Requirement Traceability Matrix (RTM) est une spécialisation reliant exigences ou spécifications et cas de Validation.</t>
  </si>
  <si>
    <t>Normaliser Matrix testing vers Test matrix; déclarer objectif, axes, lignes, colonnes, cellules, règles d’applicabilité, versions, propriétaires, liens, états, sources, couverture, inconnues et fréquence de maintenance. Distinguer RTM, matrice de couverture, de risque, de compatibilité, de progression et de conformité; ne pas transformer une cellule cochée en preuve suffisante.</t>
  </si>
  <si>
    <t>Matrice versionnée; objectif et dimensions; spécifications ou exigences; risques; cas; environnements; configurations; populations; résultats; anomalies; preuves; règles d’applicabilité; couverture; écarts; historique et limites</t>
  </si>
  <si>
    <t>Pyramid testing</t>
  </si>
  <si>
    <t>EXP-145</t>
  </si>
  <si>
    <t>Test automation prioritization pyramid</t>
  </si>
  <si>
    <t>Automatisation / priorisation d’investissement / dépendances et ROI</t>
  </si>
  <si>
    <t>Vue locale et dynamique servant exclusivement à déterminer quels candidats réels de Validation automatiser en premier. La base regroupe les automatisations à engager en premier; les niveaux suivants contiennent celles qui deviennent prioritaires ensuite. L’ordre est établi d’abord par les préalables et dépendances : un candidat ne peut précéder ce qui est nécessaire à sa réalisation fiable, sauf substitut explicitement accepté. Parmi les candidats réalisables, la priorité d’investissement est déterminée par le ROI contextualisé, combinant notamment valeur informationnelle, risque réduit, criticité, fréquence, coût manuel évité, rapidité du feedback, réutilisation, capacité à débloquer d’autres automatisations, coût total de cycle de vie, maintenabilité, instabilité, données, environnements, outils, supervision, confiance et limites. Les regroupements Fondamentaux, Relationnels et Aboutissements peuvent rendre la structure lisible, mais ne constituent pas des types universels ni des étages de coût. La pyramide ne classe ni Unit, Integration, UI, E2E, Small, Medium ou Large par nature. Elle concerne uniquement la priorisation du backlog d’automatisation; les Validations manuelles n’y sont pas placées.</t>
  </si>
  <si>
    <t>Conserver comme vue qualimétrique du backlog d’automatisation. Pour chaque candidat, déclarer identifiant, intention, spécification ou question, cible, dépendances et préalables, substituts acceptables, statut de réalisabilité, groupe structurel éventuel, valeur, risques, fréquence, coûts manuels évités, coût initial et récurrent, maintenance, durée de feedback, capacité de déblocage, ROI attendu, confiance, limites, rang courant et décision. Recalculer l’ordre lorsque le produit, les dépendances, les coûts, les outils, l’IA, les risques ou les observations CARE changent. Tenir séparément un registre des Validations manuelles à conserver manuelles, avec justification, valeur, risques, fréquence de réévaluation et déclencheurs éventuels de reconsidération de l’automatisation.</t>
  </si>
  <si>
    <t>Backlog versionné des candidats à l’automatisation; carte des dépendances et préalables; groupes Fondamentaux, Relationnels et Aboutissements lorsque utiles; statut réalisable ou bloqué; valeur, risque et criticité; fréquence; coûts manuels évités; coût total d’automatisation et de maintenance; durée de feedback; réutilisation; capacité de déblocage; ROI et hypothèses; confiance et limites; ordre priorisé; décisions et historique des reclassements; registre séparé des Validations manuelles non candidates ou déconseillées à l’automatisation, avec motif et date ou signal de réévaluation.</t>
  </si>
  <si>
    <t>Service testing</t>
  </si>
  <si>
    <t>EXP-146</t>
  </si>
  <si>
    <t>Objet / capacité rendue</t>
  </si>
  <si>
    <t>Validation d’un Service comme capacité rendue à un consommateur selon une intention, un contrat et des conditions, incluant résultat utile, dépendances, propriétés, erreurs et récupération.</t>
  </si>
  <si>
    <t>Conserver comme objet de Validation; déclarer capacité, consommateurs, contrat, dépendances, composition, propriétés, preuves et métriques.</t>
  </si>
  <si>
    <t>Back End testing</t>
  </si>
  <si>
    <t>EXP-147</t>
  </si>
  <si>
    <t>Tier / réalisation interne</t>
  </si>
  <si>
    <t>Validation ciblant principalement les traitements internes, données, ressources, moteurs ou connecteurs du Back End. Le tier ne détermine ni la portée ni la perspective à lui seul.</t>
  </si>
  <si>
    <t>Conserver comme tier; préciser objet, interfaces, portée, perspective, dépendances, propriétés et preuves.</t>
  </si>
  <si>
    <t>Front End testing</t>
  </si>
  <si>
    <t>EXP-148</t>
  </si>
  <si>
    <t>Tier / interaction externe</t>
  </si>
  <si>
    <t>Validation ciblant principalement le tier qui matérialise l’interaction avec le consommateur, incluant comportements, états, accessibilité et propriétés observables.</t>
  </si>
  <si>
    <t>Conserver comme tier; préciser interface, populations, portée, perspective, environnements, propriétés et preuves.</t>
  </si>
  <si>
    <t>Communication testing</t>
  </si>
  <si>
    <t>EXP-149</t>
  </si>
  <si>
    <t>Communication validation</t>
  </si>
  <si>
    <t>Communication / transmission / réception / compréhension</t>
  </si>
  <si>
    <t>Validation d’une communication de bout en bout afin de confirmer qu’un message destiné à une personne, une application, une machine, un système, un Service ou un groupe est produit et envoyé par la bonne source, acheminé par les canaux attendus, reçu par les destinataires applicables, complet, non altéré, correctement ordonné et corrélé, présenté dans le bon contexte, compris et interprété conformément à l’intention. Elle couvre la chaîne technique et sémantique de communication sans supposer que la livraison technique démontre la compréhension.</t>
  </si>
  <si>
    <t>Normaliser Communication testing vers Communication validation; déclarer intention, émetteur, destinataires et représentativité, message et version, canal, protocole, format, langue, contexte, identité, autorisation, envoi, acheminement, réception, accusé, ordre, duplication, perte, altération, délai, compréhension, interprétation, action attendue, confidentialité, accessibilité, preuves et limites. Relier à Message, Event, Contract, Integrity, Localization, Accessibility, Wording and content, Notification et Inter-system validation selon l’intention.</t>
  </si>
  <si>
    <t>Carte émetteur-canaux-destinataires; message et spécification; protocoles et contrats; données et pièces jointes; identités et permissions; événements d’envoi et de réception; accusés; journaux et corrélation; délais; contrôles d’intégrité; scénarios de perte, duplication et altération; évaluations de compréhension; Runs; preuves; couverture et limites.</t>
  </si>
  <si>
    <t>Error testing</t>
  </si>
  <si>
    <t>EXP-150</t>
  </si>
  <si>
    <t>Error-handling validation</t>
  </si>
  <si>
    <t>Comportement / gestion des erreurs</t>
  </si>
  <si>
    <t>Validation de la prévention, détection, signalement, confinement, journalisation et récupération des erreurs déclarées.</t>
  </si>
  <si>
    <t>Déclarer taxonomie, déclencheurs, comportements, messages, états, reprise, preuves et limites.</t>
  </si>
  <si>
    <t>Interruption testing</t>
  </si>
  <si>
    <t>EXP-151</t>
  </si>
  <si>
    <t>Résilience / interruption / continuité et reprise</t>
  </si>
  <si>
    <t>Validation du comportement lorsqu’une activité, communication, ressource, session ou dépendance est interrompue avant achèvement.</t>
  </si>
  <si>
    <t>Déclarer point et durée, états, données, atomicité, idempotence, reprise, pertes, doublons et preuves.</t>
  </si>
  <si>
    <t>Vérification testing</t>
  </si>
  <si>
    <t>EXP-152</t>
  </si>
  <si>
    <t>Vérification ToTAL</t>
  </si>
  <si>
    <t>Finalité / comparaison à une référence</t>
  </si>
  <si>
    <t>Expression redondante à normaliser vers Vérification ToTAL : opération de Validation examinant la satisfaction d’une référence déclarée.</t>
  </si>
  <si>
    <t>Normaliser vers Vérification ToTAL; déclarer référence, objet, observations, critères, preuve et limites sans confondre Vérification et décision.</t>
  </si>
  <si>
    <t>Validation testing</t>
  </si>
  <si>
    <t>EXP-153</t>
  </si>
  <si>
    <t>Validation ToTAL</t>
  </si>
  <si>
    <t>Discipline / activité</t>
  </si>
  <si>
    <t>Expression redondante à normaliser vers Validation ToTAL : discipline confrontant une réalité observée à des attentes afin d’investiguer, apprendre, confirmer ou qualifier.</t>
  </si>
  <si>
    <t>Normaliser vers Validation ToTAL; préciser ensuite objet, portée, contexte, technique, preuve et besoin d’information.</t>
  </si>
  <si>
    <t>Random testing</t>
  </si>
  <si>
    <t>EXP-154</t>
  </si>
  <si>
    <t>Technique exploratoire sélectionnant aléatoirement des actions, données ou combinaisons dans une population déclarée afin d’observer des comportements inattendus.</t>
  </si>
  <si>
    <t>Conserver dans la toolbox exploratoire; déclarer population, distribution, graine lorsque possible, oracle ou observations recherchées.</t>
  </si>
  <si>
    <t>DoM testing</t>
  </si>
  <si>
    <t>EXP-155</t>
  </si>
  <si>
    <t>DOM snapshot testing</t>
  </si>
  <si>
    <t>Snapshot / comparaison structurelle du DOM</t>
  </si>
  <si>
    <t>Technique de Snapshot testing qui sérialise et capture tout ou partie de l’état du Document Object Model (DOM), puis compare une observation ultérieure à cette référence afin de révéler des ajouts, suppressions ou modifications de structure, contenu, attributs, classes ou propriétés incluses. Elle peut être complétée par des attentes ciblées. Une comparaison DOM ne prouve pas à elle seule le rendu visuel réel, l’accessibilité, le comportement, ni l’utilité de l’interface.</t>
  </si>
  <si>
    <t>Corriger DoM testing vers DOM snapshot testing; déclarer cible et sélecteur, état et données, environnement, méthode de sérialisation et normalisation, éléments dynamiques masqués, baseline versionnée, règles de diff, attentes explicites, procédure de revue et d’approbation des changements, preuves et limites. Relier à Snapshot, Comparative, Visual, Pixel-diff, UI, Accessibility et Regression testing sans les confondre.</t>
  </si>
  <si>
    <t>Snapshot DOM et baseline versionnés; sélecteurs; structure, attributs, classes, texte et styles calculés inclus selon l’outil; données et état; normalisation; exclusions dynamiques; diff; attentes; Run; revue; décision de mise à jour; preuve et limites</t>
  </si>
  <si>
    <t>Style testing</t>
  </si>
  <si>
    <t>EXP-156</t>
  </si>
  <si>
    <t>Style validation</t>
  </si>
  <si>
    <t>Style / CSS / présentation déclarée</t>
  </si>
  <si>
    <t>Validation des règles et résultats de style appliqués au produit, notamment feuilles CSS, sélecteurs, cascade, héritage, variables, thèmes, typographie, couleurs, espacements, dimensions, positions, états, points de rupture, styles calculés et cohérence avec les modèles de design. Style précise l’objet de présentation; la Validation peut être statique, DOM, visuelle, pixel, responsive, accessible ou comparative selon le besoin.</t>
  </si>
  <si>
    <t>Normaliser Style testing vers Style validation; déclarer sources de style, conventions, design tokens, composants, thèmes, navigateurs et plateformes, cascade et priorités, états, responsive, accessibilité, tolérances, références, techniques d’observation et preuves. Distinguer code CSS valide, style calculé, rendu visuel et conformité à la marque.</t>
  </si>
  <si>
    <t>Feuilles et modules de style versionnés; design tokens; thèmes; composants et états; sélecteurs et cascade; styles calculés; matrices navigateurs-écrans; règles responsive et accessibilité; analyses statiques; snapshots DOM; captures; diffs; Runs; preuves et limites</t>
  </si>
  <si>
    <t>Brand testing</t>
  </si>
  <si>
    <t>EXP-157</t>
  </si>
  <si>
    <t>Brand validation</t>
  </si>
  <si>
    <t>Marque / vision / cohérence organisation-produit</t>
  </si>
  <si>
    <t>Validation de la cohérence du produit et de son écosystème avec la marque déclarée : vision, identité, promesse, valeurs, positionnement, personnalité, vocabulaire, ton, éléments visuels, expérience, communications et comportements attendus. Elle confronte les expressions internes et externes de la marque à des références approuvées, sans démontrer à elle seule la réputation, la satisfaction ou la valeur du produit.</t>
  </si>
  <si>
    <t>Normaliser Brand testing vers Brand validation; déclarer plateforme et guide de marque, vision, promesse, publics, canaux, identité verbale et visuelle, comportements, produits et variantes, locales, obligations, propriétaires, revues, preuves, écarts, décisions et limites. Relier à Wording and content, Style, Design, Visual, Experience, Marketing, Legal, Localization et Accessibility validation.</t>
  </si>
  <si>
    <t>Plateforme et guide de marque versionnés; vision et promesse; publics; canaux; identité verbale et visuelle; vocabulaire et ton; logos, couleurs et typographie; comportements; contenus; produits; campagnes; locales; revues; captures; preuves; écarts, décisions et limites</t>
  </si>
  <si>
    <t>Fin de parcous testing</t>
  </si>
  <si>
    <t>EXP-158</t>
  </si>
  <si>
    <t>Journey completion and terminal-state validation</t>
  </si>
  <si>
    <t>Parcours / états terminaux / conclusion et transition</t>
  </si>
  <si>
    <t>Validation de tous les états de terminaison attendus d’un parcours, processus, transaction, assistant, formulaire, session ou flux afin de confirmer que la conclusion est correcte, cohérente, compréhensible et effectivement terminale selon le contexte. Elle qualifie le message final, les données et le statut persistés, les notifications, confirmations et traces d’audit, les possibilités ou interdictions de retour, le nettoyage des ressources temporaires et la transition vers le prochain parcours. Une impasse indésirable ou dead end est un défaut possible, non le nom générique de cette Validation.</t>
  </si>
  <si>
    <t>Corriger Fin de parcous testing et normaliser vers Journey completion and terminal-state validation; inventorier toutes les fins nominales, alternatives, annulées, expirées, interrompues et en erreur; déclarer conditions d’entrée dans chaque état terminal, résultats et effets attendus, persistance, identifiants de confirmation, notifications, audit, idempotence, retour ou irréversibilité, nettoyage, ressources, reprise et transition suivante. Relier à State transition, Journey, Workflow, Process, Transaction, Session, Error-handling, Recovery et Navigation testing.</t>
  </si>
  <si>
    <t>Modèle du parcours et des états; catalogue des états terminaux; décisions et transitions; messages finaux; données et statuts persistés; confirmations; notifications; journaux et traces d’audit; règles de retour; nettoyage des ressources; transitions suivantes; cas nominaux et alternatifs; Runs; preuves; couverture et limites.</t>
  </si>
  <si>
    <t>End USer testing</t>
  </si>
  <si>
    <t>EXP-159</t>
  </si>
  <si>
    <t>End User Testing</t>
  </si>
  <si>
    <t>Population réelle ou représentative / adéquation à l’usage quotidien</t>
  </si>
  <si>
    <t>Validation du produit par des utilisateurs finaux réels ou représentatifs afin de confirmer qu’il répond aux besoins opérationnels, qu’il est compréhensible, utilisable, satisfaisant et adapté aux pratiques quotidiennes dans le contexte réel ou fidèlement représentatif d’utilisation. End User précise principalement la population et la perspective vécue; il ne constitue pas automatiquement une décision formelle d’acceptation.</t>
  </si>
  <si>
    <t>Corriger End USer testing vers End User Testing; déclarer populations et représentativité, besoins et tâches réels, contexte d’utilisation, pratiques quotidiennes, parcours, données, appareils, environnements, compréhension, utilité, effort, satisfaction, observations, retours, biais, preuves et limites. Distinguer UAT, Usability, Accessibility, Experience et Drive testing.</t>
  </si>
  <si>
    <t>Populations et profils; besoins opérationnels; tâches et parcours quotidiens; contextes, appareils et environnements; scénarios réalistes; consentement et confidentialité; observations; retours; mesures d’usage et satisfaction; Runs; preuves; représentativité; biais et limites.</t>
  </si>
  <si>
    <t>Design testing</t>
  </si>
  <si>
    <t>EXP-160</t>
  </si>
  <si>
    <t>Design validation</t>
  </si>
  <si>
    <t>DÉFINIR / conception multidimensionnelle du produit</t>
  </si>
  <si>
    <t>Validation des décisions de conception du produit et de ses dépendances, quelle que soit leur nature : domaine, fonctionnalité, information, données, interfaces, interactions, navigation, architecture applicative, infrastructure, machine, matériel, réseau, sécurité, exploitation, déploiement ou organisation technique. Dans ToTAL, Design validation appartient à la modélisation de DÉFINIR; elle confronte les choix, compromis et représentations aux intentions, spécifications, contraintes, risques, propriétés et contextes applicables. Elle ne se réduit ni à UI ni à UX.</t>
  </si>
  <si>
    <t>Conserver comme spécialisation transversale de Product modelling validation; déclarer problème, intention, point de vue, niveau d’abstraction, décisions, options rejetées, modèles, contraintes, dépendances, interfaces, risques, qualités recherchées, preuves, revues, expérience ou prototype et limites. Distinguer conception, modèle, spécification, implémentation et conformité au design.</t>
  </si>
  <si>
    <t>Dossier de conception versionné; intentions et spécifications; architecture des modèles; décisions et alternatives; domaine; données; règles; interfaces; navigation; UI et interactions; architecture applicative; infrastructure et machine; matériel et réseau; sécurité; exploitation; dépendances; prototypes; revues; preuves; historique et limites</t>
  </si>
  <si>
    <t>Pixel testing</t>
  </si>
  <si>
    <t>EXP-161</t>
  </si>
  <si>
    <t>Pixel-diff testing</t>
  </si>
  <si>
    <t>Technique visuelle / comparaison pixel</t>
  </si>
  <si>
    <t>Technique de Visual testing comparant une image observée à une baseline au niveau des pixels, avec une tolérance et des règles déclarées. Elle détecte précisément les écarts de rendu, mais peut produire du bruit lié à l’anticrénelage, aux polices, au matériel, au navigateur ou au système; elle ne constitue pas à elle seule une preuve de qualité visuelle.</t>
  </si>
  <si>
    <t>Normaliser Pixel testing vers Pixel-diff testing; déclarer images et régions comparées, dimensions, environnement, algorithme, seuils, canaux, masques, variations ignorées, rapport de différence, revue humaine, mise à jour contrôlée de la baseline et limites.</t>
  </si>
  <si>
    <t>Baseline et image observée versionnées, configuration du moteur de diff, seuils et tolérances, zones exclues, environnement, image de différence, Run, revue, approbation de baseline, preuve et limites</t>
  </si>
  <si>
    <t>Indentation testing</t>
  </si>
  <si>
    <t>EXP-162</t>
  </si>
  <si>
    <t>Indentation and nesting validation</t>
  </si>
  <si>
    <t>Code propre et présentation / indentation / emboîtement</t>
  </si>
  <si>
    <t>Validation de l’indentation et de l’emboîtement comme relations de structure et de lisibilité dans le code, les artefacts textuels ou la présentation visuelle.</t>
  </si>
  <si>
    <t>Déclarer objet, langage ou guide, niveaux, règles, blocs, profondeur, composants, outils, tolérances et preuves.</t>
  </si>
  <si>
    <t>Guide de style; fichiers ou composants; règles; analyseur; cas; revues; captures; preuves et limites.</t>
  </si>
  <si>
    <t>Disposal testing</t>
  </si>
  <si>
    <t>EXP-163</t>
  </si>
  <si>
    <t>Disposal validation</t>
  </si>
  <si>
    <t>Transition / retrait et fin de vie</t>
  </si>
  <si>
    <t>Validation du retrait, de la désactivation ou de la disposition d’un produit, d’une version, d’un constituant, de données ou de ressources afin de confirmer les effets attendus de fin de vie : continuité ou remplacement, conservation requise, suppression autorisée, révocation des accès, libération des ressources et traçabilité.</t>
  </si>
  <si>
    <t>Normaliser vers Disposal validation; déclarer objet retiré, populations touchées, dépendances, obligations de conservation, migration, export, suppression, révocation, communication, réversibilité, preuves et suivi dans CARE.</t>
  </si>
  <si>
    <t>Plan de retrait, inventaire, dépendances, populations, règles de conservation et suppression, migrations, accès, communications, Runs, preuves, exceptions et suivi CARE</t>
  </si>
  <si>
    <t>Market testing</t>
  </si>
  <si>
    <t>EXP-164</t>
  </si>
  <si>
    <t>Market validation</t>
  </si>
  <si>
    <t>Marché / besoin / demande / viabilité</t>
  </si>
  <si>
    <t>Validation des hypothèses de marché d’un produit, d’une capacité ou d’une offre auprès de populations et segments déclarés, afin d’apprécier besoin, demande, proposition de valeur, adoption potentielle, disposition à changer ou payer, concurrence et viabilité.</t>
  </si>
  <si>
    <t>Normaliser Market testing vers Market validation; déclarer segments, problème, proposition, hypothèses, alternatives, méthodes, comportements observables, prix ou échange attendu, biais, critères de progression et limites.</t>
  </si>
  <si>
    <t>Intentions; segments; hypothèses; méthodes; données; observations; mesures; preuves; décisions; confiance; biais et limites.</t>
  </si>
  <si>
    <t>Buisiness value testing</t>
  </si>
  <si>
    <t>EXP-165</t>
  </si>
  <si>
    <t>Business value validation</t>
  </si>
  <si>
    <t>Valeur d’affaires / résultats utiles / contribution</t>
  </si>
  <si>
    <t>Validation de la valeur d’affaires produite ou attendue en confrontant les résultats utiles recherchés aux effets observés. La valeur peut inclure revenus, économies, capacité, conformité, réduction du risque, satisfaction, connaissance, options futures et pérennité; elle ne se réduit pas au ROI.</t>
  </si>
  <si>
    <t>Corriger Buisiness value testing vers Business value validation; déclarer bénéficiaires, résultats utiles, hypothèses, comparateur, coûts, effets, horizon, métriques, attribution, externalités, confiance et limites.</t>
  </si>
  <si>
    <t>Résultats utiles; bénéficiaires; hypothèses; coûts; effets; métriques; données; preuves; attribution; décisions et limites.</t>
  </si>
  <si>
    <t>Reputation testing</t>
  </si>
  <si>
    <t>EXP-166</t>
  </si>
  <si>
    <t>Reputation validation</t>
  </si>
  <si>
    <t>Effet externe / perception collective / marque et produit</t>
  </si>
  <si>
    <t>Validation de la réputation du produit ou de l’organisation à partir de signaux publics et privés contextualisés. La réputation est un effet collectif et évolutif; elle n’est ni la marque déclarée, ni une mesure unique, ni une vérité sur la qualité intrinsèque.</t>
  </si>
  <si>
    <t>Normaliser Reputation testing vers Reputation validation; déclarer objet, populations, canaux, période, provenance, authenticité, représentativité, segmentation, événements, méthodes, indicateurs, biais et limites.</t>
  </si>
  <si>
    <t>Populations; canaux; périodes; données; avis; plaintes; incidents; mesures; preuves; représentativité; décisions et limites.</t>
  </si>
  <si>
    <t>Experience testing</t>
  </si>
  <si>
    <t>EXP-167</t>
  </si>
  <si>
    <t>Experience validation</t>
  </si>
  <si>
    <t>Expérience / parcours / perception contextualisée</t>
  </si>
  <si>
    <t>Validation de l’expérience vécue lors de l’interaction avec le produit et son écosystème, incluant compréhension, effort, continuité, fluidité, utilité perçue, cohérence entre canaux, erreurs, soutien et résultat du parcours.</t>
  </si>
  <si>
    <t>Normaliser Experience testing vers Experience validation; déclarer populations, intentions, parcours, canaux, contextes, attentes, moments critiques, observations comportementales, retours déclarés, accessibilité, biais, preuves et limites.</t>
  </si>
  <si>
    <t>Populations; parcours; contextes; observations; retours; mesures; accessibilité; preuves; confiance; biais et limites.</t>
  </si>
  <si>
    <t>Ethic testing</t>
  </si>
  <si>
    <t>EXP-168</t>
  </si>
  <si>
    <t>Ethics validation</t>
  </si>
  <si>
    <t>Éthique / impacts / principes applicables</t>
  </si>
  <si>
    <t>Validation des fonctionnalités, décisions, données, automatisations, usages et effets au regard de principes éthiques déclarés, notamment équité, non-discrimination, sécurité, autonomie, confidentialité, transparence, inclusion et prévention des préjudices.</t>
  </si>
  <si>
    <t>Corriger Ethic testing vers Ethics validation; déclarer principes, populations affectées, usages permis ou exclus, bénéfices, préjudices possibles, données, biais, recours, responsabilités, preuves et limites.</t>
  </si>
  <si>
    <t>Principes; populations; usages; risques; bénéfices; données; analyses; recours; décisions; preuves et limites.</t>
  </si>
  <si>
    <t>Happyness testing</t>
  </si>
  <si>
    <t>EXP-169</t>
  </si>
  <si>
    <t>User happiness signal validation</t>
  </si>
  <si>
    <t>Effet perçu / signal positif déclaré</t>
  </si>
  <si>
    <t>Validation prudente de signaux déclarés de bonheur, plaisir ou enthousiasme associés à l’usage du produit. Happiness est un signal subjectif et temporaire; il ne constitue ni une propriété intrinsèque du produit, ni une mesure de santé mentale.</t>
  </si>
  <si>
    <t>Corriger Happyness en Happiness; déclarer formulation, population, contexte, moment, échelle, consentement, anonymisation, représentativité, biais et limites; ne jamais classer des personnes ou équipes.</t>
  </si>
  <si>
    <t>Question; population; contexte; échelle; consentement; données; mesures; preuves; représentativité; biais et limites.</t>
  </si>
  <si>
    <t>Satisfaction testing</t>
  </si>
  <si>
    <t>EXP-170</t>
  </si>
  <si>
    <t>Satisfaction validation</t>
  </si>
  <si>
    <t>Effet perçu / satisfaction des attentes</t>
  </si>
  <si>
    <t>Validation du degré auquel un produit, Service, parcours ou résultat répond aux attentes et besoins déclarés de populations identifiées, dans un contexte et une période donnés.</t>
  </si>
  <si>
    <t>Normaliser Satisfaction testing vers Satisfaction validation; déclarer populations, attentes, objet, moment, méthode, échelle, échantillon, non-réponses, segments, références, verbatims, confiance et limites.</t>
  </si>
  <si>
    <t>Populations; attentes; méthodes; échelles; échantillons; données; verbatims; mesures; preuves; confiance et limites.</t>
  </si>
  <si>
    <t>Trust testing</t>
  </si>
  <si>
    <t>EXP-171</t>
  </si>
  <si>
    <t>Customer trust validation</t>
  </si>
  <si>
    <t>Effet relationnel / confiance envers produit ou organisation</t>
  </si>
  <si>
    <t>Validation de la confiance accordée par des clients ou autres populations à un produit, un Service ou l’organisation qui le fournit, selon des dimensions et conséquences déclarées.</t>
  </si>
  <si>
    <t>Normaliser Trust testing vers Customer trust validation; déclarer objet de confiance, populations et secteurs, dimensions, attentes, événements, expérience antérieure, méthodes, signaux, segments, preuves et limites.</t>
  </si>
  <si>
    <t>Objet de confiance; populations; secteurs; dimensions; méthodes; données; signaux; mesures; preuves; confiance et limites.</t>
  </si>
  <si>
    <t>Risk testing</t>
  </si>
  <si>
    <t>EXP-172</t>
  </si>
  <si>
    <t>Risk-based testing</t>
  </si>
  <si>
    <t>Approche / risques / priorité et profondeur</t>
  </si>
  <si>
    <t>Approche de Validation dans laquelle la sélection, la priorité, la profondeur et l’utilisation des activités et ressources sont guidées par les types et niveaux de risque. Elle rend visible le risque résiduel.</t>
  </si>
  <si>
    <t>Normaliser Risk testing vers Risk-based testing; déclarer actifs, objectifs, scénarios de risque, causes, vraisemblance, impacts, propriétaires, niveaux, tolérance, priorités, techniques, couverture, mitigations, preuves et risque résiduel.</t>
  </si>
  <si>
    <t>Risques; actifs; impacts; vraisemblance; priorités; techniques; cas; Runs; couverture; preuves; mitigations et risque résiduel.</t>
  </si>
  <si>
    <t>SMART testing</t>
  </si>
  <si>
    <t>EXP-173</t>
  </si>
  <si>
    <t>SMART quality-driven validation</t>
  </si>
  <si>
    <t>Concept local ToTAL / qualité pilotant la réalisation</t>
  </si>
  <si>
    <t>Concept primaire local de ToTAL rattaché à une réalisation pilotée par la qualité : optimiser intelligemment prévention, clarification, Validation, automatisation, preuve, qualimétrie et amélioration partout où elles contribuent réellement au produit.</t>
  </si>
  <si>
    <t>Conserver SMART testing comme expression source et normaliser localement vers SMART quality-driven validation; documenter définition ToTAL, dimensions, besoins d’information, arbitrages coût-valeur-risque, pratiques QDD, automatisation, responsabilités, preuves, apprentissages et limites.</t>
  </si>
  <si>
    <t>Définition locale; intentions; besoins d’information; pratiques QDD; automatisation; métriques; coûts; preuves; décisions; apprentissages et limites.</t>
  </si>
  <si>
    <t>Hybrid testing</t>
  </si>
  <si>
    <t>EXP-174</t>
  </si>
  <si>
    <t>Composition de modes de Validation</t>
  </si>
  <si>
    <t>Combinaison déclarée de modes humains et automatisés, synchrones et asynchrones, exploratoires et prédéfinis. Hybrid décrit le dispositif, non l’objet validé.</t>
  </si>
  <si>
    <t>Déclarer activités, passages, contrôles humains, déclencheurs, responsabilités, agrégation, coûts et limites.</t>
  </si>
  <si>
    <t>Stratégie hybride, matrice humain-automatisé, pipeline, Runs, agrégation et preuves</t>
  </si>
  <si>
    <t>Expected Condition versus Specification testing</t>
  </si>
  <si>
    <t>EXP-175</t>
  </si>
  <si>
    <t>Expected condition versus specification</t>
  </si>
  <si>
    <t>Terminologie / condition versus attente complète</t>
  </si>
  <si>
    <t>Une condition attendue ou un critère exprime une condition locale de qualification; une spécification exprime l’attente contextualisée plus complète sur un objet, comportement, propriété, contrainte ou composition.</t>
  </si>
  <si>
    <t>Conserver comme distinction terminologique; relier chaque critère à sa spécification et éviter de remplacer la spécification entière par un seul Expected/Actual.</t>
  </si>
  <si>
    <t>Gherkin testing</t>
  </si>
  <si>
    <t>EXP-176</t>
  </si>
  <si>
    <t>Gherkin specification</t>
  </si>
  <si>
    <t>Notation / spécification exécutable</t>
  </si>
  <si>
    <t>Gherkin est une notation structurée pour exprimer des comportements et exemples, souvent sous forme Étant donné/Quand/Alors. Il ne constitue pas un type de test; il peut documenter des spécifications, scénarios et cas de Validation.</t>
  </si>
  <si>
    <t>Normaliser vers spécification en Gherkin; préserver l’intention et éviter de confondre syntaxe, BDD, automatisation, scénario, cas et preuve.</t>
  </si>
  <si>
    <t>AS I SO testing</t>
  </si>
  <si>
    <t>EXP-177</t>
  </si>
  <si>
    <t>AS I SO user-view criteria</t>
  </si>
  <si>
    <t>Notation locale / critères du point de vue utilisateur</t>
  </si>
  <si>
    <t>Notation locale de formulation de critères ou mises à l’épreuve depuis le point de vue d’un utilisateur ou acteur, afin de rendre explicites la perspective, la situation ou action et le résultat utile attendu. AS I SO soutient la clarification des intentions et comportements, mais ne constitue pas une norme universelle ni un type autonome de test; son expansion exacte et sa grammaire doivent être déclarées dans le contexte où elle est utilisée.</t>
  </si>
  <si>
    <t>Conserver comme notation locale de DÉFINIR; documenter explicitement la signification de AS, I et SO, l’acteur ou population, le contexte, l’intention ou action, le résultat attendu, les critères, exemples, exceptions et liens aux spécifications. Relier à User story, Gherkin, BDD, ATDD, scénario et cas sans prétendre qu’ils sont équivalents.</t>
  </si>
  <si>
    <t>Convention AS I SO versionnée; glossaire; acteurs et populations; intentions; contextes; actions; résultats utiles; critères et exemples; variantes et exceptions; liens aux spécifications, scénarios, cas, Runs et preuves; limites</t>
  </si>
  <si>
    <t>AAA testing</t>
  </si>
  <si>
    <t>EXP-178</t>
  </si>
  <si>
    <t>Arrange–Act–Assert pattern</t>
  </si>
  <si>
    <t>Structure de cas / patron</t>
  </si>
  <si>
    <t>AAA est un patron de structuration d’un cas ou d’un test : préparer les conditions, agir ou stimuler, puis exprimer les observations ou comparaisons attendues. Il ne constitue pas une nature de Validation.</t>
  </si>
  <si>
    <t>Normaliser vers patron Arrange–Act–Assert; relier Arrange aux conditions, Act au stimulus ou Run, et Assert aux Checks sans réduire la preuve à une assertion.</t>
  </si>
  <si>
    <t>Exemple mapping testing</t>
  </si>
  <si>
    <t>EXP-179</t>
  </si>
  <si>
    <t>Example Mapping</t>
  </si>
  <si>
    <t>Technique collaborative de spécification</t>
  </si>
  <si>
    <t>Example Mapping est une technique collaborative permettant d’explorer une intention à l’aide de règles, exemples, questions et inconnues afin d’améliorer les spécifications et préparer les validations.</t>
  </si>
  <si>
    <t>Normaliser en Example Mapping; conserver comme toolbox de Définir et Éliciter, et relier règles, exemples, questions, spécifications et cas de Validation.</t>
  </si>
  <si>
    <t>Ad Hoc testing</t>
  </si>
  <si>
    <t>EXP-180</t>
  </si>
  <si>
    <t>Investigation exploratoire / improvisée</t>
  </si>
  <si>
    <t>Variante exploratoire improvisée, guidée par l’expérience, l’intuition ou un soupçon local, sans cas prédéfini complet.</t>
  </si>
  <si>
    <t>Conserver comme modalité exploratoire; exprimer l’intention minimale et documenter après coup les observations utiles et les conditions de reproduction.</t>
  </si>
  <si>
    <t>Active testing</t>
  </si>
  <si>
    <t>EXP-181</t>
  </si>
  <si>
    <t>Mode de stimulation active</t>
  </si>
  <si>
    <t>Validation stimulant intentionnellement la cible par actions, requêtes, événements, données ou perturbations afin de produire des observations.</t>
  </si>
  <si>
    <t>Déclarer stimuli, cible, environnement, effets permis, instrumentation, observations et limites.</t>
  </si>
  <si>
    <t>Age testing</t>
  </si>
  <si>
    <t>EXP-182</t>
  </si>
  <si>
    <t>Product aging validation</t>
  </si>
  <si>
    <t>Pérennité / vieillissement du produit et de son écosystème</t>
  </si>
  <si>
    <t>Validation prospective et périodique de la capacité du produit à demeurer soutenable, sécuritaire, compatible, exploitable et utile malgré le passage du temps et l’évolution de son écosystème. Elle examine notamment obsolescence des bibliothèques, plateformes et matériels, fin de soutien, dérive des données et volumes, certificats, standards, compétences, dépendances, coûts, performance, sécurité, maintenabilité et possibilités de mise à jour ou migration. Elle ne prédit pas mécaniquement le futur et ne doit pas être fondée sur l’âge des défauts.</t>
  </si>
  <si>
    <t>Normaliser Age testing vers Product aging validation; séparer explicitement vieillissement du produit, Endurance testing, Stability testing, pérennité, obsolescence et Defect age. Déclarer horizon et scénarios, hypothèses, versions, dépendances, dates de fin de soutien connues, simulations ou environnements futurs, signaux, seuils, actions, confiance et limites. Traiter Defect age comme une métrique distincte de délai ou de phase, jamais comme la base suffisante de cette Validation.</t>
  </si>
  <si>
    <t>Inventaire produit et dépendances; versions et cycles de soutien; scénarios temporels; matrices de compatibilité future; bibliothèques, matériels, plateformes, certificats et standards; volumes et données; sécurité; compétences; coûts; Runs ou simulations; signaux CARE; plans update-upgrade-migration-disposal; preuves, confiance et limites</t>
  </si>
  <si>
    <t>Assertion testing</t>
  </si>
  <si>
    <t>EXP-183</t>
  </si>
  <si>
    <t>Assertion / Check</t>
  </si>
  <si>
    <t>Qualification locale / mécanisme</t>
  </si>
  <si>
    <t>Expression à normaliser : une assertion exprime une affirmation ou attente locale vérifiable et sert généralement de mécanisme de Check entre une observation et une référence. Elle n’est pas un type complet de Validation.</t>
  </si>
  <si>
    <t>Normaliser vers Assertion ou Check selon l’usage; déclarer observation, référence, opérateur, tolérance, résultat et limites.</t>
  </si>
  <si>
    <t>Instruction testing</t>
  </si>
  <si>
    <t>EXP-184</t>
  </si>
  <si>
    <t>Instruction validation</t>
  </si>
  <si>
    <t>Objet ou étape de cas</t>
  </si>
  <si>
    <t>Expression à distinguer selon l’intention : valider qu’une instruction destinée à une personne ou machine est correcte et exécutable, ou utiliser une instruction comme étape d’un cas de Validation.</t>
  </si>
  <si>
    <t>Normaliser vers Validation d’instruction ou Instruction de cas; déclarer acteur, préconditions, action, résultat attendu, ambiguïtés et preuve.</t>
  </si>
  <si>
    <t>Mock testing</t>
  </si>
  <si>
    <t>EXP-185</t>
  </si>
  <si>
    <t>Mock</t>
  </si>
  <si>
    <t>Double de test / interaction contrôlée</t>
  </si>
  <si>
    <t>Double configurable simulant une dépendance; il ne prouve pas que la dépendance réelle satisfera son contrat.</t>
  </si>
  <si>
    <t>jeux de données testing</t>
  </si>
  <si>
    <t>EXP-186</t>
  </si>
  <si>
    <t>Test dataset</t>
  </si>
  <si>
    <t>Préparation / jeu de données</t>
  </si>
  <si>
    <t>Ensemble versionné de données préparées avec provenance, schéma, règles, confidentialité et usages déclarés.</t>
  </si>
  <si>
    <t>All-pair testing</t>
  </si>
  <si>
    <t>EXP-187</t>
  </si>
  <si>
    <t>Pairwise testing</t>
  </si>
  <si>
    <t>Technique combinatoire / toutes les paires</t>
  </si>
  <si>
    <t>Technique assurant que chaque paire applicable de valeurs de deux facteurs apparaît au moins une fois, sans garantir les interactions d’ordre supérieur.</t>
  </si>
  <si>
    <t>Déclarer facteurs, valeurs, contraintes, paires, générateur, couverture et risque résiduel; ne pas confondre avec Pair testing.</t>
  </si>
  <si>
    <t>Facteurs, valeurs, contraintes, cas, couverture, Runs et limites</t>
  </si>
  <si>
    <t>Basepath testing</t>
  </si>
  <si>
    <t>EXP-188</t>
  </si>
  <si>
    <t>Basis Path Testing</t>
  </si>
  <si>
    <t>Technique structurelle / chemins indépendants</t>
  </si>
  <si>
    <t>Technique sélectionnant des chemins de base indépendants dans un graphe de contrôle. Elle spécialise Path testing sans couvrir tous les chemins possibles.</t>
  </si>
  <si>
    <t>Déclarer graphe, complexité, chemins indépendants, boucles, impossibles, oracles et couverture.</t>
  </si>
  <si>
    <t>Graphe, décisions, complexité, chemins, cas, Runs et couverture</t>
  </si>
  <si>
    <t>Backward testing</t>
  </si>
  <si>
    <t>EXP-189</t>
  </si>
  <si>
    <t>Backward validation</t>
  </si>
  <si>
    <t>Compatibilité historique ou traçabilité rétrograde / intention à préciser</t>
  </si>
  <si>
    <t>Expression à distinguer selon l’intention. Backward Compatibility Testing valide qu’une nouvelle version demeure compatible avec des versions, interfaces, données, formats, contrats ou comportements antérieurs déclarés. Backward Traceability Testing valide un état, résultat ou effet en remontant vers ses causes, règles, décisions, données, versions et preuves d’origine. Backward ne signifie pas simplement exécuter des étapes dans l’ordre inverse.</t>
  </si>
  <si>
    <t>Normaliser Backward testing selon l’intention vers Backward Compatibility Testing ou Backward Traceability Testing; déclarer point de départ, direction, versions ou états reliés, références, données, contrats, transformations, liens, écarts, preuves et limites. Pour la compatibilité, relier à Compatibility, Regression, Update et Upgrade. Pour la traçabilité, relier à Traceability, Mapping, Audit et chaîne qualimétrique.</t>
  </si>
  <si>
    <t>Intention source; versions ou états source-cible; matrice de compatibilité historique ou graphe de traçabilité rétrograde; formats, interfaces et contrats; données; décisions; liens; cas; Runs; observations; écarts; preuves; couverture et limites.</t>
  </si>
  <si>
    <t>Big Bang testing</t>
  </si>
  <si>
    <t>EXP-190</t>
  </si>
  <si>
    <t>Big Bang integration testing</t>
  </si>
  <si>
    <t>Intégration / assemblage simultané</t>
  </si>
  <si>
    <t>Approche d’Integration testing dans laquelle les constituants visés sont assemblés en une seule étape, puis validés ensemble plutôt que progressivement. Elle peut fournir rapidement une vue de l’ensemble lorsque la composition est petite ou déjà disponible, mais réduit l’isolation des causes et peut retarder l’apprentissage sur les interactions. Big Bang précise la stratégie d’assemblage, non la portée complète, la qualité ou le caractère holistique de la Validation.</t>
  </si>
  <si>
    <t>Conserver comme approche historique d’intégration; déclarer constituants, frontières, prévalidations, interfaces, dépendances, séquence d’assemblage, environnement, données, observabilité, responsabilités, stratégie de diagnostic, rollback, couverture, preuves et risques. Comparer explicitement aux approches incremental, top-down, bottom-up et sandwich; éviter d’en faire le mode par défaut d’un système complexe.</t>
  </si>
  <si>
    <t>Carte des constituants et dépendances; versions; contrats et interfaces; prévalidations; environnement intégré; données; cas et Runs; traces; défauts; diagnostic; reprises; couverture; preuves; comparaison aux alternatives; risques et limites</t>
  </si>
  <si>
    <t>Update testing</t>
  </si>
  <si>
    <t>EXP-191</t>
  </si>
  <si>
    <t>Transition / mise à jour incrémentale</t>
  </si>
  <si>
    <t>Validation d’une mise à jour généralement incrémentale apportée à une version existante, par exemple correctifs, sécurité, stabilité, compatibilité ou améliorations limitées. Update qualifie la transition; son ampleur réelle doit être déclarée plutôt que déduite uniquement du nom ou du numéro de version.</t>
  </si>
  <si>
    <t>Conserver comme transition; déclarer versions source et cible, contenu du changement, prérequis, compatibilité, données et configurations préservées, interruption, reprise, rollback, régression, observabilité et preuves.</t>
  </si>
  <si>
    <t>Versions source et cible, paquet ou artefact, manifeste, prérequis, matrice de compatibilité, sauvegarde, installation, migration éventuelle, Runs, preuves et rollback</t>
  </si>
  <si>
    <t>Upgrade testing</t>
  </si>
  <si>
    <t>EXP-192</t>
  </si>
  <si>
    <t>Transition / changement majeur de version</t>
  </si>
  <si>
    <t>Validation d’une montée vers une version, édition ou architecture significativement différente pouvant modifier capacités, interfaces, exigences, données, dépendances ou modes d’exploitation. Upgrade précise l’ampleur attendue de la transition, sans dispenser d’en déclarer concrètement les impacts.</t>
  </si>
  <si>
    <t>Conserver comme transition majeure; déclarer versions source et cible, chemins supportés, prérequis, migrations, compatibilité, formation ou adaptation, interruption, performances, sécurité, rollback, dépréciations et preuves.</t>
  </si>
  <si>
    <t>Stratégie d’upgrade, chemins de versions, architecture, migrations de données et configuration, compatibilité, sauvegarde, Runs, mesures, preuves, rollback et limites</t>
  </si>
  <si>
    <t>Binary testing</t>
  </si>
  <si>
    <t>EXP-193</t>
  </si>
  <si>
    <t>Binary decision testing</t>
  </si>
  <si>
    <t>Décision binaire / conditions / deux issues</t>
  </si>
  <si>
    <t>Validation des deux issues d’une décision binaire déclarée, notamment vrai-faux, oui-non, accepté-refusé, actif-inactif ou présent-absent, ainsi que des effets associés. Elle peut s’appliquer au code, aux règles métier, aux modèles BPMN, aux spécifications SI/ALORS, aux workflows et aux décisions machine ou applicatives. Binary qualifie le nombre d’issues, non la perspective ni la technique à elle seule.</t>
  </si>
  <si>
    <t>Normaliser Binary testing vers Binary decision testing selon l’intention confirmée; déclarer décision, conditions, issue vraie et fausse, valeurs ou événements déclencheurs, règles SI/ALORS, états, transitions, effets, cas impossibles, erreurs, couverture et preuves. Relier à Decision, Branch, Condition, Expected condition, Rules, Logical, BPMN/Process et Path testing sans les confondre.</t>
  </si>
  <si>
    <t>Modèle ou table de décision; condition et opérateurs; issues vrai-faux ou équivalentes; règles SI/ALORS; BPMN ou workflow; données; cas pour chaque issue; Runs; transitions; effets; couverture; preuves et limites.</t>
  </si>
  <si>
    <t>Portability testing</t>
  </si>
  <si>
    <t>EXP-194</t>
  </si>
  <si>
    <t>Propriété / transfert entre environnements</t>
  </si>
  <si>
    <t>Validation de la capacité d’un composant ou système à être transféré d’un environnement matériel, logiciel, opérationnel ou d’usage vers un autre avec une efficacité et un effort déclarés. Portability peut englober adaptabilité, installabilité et remplaçabilité sans se réduire à la seule compatibilité d’exécution.</t>
  </si>
  <si>
    <t>Conserver comme propriété; déclarer environnements source et cible, adaptations requises, installation, migration, données, dépendances, effort, réversibilité, limites et preuves. Relier à Compatibility, Installation, Update et Upgrade selon le cas.</t>
  </si>
  <si>
    <t>Matrice source-cible, prérequis, dépendances, adaptations, procédures, migrations, Runs, mesures d’effort, preuves, rollback et limites</t>
  </si>
  <si>
    <t>Perenity testing</t>
  </si>
  <si>
    <t>EXP-195</t>
  </si>
  <si>
    <t>Product longevity and sustainability validation</t>
  </si>
  <si>
    <t>Pérennité / tenue dans le temps / croissance et évolution</t>
  </si>
  <si>
    <t>Validation de la capacité du produit et de son écosystème à demeurer fonctionnels, performants, fiables, sécuritaires, maintenables, compatibles, exploitables et utiles dans le temps malgré l’accumulation de données, l’augmentation des volumes, l’usage prolongé, les changements de dépendances, plateformes, standards, coûts et contextes. Elle peut mobiliser Endurance, Volume, Scalability, Reliability, Stability, Aging, Maintainability et CARE, mais ne se réduit pas à un test de performance prolongé.</t>
  </si>
  <si>
    <t>Corriger Perenity testing et normaliser vers Product longevity and sustainability validation; déclarer horizon, scénarios d’évolution, croissance des données et transactions, rétention et archivage, profils d’usage, dépendances et fins de soutien, compatibilité, migrations, performance, capacité, sécurité, maintenabilité, compétences, coûts, observabilité, seuils, plans d’adaptation, preuves et limites. Distinguer pérennité du produit, Endurance testing sous charge soutenue, Age testing prospectif et simple disponibilité.</t>
  </si>
  <si>
    <t>Horizon et scénarios; modèles de croissance des données, utilisateurs et transactions; rétention, archivage et purge; dépendances et cycles de soutien; matrices de compatibilité; profils de charge prolongée; capacités et coûts; sécurité et conformité; maintenabilité et compétences; simulations ou Runs; tendances CARE; plans de mise à jour, migration et retrait; preuves, confiance et limites.</t>
  </si>
  <si>
    <t>Bottom up testing</t>
  </si>
  <si>
    <t>EXP-196</t>
  </si>
  <si>
    <t>Bottom-up integration testing</t>
  </si>
  <si>
    <t>Intégration / progression depuis les constituants bas niveau</t>
  </si>
  <si>
    <t>Approche incrémentale d’Integration testing dans laquelle les constituants de plus bas niveau sont intégrés et validés d’abord, puis composés progressivement avec les niveaux supérieurs. Des drivers peuvent stimuler les appelants absents.</t>
  </si>
  <si>
    <t>Normaliser Bottom up testing vers Bottom-up integration testing; déclarer architecture, niveaux, ordre, drivers, contrats, données, critères de passage, diagnostic, couverture et preuves.</t>
  </si>
  <si>
    <t>Architecture; dépendances; niveaux; drivers; contrats; cas; Runs; défauts; couverture; preuves et limites.</t>
  </si>
  <si>
    <t>Top Down testing</t>
  </si>
  <si>
    <t>EXP-197</t>
  </si>
  <si>
    <t>Top-down integration testing</t>
  </si>
  <si>
    <t>Intégration / progression depuis les constituants haut niveau</t>
  </si>
  <si>
    <t>Approche incrémentale d’Integration testing dans laquelle les constituants de haut niveau et les flux principaux sont validés d’abord, puis les niveaux inférieurs sont ajoutés progressivement. Des stubs peuvent remplacer les dépendances absentes.</t>
  </si>
  <si>
    <t>Normaliser Top Down testing vers Top-down integration testing; déclarer architecture, flux supérieurs, ordre, stubs, contrats, remplacements progressifs, critères de passage, diagnostic, couverture et preuves.</t>
  </si>
  <si>
    <t>Architecture; flux principaux; niveaux; stubs; contrats; cas; Runs; défauts; couverture; preuves et limites.</t>
  </si>
  <si>
    <t>Vertical E2E testing</t>
  </si>
  <si>
    <t>EXP-198</t>
  </si>
  <si>
    <t>Portée E2E / tranche verticale à travers les couches</t>
  </si>
  <si>
    <t>Validation bout en bout d’une tranche verticale utile traversant les couches, tiers ou constituants nécessaires depuis une entrée jusqu’à une sortie ou un retour déclaré.</t>
  </si>
  <si>
    <t>Conserver comme spécialisation locale de E2E testing; déclarer intention, entrée, sortie ou retour, couches, données, dépendances, environnements, substituts, propriétés, preuves et exclusions.</t>
  </si>
  <si>
    <t>Tranche; modèle des couches; parcours; systèmes; données; environnements; cas; Runs; traces; preuves; couverture et limites.</t>
  </si>
  <si>
    <t>Horizontal E2E testing</t>
  </si>
  <si>
    <t>EXP-199</t>
  </si>
  <si>
    <t>Portée E2E / parcours à travers systèmes ou capacités</t>
  </si>
  <si>
    <t>Validation bout en bout d’un parcours horizontal traversant plusieurs capacités, Services, applications ou systèmes à un niveau de lecture déclaré, depuis une entrée jusqu’à une sortie ou un retour.</t>
  </si>
  <si>
    <t>Conserver comme spécialisation locale de E2E testing; déclarer origine, destination ou retour, capacités, systèmes, interfaces, contrats, données, responsabilités, environnements, preuves et exclusions.</t>
  </si>
  <si>
    <t>Carte du parcours; produits; Services; systèmes; interfaces; contrats; données; cas; Runs; traces; preuves et limites.</t>
  </si>
  <si>
    <t>E2E in code testing</t>
  </si>
  <si>
    <t>EXP-200</t>
  </si>
  <si>
    <t>Code-level E2E testing</t>
  </si>
  <si>
    <t>Portée E2E / parcours technique dans le code</t>
  </si>
  <si>
    <t>Validation bout en bout d’un parcours complet dans le code depuis un point d’entrée technique jusqu’à une sortie, un effet ou un retour, à travers modules, couches, données et dépendances.</t>
  </si>
  <si>
    <t>Déclarer entrée, sortie, frontières, modules, dépendances, données, environnement, preuves et exclusions.</t>
  </si>
  <si>
    <t>Carte du parcours de code; modules; dépendances; données; cas; Runs; traces; preuves et limites.</t>
  </si>
  <si>
    <t>Branch testing</t>
  </si>
  <si>
    <t>EXP-201</t>
  </si>
  <si>
    <t>Technique structurelle / branches</t>
  </si>
  <si>
    <t>Technique sélectionnant des cas pour exercer les branches issues des décisions. La couverture des branches ne démontre pas tous les chemins ni la satisfaction fonctionnelle.</t>
  </si>
  <si>
    <t>Déclarer modèle, branches applicables et impossibles, cas, numérateur, dénominateur et limites.</t>
  </si>
  <si>
    <t>Graphe, décisions, branches, cas, Runs, couverture et preuves</t>
  </si>
  <si>
    <t>Breadth testing</t>
  </si>
  <si>
    <t>EXP-202</t>
  </si>
  <si>
    <t>Stratégie / couverture large et profondeur limitée</t>
  </si>
  <si>
    <t>Validation large et volontairement peu profonde confirmant que les principales capacités, modules, interfaces ou parcours sont présents et fonctionnent à un niveau minimal utile.</t>
  </si>
  <si>
    <t>Déclarer ensemble applicable, niveau minimal, environnements, couverture, critères d’approfondissement et limites.</t>
  </si>
  <si>
    <t>Inventaire; matrice de couverture large; cas courts; Runs; ruptures; preuves et limites.</t>
  </si>
  <si>
    <t>Coverage testing</t>
  </si>
  <si>
    <t>EXP-203</t>
  </si>
  <si>
    <t>Couverture</t>
  </si>
  <si>
    <t>Qualimétrie / agrégation</t>
  </si>
  <si>
    <t>Expression à normaliser vers Couverture : vue qualimétrique des éléments applicables, prévus, exercés, observés, prouvés et encore actuels. La couverture n’est pas un test unique.</t>
  </si>
  <si>
    <t>Normaliser vers Couverture; déclarer ensemble applicable, relation couverte, numérateur, dénominateur, preuve, fraîcheur, inconnues et limites.</t>
  </si>
  <si>
    <t>Concurrency testing</t>
  </si>
  <si>
    <t>EXP-204</t>
  </si>
  <si>
    <t>Comportement sous opérations concurrentes</t>
  </si>
  <si>
    <t>Validation du produit lorsque utilisateurs, sessions, onglets, processus, fils ou opérations se chevauchent et partagent éventuellement des ressources.</t>
  </si>
  <si>
    <t>Déclarer acteurs, sessions, opérations, ordre possible, ressources, invariants, synchronisation, observabilité et preuves.</t>
  </si>
  <si>
    <t>Modèle de concurrence, sessions, opérations, ressources, traces, Runs et preuves</t>
  </si>
  <si>
    <t>Context based testing</t>
  </si>
  <si>
    <t>EXP-205</t>
  </si>
  <si>
    <t>Context-driven testing</t>
  </si>
  <si>
    <t>Approche / choix guidés par le contexte</t>
  </si>
  <si>
    <t>Approche selon laquelle les pratiques, techniques, niveaux de formalité, automatisations, preuves et priorités de Validation sont choisis et adaptés au contexte réel plutôt qu’appliqués comme recettes universelles. Le contexte inclut notamment produit, utilisateurs, risques, domaine, équipe, compétences, technologies, contraintes, calendrier, obligations, maturité, information disponible et changements. Dans ToTAL, cette posture soutient le coaching non dogmatique et demeure orientée vers la maîtrise du produit.</t>
  </si>
  <si>
    <t>Normaliser Context based testing vers Context-driven testing; déclarer contexte, mission, parties concernées, risques, contraintes, hypothèses, techniques retenues et écartées, critères d’adaptation, apprentissages, preuves et limites. Ne pas utiliser le contexte pour justifier l’absence d’intention, de traçabilité, d’éthique ou de responsabilité.</t>
  </si>
  <si>
    <t>Mission et contexte; produit et populations; domaine; risques; obligations; équipe et compétences; technologies; contraintes; stratégie adaptative; choix de techniques; chartes; Runs; observations; décisions; apprentissages; changements; preuves et limites</t>
  </si>
  <si>
    <t>Parse testing</t>
  </si>
  <si>
    <t>EXP-206</t>
  </si>
  <si>
    <t>Parsing validation</t>
  </si>
  <si>
    <t>Transformation / interprétation syntaxique</t>
  </si>
  <si>
    <t>Validation de l’analyse d’une représentation d’entrée afin de produire une structure interprétée conforme à une grammaire, un schéma ou des règles déclarées. Elle couvre notamment reconnaissance, découpage, ordre, ambiguïtés, erreurs, tolérance, rejet, récupération et conservation du sens utile.</t>
  </si>
  <si>
    <t>Normaliser Parse testing vers Parsing validation; déclarer langage ou format, grammaire et version, encodage, tokens ou champs, résultat structuré attendu, entrées valides, invalides et ambiguës, stratégie d’erreur, limites de ressources et preuves. Distinguer parsing, simple format, type, conversion et validation sémantique.</t>
  </si>
  <si>
    <t>Grammaire ou schéma versionné; corpus valide, invalide et ambigu; paramètres d’analyse; cas; Runs; arbres ou structures produits; erreurs; reprises; mesures; preuves et limites.</t>
  </si>
  <si>
    <t>Conversion testing</t>
  </si>
  <si>
    <t>EXP-207</t>
  </si>
  <si>
    <t>Conversion validation</t>
  </si>
  <si>
    <t>Transformation / représentation source-cible</t>
  </si>
  <si>
    <t>Validation d’une transformation d’une représentation, unité, format, type, version ou modèle source vers une cible, en confirmant règles, exactitude, complétude, pertes autorisées, arrondis, erreurs, réversibilité et traçabilité.</t>
  </si>
  <si>
    <t>Normaliser Conversion testing vers Conversion validation; déclarer source et cible, versions, mappings, unités, règles et priorités, valeurs limites, pertes et approximations permises, erreurs, idempotence ou réversibilité lorsqu’applicable, réconciliation et preuves.</t>
  </si>
  <si>
    <t>Objets source et cible; versions; règles et mappings; données nominales, limites et invalides; Runs; résultats; écarts; réconciliation; preuves; couverture et limites.</t>
  </si>
  <si>
    <t>Format testing</t>
  </si>
  <si>
    <t>EXP-208</t>
  </si>
  <si>
    <t>Format validation</t>
  </si>
  <si>
    <t>Représentation / structure / convention</t>
  </si>
  <si>
    <t>Validation de la conformité d’une donnée, sortie, fichier, message ou contenu à un format déclaré : structure, syntaxe, longueur, encodage, séparateurs, ordre, motifs, représentation et conventions applicables. Un format correct ne garantit pas un sens valide.</t>
  </si>
  <si>
    <t>Normaliser Format testing vers Format validation; déclarer référence et version, structure, encodage, longueur, motifs, champs obligatoires, valeurs nulles, ordre, tolérances, erreurs et preuves. Relier à Parsing, Type, Semantic, Data et Contract validation.</t>
  </si>
  <si>
    <t>Spécification de format; schéma; exemples valides et invalides; données limites; analyseurs; cas; Runs; observations; erreurs; preuves et couverture.</t>
  </si>
  <si>
    <t>Type testing</t>
  </si>
  <si>
    <t>EXP-209</t>
  </si>
  <si>
    <t>Type validation</t>
  </si>
  <si>
    <t>Données / types / compatibilité</t>
  </si>
  <si>
    <t>Validation qu’une valeur, expression, champ, paramètre, objet ou retour possède le type attendu et respecte les opérations, contraintes, coercitions, nullabilité, précision et compatibilités déclarées.</t>
  </si>
  <si>
    <t>Normaliser Type testing vers Type validation; déclarer système de types, type attendu et observé, généricité, nullabilité, conversions implicites ou interdites, limites, erreurs, vérifications statiques ou dynamiques et preuves. Distinguer type, format, valeur, sémantique et conversion.</t>
  </si>
  <si>
    <t>Modèle de types; schémas et signatures; règles de compatibilité; analyses statiques; données; cas; Runs; erreurs; preuves; couverture et limites.</t>
  </si>
  <si>
    <t>Decision testing</t>
  </si>
  <si>
    <t>EXP-210</t>
  </si>
  <si>
    <t>Technique structurelle / décisions</t>
  </si>
  <si>
    <t>Technique sélectionnant des cas pour exercer les résultats possibles de décisions dans un modèle de contrôle, de règle ou de processus.</t>
  </si>
  <si>
    <t>Déclarer modèle, décisions, issues, conditions composées, cas impossibles, couverture et limites.</t>
  </si>
  <si>
    <t>Modèle décisionnel, décisions, conditions, cas, Runs, couverture et preuves</t>
  </si>
  <si>
    <t>Dependency testing</t>
  </si>
  <si>
    <t>EXP-211</t>
  </si>
  <si>
    <t>Dépendances / contrats / défaillances</t>
  </si>
  <si>
    <t>Validation des contrats, versions, disponibilité, délais, erreurs, dégradations et substitutions des dépendances internes ou externes.</t>
  </si>
  <si>
    <t>Inventorier dépendances, propriétaires, contrats, criticité, défaillances, substituts, observabilité, isolation et effets.</t>
  </si>
  <si>
    <t>Carte des dépendances, contrats, versions, doubles, Runs, traces et preuves</t>
  </si>
  <si>
    <t>Endurance testing</t>
  </si>
  <si>
    <t>EXP-212</t>
  </si>
  <si>
    <t>Performance / durée soutenue</t>
  </si>
  <si>
    <t>Validation du comportement du produit sous une charge déclarée maintenue pendant une durée significative afin de révéler dérive, fuite de ressources, épuisement, accumulation, ralentissement ou perte de stabilité apparaissant avec le temps.</t>
  </si>
  <si>
    <t>Conserver comme spécialisation de Performance testing; déclarer profil de charge, durée, période de stabilisation, données, maintenance, métriques, tendances, seuils, environnement et récupération.</t>
  </si>
  <si>
    <t>Profil opérationnel et de charge, durée, environnement, données, métriques temporelles et ressources, journaux, Runs, tendances, seuils, preuves et limites</t>
  </si>
  <si>
    <t>Equivalence testing</t>
  </si>
  <si>
    <t>EXP-213</t>
  </si>
  <si>
    <t>Equivalence Partitioning</t>
  </si>
  <si>
    <t>Technique de sélection / partitions</t>
  </si>
  <si>
    <t>Technique divisant un domaine en partitions dont les éléments sont supposés être traités de manière équivalente afin de sélectionner des représentants.</t>
  </si>
  <si>
    <t>Déclarer domaine, partitions valides et invalides, règle d’équivalence, représentants, frontières et couverture.</t>
  </si>
  <si>
    <t>Domaine, partitions, représentants, frontières, cas, Runs et couverture</t>
  </si>
  <si>
    <t>Partition testing</t>
  </si>
  <si>
    <t>EXP-214</t>
  </si>
  <si>
    <t>Alias / technique de partitionnement</t>
  </si>
  <si>
    <t>Expression générique redirigée vers Equivalence Partitioning lorsque le domaine est divisé en classes supposées équivalentes.</t>
  </si>
  <si>
    <t>Rediriger vers Equivalence Partitioning ou préciser explicitement une autre forme de partition.</t>
  </si>
  <si>
    <t>Domaine, règle, partitions, représentants, frontières, cas et couverture</t>
  </si>
  <si>
    <t>Defect injection testing</t>
  </si>
  <si>
    <t>EXP-215</t>
  </si>
  <si>
    <t>Fault injection testing</t>
  </si>
  <si>
    <t>Résilience / injection de fautes</t>
  </si>
  <si>
    <t>Validation introduisant intentionnellement des fautes ou défaillances contrôlées afin d’observer détection, confinement, tolérance, dégradation et récupération. Defect injection est normalisé vers Fault injection lorsque l’intention porte sur des fautes opérationnelles provoquées.</t>
  </si>
  <si>
    <t>Normaliser Defect injection testing vers Fault injection testing; déclarer faute injectée, point d’injection, moment, fréquence, portée, état attendu, protections, critères d’arrêt, restauration et preuves.</t>
  </si>
  <si>
    <t>Modèle de faute, cible et point d’injection, scénario, environnement, observabilité, Runs, effets, détection, récupération, preuves et limites</t>
  </si>
  <si>
    <t>Fuzz testing</t>
  </si>
  <si>
    <t>EXP-216</t>
  </si>
  <si>
    <t>Technique automatisée / entrées inattendues ou malformées</t>
  </si>
  <si>
    <t>Technique automatisée qui fournit à une cible de nombreuses entrées invalides, inattendues, aléatoires, semi-valides ou malformées afin de révéler notamment crashs, blocages, exceptions, assertions en échec, fuites de mémoire, comportements indéfinis, erreurs de validation et vulnérabilités. Les entrées peuvent être générées ou mutées, structurées ou non, et guidées par la couverture. Fuzzing démontre la présence de problèmes trouvés, jamais leur absence.</t>
  </si>
  <si>
    <t>Conserver comme technique d’investigation automatisée; déclarer cible et frontière de confiance, modèles ou formats d’entrée, corpus et graines, génération ou mutation, perspective black-gray-white, instrumentation et sanitizers, budget et durée, oracles, couverture, reproductibilité, conservation et minimisation des entrées révélatrices, triage, sécurité de l’environnement, preuves et limites.</t>
  </si>
  <si>
    <t>Cible et interfaces; formats, protocoles ou grammaires; corpus et graines; configuration du fuzzer; stratégies de génération et mutation; instrumentation; sanitizers; environnement isolé; campagnes et Runs; couverture; crashs et comportements; entrées minimisées; triage; anomalies; preuves; reproductibilité et limites</t>
  </si>
  <si>
    <t>Globalization testing</t>
  </si>
  <si>
    <t>EXP-217</t>
  </si>
  <si>
    <t>Couverture multi-locale / capacité mondiale</t>
  </si>
  <si>
    <t>Validation de la capacité complète du produit à fonctionner pour plusieurs régions, langues et contextes culturels déclarés. Globalization compose les capacités d’internationalisation et les adaptations de localisation, et observe aussi les parcours et échanges entre locales.</t>
  </si>
  <si>
    <t>Conserver comme vue couvrant plusieurs marchés; déclarer locales et populations cibles, internationalisation, localisations disponibles, bascule de locale, échanges de données, contenus, paiements, contraintes juridiques, couverture et inconnues.</t>
  </si>
  <si>
    <t>Matrice des locales et marchés, architecture i18n, ressources l10n, parcours inter-locales, données, environnements, Runs, couverture, preuves et limites</t>
  </si>
  <si>
    <t>inter system testing</t>
  </si>
  <si>
    <t>EXP-218</t>
  </si>
  <si>
    <t>Inter-system testing</t>
  </si>
  <si>
    <t>Portée / interactions entre systèmes délimités</t>
  </si>
  <si>
    <t>Validation des échanges, contrats, séquences, données, erreurs et effets entre au moins deux systèmes délimités. La portée peut être une interaction ciblée, un flux ou un E2E.</t>
  </si>
  <si>
    <t>Normaliser inter system testing vers Inter-system testing; déclarer systèmes, propriétaires, versions, interfaces, protocoles, contrats, données, séquences, dépendances, environnements, erreurs, récupération, observabilité, preuves et limites.</t>
  </si>
  <si>
    <t>Carte des systèmes; responsabilités; interfaces; contrats; versions; données; protocoles; cas; Runs; traces; erreurs; preuves et couverture.</t>
  </si>
  <si>
    <t>Load testing</t>
  </si>
  <si>
    <t>EXP-219</t>
  </si>
  <si>
    <t>Performance / charge attendue</t>
  </si>
  <si>
    <t>Validation du comportement de temps, débit, ressources, erreurs et stabilité sous un profil de charge attendu ou de pointe déclaré. Load testing répond à une charge réaliste et bornée; il ne cherche pas nécessairement le point de rupture.</t>
  </si>
  <si>
    <t>Conserver comme spécialisation de Performance testing; déclarer population, parcours, volumes, concurrence, cadence, montée et descente, environnement, données, références, seuils, percentiles et limites.</t>
  </si>
  <si>
    <t>Profil opérationnel et de charge, utilisateurs virtuels, données, environnement, scénarios, ramp-up et ramp-down, métriques, Runs, seuils, résultats et preuves</t>
  </si>
  <si>
    <t>Loop testing</t>
  </si>
  <si>
    <t>EXP-220</t>
  </si>
  <si>
    <t>Technique structurelle / boucles</t>
  </si>
  <si>
    <t>Technique ciblant absence d’itération, première itération, répétitions, limites, terminaison et interactions entre boucles.</t>
  </si>
  <si>
    <t>Déclarer boucle, entrée, sortie, bornes, cas zéro-un-plusieurs, imbrication, durée et couverture.</t>
  </si>
  <si>
    <t>Graphe, boucles, bornes, cas, Runs, durée, couverture et preuves</t>
  </si>
  <si>
    <t>Period testing</t>
  </si>
  <si>
    <t>EXP-221</t>
  </si>
  <si>
    <t>Validity-period testing</t>
  </si>
  <si>
    <t>Temporalité / période de validité et fenêtres</t>
  </si>
  <si>
    <t>Validation des comportements avant, au début, pendant, à l’échéance et après une période déclarée de validité, d’effet, d’attente ou de traitement.</t>
  </si>
  <si>
    <t>Déclarer objet, horloge, fuseau, début, fin, inclusivité, grâce, renouvellement, files, événements tardifs et preuves.</t>
  </si>
  <si>
    <t>Spécification temporelle; horloge; cas de frontières; Runs; observations; preuves et limites.</t>
  </si>
  <si>
    <t>Timeout testing</t>
  </si>
  <si>
    <t>EXP-222</t>
  </si>
  <si>
    <t>Temporalité / dépassement d’un délai limite</t>
  </si>
  <si>
    <t>Validation du comportement lorsqu’une opération, communication, transaction, session, requête ou traitement dépasse un délai limite déclaré.</t>
  </si>
  <si>
    <t>Déclarer opération, origine du temps, durée, propagation, annulation, retries, idempotence, état final, récupération et preuves.</t>
  </si>
  <si>
    <t>Spécification du timeout; chaîne des délais; scénarios; Runs; traces; état final; preuves et limites.</t>
  </si>
  <si>
    <t>Support testing</t>
  </si>
  <si>
    <t>EXP-223</t>
  </si>
  <si>
    <t>Support validation</t>
  </si>
  <si>
    <t>Soutien / capacité d’assistance / continuité d’usage</t>
  </si>
  <si>
    <t>Validation de la capacité de soutien associée au produit afin que les populations déclarées puissent obtenir une assistance correcte, accessible, cohérente et utile avant, pendant ou après l’usage. Elle qualifie notamment la réception des demandes, le contexte recueilli, le triage, le diagnostic, la résolution, l’escalade, les communications, la continuité entre canaux, les engagements, la connaissance disponible et la réinjection des apprentissages vers le produit. Support validation ne se réduit ni au logiciel de billetterie, ni à une équipe, ni à la seule documentation.</t>
  </si>
  <si>
    <t>Normaliser Support testing vers Support validation; déclarer populations, besoins de soutien, canaux, horaires ou disponibilité, catégories de demandes, informations requises, priorités, engagements, parcours de triage, responsabilités, escalades, connaissances, diagnostics, solutions, communications, confidentialité, accessibilité, localisation, outils, preuves, mesures et boucles CARE. Distinguer Support, Help, Tutorial, Documentation, Contact, Operational readiness et Customer-service software validation.</t>
  </si>
  <si>
    <t>Catalogue des services de soutien; populations; canaux et accessibilité; modèle de demandes; règles de priorité et d’escalade; engagements; base de connaissances; scripts et diagnostics; environnements et accès; scénarios; demandes simulées ou réelles protégées; Runs; communications; résolutions; retours; preuves; mesures; couverture et limites.</t>
  </si>
  <si>
    <t>Tutorial testing</t>
  </si>
  <si>
    <t>EXP-224</t>
  </si>
  <si>
    <t>Tutorial validation</t>
  </si>
  <si>
    <t>Contenu pédagogique / parcours guidé / apprentissage</t>
  </si>
  <si>
    <t>Validation d’un tutoriel comme parcours pédagogique guidé destiné à permettre à une population déclarée de comprendre un concept, d’apprendre une capacité ou d’accomplir une tâche. Elle qualifie exactitude, ordre, prérequis, progression, exemples, exercices, feedback, durée, accessibilité, localisation, cohérence avec la version réelle du produit et aptitude à atteindre l’objectif d’apprentissage. Un tutoriel n’est ni l’ensemble de la documentation ni une preuve que le produit est intuitif sans assistance.</t>
  </si>
  <si>
    <t>Normaliser Tutorial testing vers Tutorial validation; déclarer audience, compétence initiale, objectif d’apprentissage, version du produit, prérequis, étapes, exemples, exercices, données, environnement, critères de réussite, feedback, alternatives, erreurs fréquentes, accessibilité, localisation, maintien, observations, preuves et limites. Relier à Documentation, Help, Wording and content, Training, Onboarding, Usability et End User validation.</t>
  </si>
  <si>
    <t>Audience et prérequis; objectifs pédagogiques; tutoriel versionné; étapes et médias; exemples; exercices; données; environnement; critères de progression et réussite; Runs par des personnes représentatives; observations; retours; preuves; couverture; historique et limites.</t>
  </si>
  <si>
    <t>Help testing</t>
  </si>
  <si>
    <t>EXP-225</t>
  </si>
  <si>
    <t>Help validation</t>
  </si>
  <si>
    <t>Aide contextuelle / trouvabilité / résolution au point de besoin</t>
  </si>
  <si>
    <t>Validation des mécanismes d’aide permettant à une personne de comprendre une situation, répondre à une question ou poursuivre une intention au moment où le besoin survient. Elle qualifie disponibilité, trouvabilité, contexte, pertinence, exactitude, actionnabilité, navigation, recherche, liens, accessibilité, localisation, cohérence avec la version du produit et passage vers le soutien lorsque l’aide ne suffit pas. Help ne se confond ni avec Tutorial, ni avec Documentation complète, ni avec Support humain.</t>
  </si>
  <si>
    <t>Normaliser Help testing vers Help validation; déclarer populations, questions et moments de besoin, points d’entrée, contexte transmis, résultats de recherche, contenus, liens, procédures, exemples, version, accessibilité, langues, alternatives, escalade vers Support ou Contact, observations, preuves, fraîcheur et limites.</t>
  </si>
  <si>
    <t>Carte des besoins d’aide; points d’entrée et déclencheurs; aide contextuelle; centre d’aide et recherche; contenus et procédures versionnés; liens; langues; accessibilité; scénarios; Runs; observations de trouvabilité et résolution; escalades; preuves; couverture et limites.</t>
  </si>
  <si>
    <t>Contact testing</t>
  </si>
  <si>
    <t>EXP-226</t>
  </si>
  <si>
    <t>Contact validation</t>
  </si>
  <si>
    <t>Contactabilité / canal / routage vers le bon destinataire</t>
  </si>
  <si>
    <t>Validation de la capacité d’une personne, application, machine ou organisation à identifier et joindre le bon point de contact ou canal pour une intention déclarée, puis à transmettre une demande complète et recevoir la confirmation, le routage ou la réponse attendue. Elle peut couvrir formulaire, courriel, téléphone, clavardage, rappel, adresse, API, webhook ou autre mécanisme déclaré. Contact qualifie l’entrée en relation et son acheminement; il ne remplace ni Communication validation, ni Support validation, ni Integration testing.</t>
  </si>
  <si>
    <t>Normaliser Contact testing vers Contact validation dans le sens de contactabilité produit; déclarer intention, demandeur, destinataire ou responsabilité visée, canaux, coordonnées, disponibilité, identité, consentement, confidentialité, accessibilité, localisation, données requises, validation des champs, anti-abus, accusé, routage, délais, erreurs, continuité, preuves et limites. Si l’intention source vise plutôt le contact entre composants, rediriger vers Interaction, Integration ou Contract testing.</t>
  </si>
  <si>
    <t>Répertoire des points de contact; intentions et responsabilités; canaux et coordonnées; formulaires et contrats; règles de validation et routage; identités et consentements; accessibilité; messages et accusés; scénarios nominaux et dégradés; Runs; traces; réponses; preuves; couverture et limites.</t>
  </si>
  <si>
    <t>Negative testing</t>
  </si>
  <si>
    <t>EXP-227</t>
  </si>
  <si>
    <t>Sélection de cas / conditions invalides, interdites ou inattendues</t>
  </si>
  <si>
    <t>Validation du comportement de la cible lorsqu’elle reçoit ou rencontre des données, actions, états, séquences ou conditions invalides, interdites, absentes, inattendues ou hors du domaine accepté. Elle confirme notamment rejet, prévention, message, état préservé, sécurité, absence d’effet indésirable et récupération attendue. Negative ne signifie ni tous les parcours hors Happy Path, ni Edge Case, ni Exception Flow en général.</t>
  </si>
  <si>
    <t>Conserver Negative testing comme stratégie de sélection; déclarer domaine valide, conditions négatives, origine et vraisemblance, attentes de rejet ou tolérance, messages, effets permis et interdits, sécurité, état, journalisation, récupération, preuves et limites. Relier à Equivalence Partitioning, Boundary, Error-handling, Security, Fuzz, Alternate Flow et Exception Flow sans les confondre.</t>
  </si>
  <si>
    <t>Domaine et partitions valides-invalides; règles et interdictions; données absentes, malformées ou non autorisées; actions et séquences inattendues; cas; environnements; Runs; observations; messages; états; traces; preuves; couverture et limites.</t>
  </si>
  <si>
    <t>Positive testing</t>
  </si>
  <si>
    <t>EXP-228</t>
  </si>
  <si>
    <t>Sélection de cas / conditions valides et attendues</t>
  </si>
  <si>
    <t>Validation du comportement de la cible avec des données, actions, états, séquences et conditions valides et autorisées afin de confirmer les résultats et effets attendus. Positive qualifie la validité des conditions sélectionnées; il ne se réduit pas toujours à un seul Happy Path et n’implique ni couverture complète ni absence de risques.</t>
  </si>
  <si>
    <t>Conserver Positive testing comme stratégie de sélection; déclarer domaine valide, conditions et données représentatives, comportements et résultats attendus, variantes autorisées, références, preuves, couverture et limites. Distinguer Positive testing, Happy Path, nominal, Acceptance et Regression testing.</t>
  </si>
  <si>
    <t>Domaine et partitions valides; règles; données représentatives; parcours nominaux ou variantes autorisées; cas; environnements; Runs; observations; résultats; effets; preuves; couverture et limites.</t>
  </si>
  <si>
    <t>Inverse testing</t>
  </si>
  <si>
    <t>EXP-229</t>
  </si>
  <si>
    <t>Inverse relation validation</t>
  </si>
  <si>
    <t>Technique relationnelle / opération inverse / retour à la référence</t>
  </si>
  <si>
    <t>Validation d’une relation inverse déclarée entre deux opérations, transformations, représentations, directions ou états. Elle applique une opération puis son inverse, ou confronte une relation à son inverse, afin de déterminer si la source, une propriété ou un résultat de référence est retrouvé dans les tolérances permises. Exemples : encoder-décoder, sérialiser-désérialiser, convertir-reconvertir, appliquer-annuler ou parcourir aller-retour. Inverse ne signifie ni Negative testing, ni Backward Compatibility, ni Reverse stress testing.</t>
  </si>
  <si>
    <t>Normaliser Inverse testing vers Inverse relation validation; déclarer opération directe et inverse, domaine, source, cible, pertes ou approximations permises, invariants, tolérances, ordre, idempotence ou réversibilité attendue, données, états, effets de bord, preuves et limites. Relier à Metamorphic, Conversion, Mapping, Integrity, Mirror, Round-trip et Property-based validation.</t>
  </si>
  <si>
    <t>Spécification de la relation directe-inverse; source et cible; règles et mappings; invariants et tolérances; cas nominaux, limites et pertes permises; Runs aller-retour corrélés; observations; écarts; réconciliation; preuves; couverture et limites.</t>
  </si>
  <si>
    <t>Contrairy testing</t>
  </si>
  <si>
    <t>EXP-230</t>
  </si>
  <si>
    <t>Contrary testing</t>
  </si>
  <si>
    <t>Alias ambigu / contraire, négatif ou inverse</t>
  </si>
  <si>
    <t>Expression non canonique et orthographiquement incertaine pouvant viser une condition contraire à l’attente valide, l’issue complémentaire d’une décision, une opération inverse ou une tentative de réfutation. Elle ne possède pas une sémantique suffisamment stable pour constituer une famille autonome de Validation.</t>
  </si>
  <si>
    <t>Déprécier Contrairy testing et corriger la forme historique seulement pour la recherche. Rediriger selon l’intention vers Negative testing pour les conditions invalides ou contraires, Binary decision testing pour l’issue complémentaire, Inverse relation validation pour une opération inverse, ou Scientific/Exploratory testing pour une tentative de réfutation. Préserver la provenance.</t>
  </si>
  <si>
    <t>Expression source; intention retrouvée; contexte; exemples; redirection choisie; terme canonique; cas ou charte; Runs; observations; preuves et limites.</t>
  </si>
  <si>
    <t>Négative testing</t>
  </si>
  <si>
    <t>EXP-231</t>
  </si>
  <si>
    <t>Alias / variante accentuée</t>
  </si>
  <si>
    <t>Variante accentuée franco-anglaise de Negative testing conservée pour la provenance. Elle vise la même stratégie de sélection de conditions invalides, interdites, absentes, inattendues ou hors domaine; aucun concept distinct « Négative testing » n’est créé.</t>
  </si>
  <si>
    <t>Rediriger Négative testing vers Negative testing; préserver l’expression source pour la recherche historique et appliquer la définition, les garde-fous, les preuves et les limites du terme canonique.</t>
  </si>
  <si>
    <t>Expression source et terme canonique; domaine valide; conditions négatives; cas; Runs; observations; effets; preuves; couverture et limites.</t>
  </si>
  <si>
    <t>Oposite testing</t>
  </si>
  <si>
    <t>EXP-232</t>
  </si>
  <si>
    <t>Opposite testing</t>
  </si>
  <si>
    <t>Alias ambigu / opposé, complémentaire ou inverse</t>
  </si>
  <si>
    <t>Expression mal orthographiée et ambiguë pouvant désigner une entrée opposée, l’issue complémentaire d’une décision, une condition négative ou une transformation inverse. Opposite ne constitue pas une technique canonique autonome sans relation précisément définie.</t>
  </si>
  <si>
    <t>Déprécier Oposite testing; corriger la forme seulement pour la recherche et rediriger selon l’intention vers Negative testing, Binary decision testing, Complementary condition selection ou Inverse relation validation. Déclarer explicitement ce qui est opposé, selon quelle relation et avec quelle attente.</t>
  </si>
  <si>
    <t>Expression source; objets ou conditions opposés; relation; intention; redirection canonique; cas; Runs; observations; preuves et limites.</t>
  </si>
  <si>
    <t>Combinaison testing</t>
  </si>
  <si>
    <t>EXP-233</t>
  </si>
  <si>
    <t>Combinatorial testing</t>
  </si>
  <si>
    <t>Technique de sélection / combinaisons</t>
  </si>
  <si>
    <t>Famille sélectionnant des combinaisons de facteurs et valeurs selon une force d’interaction, des contraintes et un risque déclaré.</t>
  </si>
  <si>
    <t>Déclarer facteurs, valeurs, contraintes, force, méthode, priorités, exclusions et risque résiduel.</t>
  </si>
  <si>
    <t>Modèle combinatoire, facteurs, contraintes, cas, couverture, Runs et limites</t>
  </si>
  <si>
    <t>Alien testing</t>
  </si>
  <si>
    <t>EXP-234</t>
  </si>
  <si>
    <t>Alien scenario testing</t>
  </si>
  <si>
    <t>Investigation exploratoire / scénarios extrêmement improbables</t>
  </si>
  <si>
    <t>Approche exploratoire recherchant volontairement des situations exceptionnellement étranges, improbables, contre-intuitives ou considérées comme impossibles par l’équipe afin de révéler des hypothèses cachées et des comportements imprévus. Elle peut combiner actions inhabituelles, données insolites, périphériques, séquences ou conditions environnementales simulées de façon contrôlée.</t>
  </si>
  <si>
    <t>Normaliser Alien testing vers Alien scenario testing; déclarer scénario, caractère improbable, hypothèses contestées, environnement contrôlé, actions, données, périphériques ou événements, effets permis, sécurité, reproductibilité, observations, preuves et limites. Distinguer Monkey, Gorilla, Negative, Chaos et Edge Case testing.</t>
  </si>
  <si>
    <t>Charte Alien; hypothèses; scénarios exceptionnellement improbables; simulations physiques ou environnementales contrôlées; données; séquences; Runs; traces; observations; anomalies; reproduction; preuves et limites.</t>
  </si>
  <si>
    <t>each case testing (tout les cas même les bizzarres)</t>
  </si>
  <si>
    <t>EXP-235</t>
  </si>
  <si>
    <t>Edge Case testing</t>
  </si>
  <si>
    <t>Sélection de cas / limites et extrêmes</t>
  </si>
  <si>
    <t>Validation des cas situés aux limites, aux extrêmes ou aux intersections sensibles du domaine applicable, là où un comportement peut changer, devenir ambigu ou révéler une hypothèse fragile. Edge Case ne désigne pas tout ce qui se trouve hors du Happy Path et ne signifie pas exhaustive testing.</t>
  </si>
  <si>
    <t>Corriger each case testing vers Edge Case testing; déclarer domaine, frontières, extrêmes, intersections, validité, risques, valeurs sélectionnées, relation à Boundary Value Analysis et Threshold testing, preuves et limites. Distinguer Happy Path, Alternate Flow, Exception Flow, Negative et Alien testing.</t>
  </si>
  <si>
    <t>Domaine et partitions; frontières; extrêmes; cas juste avant, sur et après; dates particulières; capacités; longueurs; montants; combinaisons sensibles; Runs; preuves; couverture et limites.</t>
  </si>
  <si>
    <t>Mutation testing</t>
  </si>
  <si>
    <t>EXP-236</t>
  </si>
  <si>
    <t>Technique / efficacité des tests / altération contrôlée</t>
  </si>
  <si>
    <t>Technique introduisant volontairement de petites modifications contrôlées dans le code ou un autre artefact logiciel, puis exécutant les tests existants pour déterminer s’ils détectent les changements. Chaque version modifiée est un mutant. Un mock peut soutenir une simulation ou une injection de faute, mais n’est pas automatiquement une mutation.</t>
  </si>
  <si>
    <t>Conserver Mutation testing; déclarer cible, opérateurs de mutation, mutants générés, tests exécutés, mutants tués, survivants, mutants équivalents, exclusions, score contextualisé, coût, sécurité, preuves et limites. Distinguer Mutation testing, Mock, Fault injection et Defect injection.</t>
  </si>
  <si>
    <t>Code ou artefact versionné; opérateurs; mutants; tests et Runs; résultats; mutants tués, survivants et équivalents; analyses; améliorations des tests; couverture; coût; preuves et limites.</t>
  </si>
  <si>
    <t>Modularity testing</t>
  </si>
  <si>
    <t>EXP-237</t>
  </si>
  <si>
    <t>Architecture / modularité / autonomie</t>
  </si>
  <si>
    <t>Validation de responsabilités cohésives, frontières, interfaces, dépendances maîtrisées, substituabilité et impacts limités. L’autonomie absolue n’est pas exigée.</t>
  </si>
  <si>
    <t>Déclarer modules, responsabilités, interfaces, couplage, cohésion, substituts, impacts et isolation.</t>
  </si>
  <si>
    <t>Architecture, modules, dépendances, interfaces, analyses, tests isolés et intégrés</t>
  </si>
  <si>
    <t>Maintanability testing</t>
  </si>
  <si>
    <t>EXP-238</t>
  </si>
  <si>
    <t>Maintainability testing</t>
  </si>
  <si>
    <t>Propriété / maintenabilité</t>
  </si>
  <si>
    <t>Validation de la capacité à comprendre, analyser, corriger, adapter, tester et modifier le produit de manière maîtrisée.</t>
  </si>
  <si>
    <t>Déclarer changements, modularité, couplage, cohésion, complexité, duplication, testabilité, effort et limites.</t>
  </si>
  <si>
    <t>Scénarios de changement, architecture, code, mesures, effort, preuves et limites</t>
  </si>
  <si>
    <t>National testing</t>
  </si>
  <si>
    <t>EXP-239</t>
  </si>
  <si>
    <t>Alias local / adaptation nationale</t>
  </si>
  <si>
    <t>Expression trop vague pouvant viser une localisation pour un pays, une réglementation nationale, une langue, un marché ou une infrastructure nationale. Le pays ne suffit pas à définir un locale, une population, une juridiction ou une attente testable.</t>
  </si>
  <si>
    <t>Déprécier National testing; rediriger selon l’intention vers Localization testing, Legal testing, Compliance testing, Market testing ou une segmentation nationale explicitement documentée.</t>
  </si>
  <si>
    <t>Intention d’origine, pays, locales et langues, populations, juridictions, références, redirection choisie, scénarios, preuves et limites</t>
  </si>
  <si>
    <t>Terminology testing</t>
  </si>
  <si>
    <t>EXP-240</t>
  </si>
  <si>
    <t>Terminology validation</t>
  </si>
  <si>
    <t>Langage du domaine / cohérence terminologique</t>
  </si>
  <si>
    <t>Validation des termes employés par le produit et son écosystème afin de confirmer définition, sens, cohérence, non-ambiguïté, traduction, acronymes, synonymes, termes interdits ou dépréciés et continuité entre interfaces, spécifications, documentation, soutien et communications.</t>
  </si>
  <si>
    <t>Normaliser Terminology testing vers Terminology validation; déclarer domaine, langues et locales, glossaire versionné, propriétaires, définitions, synonymes, homonymes, acronymes, formes approuvées, dépréciations, canaux, contrôles et preuves. Relier à Wording and content, Documentation, Localization et Traceability validation.</t>
  </si>
  <si>
    <t>Glossaire et taxonomie versionnés; termes canoniques et alias; langues et locales; corpus produit; règles rédactionnelles; analyses; revues; écarts; décisions; preuves et couverture.</t>
  </si>
  <si>
    <t>PArallele testing</t>
  </si>
  <si>
    <t>EXP-241</t>
  </si>
  <si>
    <t>Parallel testing</t>
  </si>
  <si>
    <t>Mode d’exécution / parallélisme</t>
  </si>
  <si>
    <t>Plusieurs tests, suites, Runs ou tâches sont exécutés simultanément pour réduire le délai de feedback. Cela ne signifie pas concurrence fonctionnelle du produit.</t>
  </si>
  <si>
    <t>Déclarer répartition, travailleurs, ressources, données, isolation, ordre, capacité, agrégation, coûts et preuves.</t>
  </si>
  <si>
    <t>Plan de parallélisation, travailleurs, environnements, données, Runs, durée, coûts et collisions</t>
  </si>
  <si>
    <t>Suite testing</t>
  </si>
  <si>
    <t>EXP-242</t>
  </si>
  <si>
    <t>Test suite</t>
  </si>
  <si>
    <t>Composition ordonnée / orchestration séquentielle</t>
  </si>
  <si>
    <t>Regroupement versionné de définitions de Validation organisé pour une intention commune, avec ordre, dépendances, préconditions, passage d’état et critères d’arrêt explicités lorsque la séquence importe. Une suite peut aussi contenir des éléments indépendants, mais ToTAL réserve son usage privilégié à l’orchestration planifiée, notamment en série.</t>
  </si>
  <si>
    <t>Normaliser Suite testing vers Test suite; déclarer intention, membres, ordre obligatoire ou libre, dépendances, état partagé, préconditions, nettoyage, critères d’arrêt, parallélisation permise ou interdite et preuves. Ne pas rendre les tests dépendants par défaut.</t>
  </si>
  <si>
    <t>Suite versionnée; membres; ordre et dépendances; données et environnements; plan d’exécution; Runs; résultats agrégés; preuves; couverture; coûts et limites.</t>
  </si>
  <si>
    <t>Set testing</t>
  </si>
  <si>
    <t>EXP-243</t>
  </si>
  <si>
    <t>Test set</t>
  </si>
  <si>
    <t>Composition non ordonnée / sélection exécutable</t>
  </si>
  <si>
    <t>Ensemble versionné de définitions de Validation sélectionnées pour une intention, une portée ou une campagne, sans ordre intrinsèque obligatoire. Dans ToTAL, les membres indépendants d’un Test set sont candidats à une exécution parallèle, sous réserve d’isolement, de ressources et de priorités déclarés.</t>
  </si>
  <si>
    <t>Normaliser Set testing vers Test set; déclarer règle d’appartenance, portée, membres, indépendance réelle, collisions possibles, ressources, partitionnement, parallélisme, priorités et agrégation. Si une séquence est obligatoire, utiliser ou composer une Test suite.</t>
  </si>
  <si>
    <t>Set versionné; règle de sélection; membres; matrice d’indépendance; ressources; plan parallèle ou mixte; Runs; agrégation; couverture; coûts et limites.</t>
  </si>
  <si>
    <t>Referential testing</t>
  </si>
  <si>
    <t>EXP-244</t>
  </si>
  <si>
    <t>Reference data validation</t>
  </si>
  <si>
    <t>Référentiel de données / valeurs autorisées</t>
  </si>
  <si>
    <t>Validation d’un référentiel partagé de codes, catégories, statuts, unités, identifiants ou valeurs de référence afin de confirmer autorité, version, complétude applicable, unicité, relations, dates d’effet, cohérence et propagation.</t>
  </si>
  <si>
    <t>Normaliser Referential testing vers Reference data validation lorsque referential désigne des données de référence; déclarer référentiel, autorité, version, identifiants, valeurs, hiérarchies, relations, validité temporelle, consommateurs, changements, synchronisation et preuves. Exiger une précision si l’intention vise plutôt les liens ou citations.</t>
  </si>
  <si>
    <t>Référentiel versionné; autorité; dictionnaire de valeurs; identifiants; relations; dates d’effet; mappings; consommateurs; Runs; réconciliations; écarts; preuves et limites.</t>
  </si>
  <si>
    <t>Qualification testing</t>
  </si>
  <si>
    <t>EXP-245</t>
  </si>
  <si>
    <t>Qualification validation</t>
  </si>
  <si>
    <t>Finalité / aptitude déclarée / critères de qualification</t>
  </si>
  <si>
    <t>Validation visant à déterminer si une cible satisfait des critères de qualification déclarés pour un usage, contexte ou étape.</t>
  </si>
  <si>
    <t>Approbation testing</t>
  </si>
  <si>
    <t>EXP-246</t>
  </si>
  <si>
    <t>Validation supporting approval</t>
  </si>
  <si>
    <t>Décision / approbation / autorité</t>
  </si>
  <si>
    <t>L’approbation est une décision d’autorité, non une technique de Validation; les preuves peuvent seulement la soutenir.</t>
  </si>
  <si>
    <t>Promotion testing</t>
  </si>
  <si>
    <t>EXP-247</t>
  </si>
  <si>
    <t>Promotion validation</t>
  </si>
  <si>
    <t>Transition / promotion d’une occurrence</t>
  </si>
  <si>
    <t>Validation soutenant le passage contrôlé d’un même artefact ou d’une occurrence identifiée vers un état, canal, environnement ou population de diffusion supérieur. La promotion est une décision gouvernée distincte de la Validation; elle ne doit pas masquer une reconstruction ou une substitution non tracée de l’artefact.</t>
  </si>
  <si>
    <t>Conserver comme transition gouvernée; déclarer artefact et empreinte, état source et cible, critères, preuves, autorités, différences d’environnement, configurations, secrets, données, contrôles, réserves, rollback et traçabilité.</t>
  </si>
  <si>
    <t>Artefact immuable ou empreinte, états source et cible, critères de promotion, preuves, approbations, configuration, pipeline, journal de diffusion, rollback et exceptions</t>
  </si>
  <si>
    <t>Recovery testing</t>
  </si>
  <si>
    <t>EXP-248</t>
  </si>
  <si>
    <t>Fiabilité / récupération après défaillance</t>
  </si>
  <si>
    <t>Validation de la capacité du produit à restaurer ses capacités, données, états et services après une défaillance ou interruption, dans des délais et avec des pertes acceptables déclarés. Recovery ne se réduit pas au redémarrage technique.</t>
  </si>
  <si>
    <t>Conserver comme spécialisation de la récupérabilité; déclarer défaillance, état initial, sauvegardes, réplication, procédures, RTO et RPO lorsqu’applicables, ordre de reprise, intégrité, dépendances, retour en service et preuves.</t>
  </si>
  <si>
    <t>Scénarios de panne, architecture, sauvegardes, données et états, procédure de reprise, RTO/RPO, Runs, chronologie, contrôles d’intégrité, preuves et limites</t>
  </si>
  <si>
    <t>Requirement testing</t>
  </si>
  <si>
    <t>EXP-249</t>
  </si>
  <si>
    <t>Requirement validation</t>
  </si>
  <si>
    <t>Exigence / attente / référence</t>
  </si>
  <si>
    <t>Validation d’une exigence ou fondée sur une exigence déclarée. Elle peut qualifier la qualité de l’exigence, notamment clarté, cohérence, nécessité, faisabilité, vérifiabilité et traçabilité, ou confronter la réalité à cette exigence. Dans ToTAL, une exigence utile est reliée à une ou plusieurs spécifications testables sans être confondue avec elles.</t>
  </si>
  <si>
    <t>Normaliser Requirement testing selon l’intention vers Requirement validation ou Validation basée sur exigence; déclarer source, autorité, version, objet, formulation, critères, liens aux spécifications, conflits, changements, preuves et limites. Distinguer exigence, besoin, spécification, critère, cas et décision d’acceptation.</t>
  </si>
  <si>
    <t>Registre d’exigences; sources et autorités; versions; spécifications liées; modèles; conflits et décisions; cas; Runs; preuves; couverture; changements et limites.</t>
  </si>
  <si>
    <t>Mental health testing</t>
  </si>
  <si>
    <t>EXP-250</t>
  </si>
  <si>
    <t>Mental-health accessibility and wellbeing safeguards validation</t>
  </si>
  <si>
    <t>Accessibilité cognitive / bien-être / prévention des préjudices</t>
  </si>
  <si>
    <t>Validation prudente des obstacles, contraintes et effets du produit susceptibles d’affecter le bien-être psychologique de populations déclarées, notamment surcharge, pression, interruptions, contenus sensibles, interactions compulsives, absence de contrôle ou de recours. Elle valide le produit et ses garde-fous, jamais la santé mentale d’une personne.</t>
  </si>
  <si>
    <t>Normaliser Mental health testing vers une spécialisation d’Accessibility et Ethics validation; déclarer populations et besoins, contexte, usages, risques, consentement, contrôle utilisateur, réduction des préjudices, recours, confidentialité, participation de spécialistes ou personnes concernées, preuves et limites. Ne jamais diagnostiquer, noter ou classer des personnes.</t>
  </si>
  <si>
    <t>Populations et besoins; analyse de risques; scénarios et parcours; paramètres de contrôle; contenus; garde-fous; recours; évaluations expertes et avec utilisateurs; observations; preuves et limites.</t>
  </si>
  <si>
    <t>Scalability testing</t>
  </si>
  <si>
    <t>EXP-251</t>
  </si>
  <si>
    <t>Performance / capacité de croissance</t>
  </si>
  <si>
    <t>Validation de l’évolution du comportement et de la capacité lorsque la charge, les données, utilisateurs, transactions ou ressources augmentent ou diminuent. Scalability qualifie la relation entre demande, ressources et résultats; elle ne signifie pas uniquement ajouter des serveurs.</t>
  </si>
  <si>
    <t>Conserver comme spécialisation de Performance testing; déclarer axe de croissance, paliers, stratégie verticale ou horizontale, ressources, environnement, métriques, références, limites, coûts et élasticité éventuelle.</t>
  </si>
  <si>
    <t>Modèle de croissance, paliers de charge et ressources, architecture, automatisation d’échelle, métriques, coûts, Runs, courbes, seuils, preuves et limites</t>
  </si>
  <si>
    <t>Statement testing</t>
  </si>
  <si>
    <t>EXP-252</t>
  </si>
  <si>
    <t>Technique structurelle / instructions exécutables</t>
  </si>
  <si>
    <t>Technique sélectionnant des cas afin d’exercer les instructions exécutables. Cette couverture ne démontre ni toutes les décisions ni la satisfaction fonctionnelle.</t>
  </si>
  <si>
    <t>Déclarer artefact, instructions applicables, instrumentation, impossibles, numérateur, dénominateur et limites.</t>
  </si>
  <si>
    <t>Artefact, instructions, instrumentation, cas, Runs, couverture et preuves</t>
  </si>
  <si>
    <t>Stability testing</t>
  </si>
  <si>
    <t>EXP-253</t>
  </si>
  <si>
    <t>Fiabilité / stabilité dans le temps</t>
  </si>
  <si>
    <t>Validation de la capacité du produit à maintenir un comportement suffisamment constant et maîtrisé sous des conditions déclarées, sans dérive, oscillation, accumulation d’erreurs ou dégradation inattendue. Stability doit préciser durée, charge et perturbations applicables.</t>
  </si>
  <si>
    <t>Conserver comme propriété de fiabilité; déclarer état de référence, durée, charge, variations permises, métriques, incidents, réinitialisations, dépendances et limites. Relier à Endurance, Reliability et Performance selon le besoin.</t>
  </si>
  <si>
    <t>Référence de stabilité, environnement, charge, durée, métriques et tolérances, journaux, Runs, tendances, incidents, preuves et limites</t>
  </si>
  <si>
    <t>Storage testing</t>
  </si>
  <si>
    <t>EXP-254</t>
  </si>
  <si>
    <t>Ressource / stockage / capacité et intégrité</t>
  </si>
  <si>
    <t>Validation des capacités et comportements liés au stockage : allocation, croissance, quotas, persistance, lecture-écriture, intégrité, rétention, chiffrement, sauvegarde, saturation, nettoyage et récupération dans des conditions déclarées.</t>
  </si>
  <si>
    <t>Conserver comme objet et ressource; déclarer technologies, volumes, profils d’accès, capacité, quotas, données, concurrence, défaillances, sécurité, rétention, métriques, seuils et preuves.</t>
  </si>
  <si>
    <t>Architecture de stockage, capacités et quotas, jeux de données, profils I/O, sécurité et rétention, scénarios de saturation et panne, Runs, mesures, preuves et limites</t>
  </si>
  <si>
    <t>Web Client testing</t>
  </si>
  <si>
    <t>EXP-255</t>
  </si>
  <si>
    <t>Web client validation</t>
  </si>
  <si>
    <t>Client Web / environnement utilisateur / exécution locale</t>
  </si>
  <si>
    <t>Validation de la partie cliente d’une application Web et de son environnement d’exécution : UI et GUI, navigateur et moteur, DOM, scripts, styles, stockage local, cache, service workers, permissions, événements du navigateur ou du système, appareils, OS, accessibilité, sécurité et échanges avec les Services distants.</t>
  </si>
  <si>
    <t>Normaliser Web Client testing vers Web client validation; déclarer client, navigateur, moteur, OS, appareil, versions, interfaces, événements, stockage, ressources, permissions, réseau, dépendances, données, preuves et limites. Distinguer client, Front End, navigateur et Service distant.</t>
  </si>
  <si>
    <t>Matrice clients-navigateurs-OS-appareils; ressources et configurations; événements; stockage; réseau; cas; Runs; traces; captures; preuves; couverture et limites.</t>
  </si>
  <si>
    <t>Web server testing</t>
  </si>
  <si>
    <t>EXP-256</t>
  </si>
  <si>
    <t>Web server validation</t>
  </si>
  <si>
    <t>Serveur Web / traitement distant / exposition de Services</t>
  </si>
  <si>
    <t>Validation des constituants et comportements côté serveur soutenant des clients Web, mobiles, bureau, extensions ou systèmes : écoute et routage, protocoles, sessions, authentification, traitements, ressources, configuration, journaux, erreurs, concurrence, sécurité, performance, dépendances et réponses.</t>
  </si>
  <si>
    <t>Normaliser Web server testing vers Web server validation; déclarer serveur et rôle, versions, OS, runtime, protocoles, ports, routage, certificats, configurations, données, dépendances, clients supportés, observabilité, charge, sécurité, preuves et limites.</t>
  </si>
  <si>
    <t>Architecture serveur; versions et configuration; routes et protocoles; certificats; sessions; dépendances; données; journaux; cas; Runs; mesures; preuves et limites.</t>
  </si>
  <si>
    <t>Thread testing</t>
  </si>
  <si>
    <t>EXP-257</t>
  </si>
  <si>
    <t>Threading validation</t>
  </si>
  <si>
    <t>Concurrence / fils d’exécution / ordonnanceur et ressources</t>
  </si>
  <si>
    <t>Validation du système de gestion des fils d’exécution partout où ils sont utilisés : création, destruction, pools, ordonnancement, synchronisation, communication, partage de ressources, visibilité mémoire, contention, interblocages, courses, famine, annulation, erreurs, récupération et observabilité.</t>
  </si>
  <si>
    <t>Normaliser Thread testing vers Threading validation selon l’intention confirmée; déclarer modèle de threads, propriétaires, pools, tâches, ressources partagées, verrous, ordre possible, invariants, charge, instrumentation, critères d’arrêt et preuves. Distinguer threads techniques, Concurrency testing et thread fonctionnel historique.</t>
  </si>
  <si>
    <t>Modèle de concurrence; threads et pools; tâches; ressources et verrous; scénarios d’ordonnancement; instrumentation; Runs; traces; défauts; mesures; preuves et limites.</t>
  </si>
  <si>
    <t>Volume testing</t>
  </si>
  <si>
    <t>EXP-258</t>
  </si>
  <si>
    <t>Performance / volume de données</t>
  </si>
  <si>
    <t>Validation du produit avec des volumes de données ou d’objets déclarés afin d’observer capacité, temps de traitement, consommation de ressources, limites, intégrité et comportements de maintenance. Volume qualifie la quantité de données, distincte du nombre d’utilisateurs.</t>
  </si>
  <si>
    <t>Conserver comme spécialisation de Performance testing; déclarer nature et distribution des données, tailles, croissance, index, rétention, opérations, environnement, métriques, seuils et nettoyage.</t>
  </si>
  <si>
    <t>Modèle et génération des données, volumes et distributions, stockage et index, opérations, environnement, Runs, mesures, seuils, preuves et limites</t>
  </si>
  <si>
    <t>Vulnerability testing</t>
  </si>
  <si>
    <t>EXP-259</t>
  </si>
  <si>
    <t>Sécurité / identification de faiblesses</t>
  </si>
  <si>
    <t>Validation visant à identifier, confirmer et qualifier des faiblesses de sécurité connues ou potentielles dans les actifs, versions, configurations, dépendances et comportements. Vulnerability testing peut combiner outils et analyse humaine, mais ne prouve pas automatiquement l’exploitabilité ni l’impact réel.</t>
  </si>
  <si>
    <t>Conserver comme investigation de sécurité; déclarer actifs, portée, sources de vulnérabilités, versions, configurations, méthodes, faux positifs, criticité, preuve, propriétaire, remédiation, réanalyse et risque résiduel.</t>
  </si>
  <si>
    <t>Inventaire des actifs, versions et dépendances, configuration, modèle de menace, scans et analyses, constats, preuves, sévérité, remédiations, exceptions et suivi</t>
  </si>
  <si>
    <t>Anomaly testing</t>
  </si>
  <si>
    <t>EXP-260</t>
  </si>
  <si>
    <t>Anomaly detection and handling validation</t>
  </si>
  <si>
    <t>Anomalie / signal / investigation / tolérance</t>
  </si>
  <si>
    <t>Validation de la capacité du produit ou de ses dispositifs d’observation à détecter, signaler, contextualiser, investiguer, gérer ou tolérer des comportements, données, événements ou situations s’écartant d’une référence déclarée. Une anomalie est un signal à qualifier, pas automatiquement un défaut.</t>
  </si>
  <si>
    <t>Normaliser Anomaly testing vers Anomaly detection and handling validation; déclarer objet, référence de normalité, sources, règles, seuils ou modèles, scanners et automates, détection, alertes, contexte, triage, investigation, faux positifs, faux négatifs, actions, confinement, récupération, preuves et limites.</t>
  </si>
  <si>
    <t>Référence de normalité; données et télémétrie; règles, seuils ou modèles; scanners; alertes; files d’investigation; cas anormaux; Runs; signalements; qualifications; faux résultats; décisions; preuves et limites.</t>
  </si>
  <si>
    <t>Wokflow testing</t>
  </si>
  <si>
    <t>EXP-261</t>
  </si>
  <si>
    <t>Workflow testing</t>
  </si>
  <si>
    <t>Flux de travail / activités / transitions</t>
  </si>
  <si>
    <t>Spécialisation de Flow testing portant sur un flux de travail : activités, rôles ou acteurs, états, transitions, décisions, règles, délais, files, reprises, exceptions, blocages et résultats attendus. Workflow précise le modèle de flux observé; il ne constitue pas à lui seul une portée, une interface ou un mode d’exécution.</t>
  </si>
  <si>
    <t>Normaliser Wokflow en Workflow testing; déclarer début, fin ou retour, activités, rôles, états, transitions, décisions, règles, délais, exceptions, reprises, blocages, preuves et liens avec Flow et Path testing.</t>
  </si>
  <si>
    <t>Modèle de workflow, spécifications de transitions et décisions, rôles, données, délais, exceptions, reprises, cas ou chemins, Runs, observations, preuves et couverture</t>
  </si>
  <si>
    <t>Ergonomics testing</t>
  </si>
  <si>
    <t>EXP-262</t>
  </si>
  <si>
    <t>Ergonomics validation</t>
  </si>
  <si>
    <t>Expérience utilisateur / utilisabilité / interaction humain-système</t>
  </si>
  <si>
    <t>Validation des conditions de l’interaction humain-système afin que des populations déclarées puissent accomplir leurs tâches avec efficacité, efficience, confort, contrôle et charge physique ou cognitive maîtrisée dans un contexte d’usage. Dans le logiciel, elle contribue principalement à UX, Usability et Accessibility sans se réduire à l’esthétique.</t>
  </si>
  <si>
    <t>Normaliser Ergonomics testing vers Ergonomics validation; déclarer populations, tâches, contexte, appareils, postures ou modalités, effort, charge cognitive, compréhension, contrôlabilité, erreurs, confort, durée, accessibilité, observations et limites.</t>
  </si>
  <si>
    <t>Contexte d’usage; populations; tâches; parcours; appareils et modalités; critères d’utilisabilité et d’ergonomie; observations; mesures; retours; preuves et limites.</t>
  </si>
  <si>
    <t>Interactive testing</t>
  </si>
  <si>
    <t>EXP-263</t>
  </si>
  <si>
    <t>Interaction testing</t>
  </si>
  <si>
    <t>Relation / interaction entre objets</t>
  </si>
  <si>
    <t>Validation du comportement produit par l’interaction entre au moins deux objets délimités, par exemple composants, fonctions, interfaces, utilisateurs, machines, Services, événements, périphériques ou systèmes. Elle spécialise Integration testing en se concentrant sur la relation comportementale observée.</t>
  </si>
  <si>
    <t>Corriger Interactive testing vers Interaction testing; déclarer participants, frontières, intention, déclencheur, échanges, contrats, ordre, temporalité, états, réactions, erreurs, interruptions, reprise, terminaison, observations, preuves et limites.</t>
  </si>
  <si>
    <t>Modèle d’interaction; participants; contrats; séquences; états; événements; données; délais; erreurs; reprises; cas; Runs; traces; preuves; couverture et limites.</t>
  </si>
  <si>
    <t>URL testing</t>
  </si>
  <si>
    <t>EXP-264</t>
  </si>
  <si>
    <t>URL validation</t>
  </si>
  <si>
    <t>Adresse Web / résolution / navigation / sécurité</t>
  </si>
  <si>
    <t>Validation des URL utilisées ou exposées par le produit : syntaxe, schéma, hôte, port, chemin, paramètres, fragments, encodage, normalisation, résolution, redirections, canonicité, accessibilité, autorisation, stabilité, partage, référencement et absence de liens trompeurs ou brisés.</t>
  </si>
  <si>
    <t>Normaliser URL testing vers URL validation; déclarer populations d’URL, schémas, domaines, règles de construction, encodage, redirections, paramètres, canonicals, environnements, permissions, statuts, preuves et limites. Relier à Reference and link, Navigation, Security, Routing et SEO validation.</t>
  </si>
  <si>
    <t>Inventaire ou générateur d’URL; règles; domaines; routes; paramètres; redirections; canonicals; robots; cas; Runs; statuts; preuves; couverture et limites.</t>
  </si>
  <si>
    <t>site map testing</t>
  </si>
  <si>
    <t>EXP-265</t>
  </si>
  <si>
    <t>Sitemap validation</t>
  </si>
  <si>
    <t>Structure Web / découverte / navigation et indexation</t>
  </si>
  <si>
    <t>Validation des cartes de site destinées aux personnes ou aux agents : structure, format, hiérarchie, URLs, couverture, actualité, liens, redirections, accessibilité, cohérence avec la navigation et, pour les sitemaps XML, découvrabilité et indexabilité déclarées.</t>
  </si>
  <si>
    <t>Normaliser site map testing vers Sitemap validation; distinguer carte de site UX et sitemap XML; déclarer source, génération, format, versions, URLs applicables, hiérarchie, couverture, dates, statuts, canonicals, robots, moteurs ou agents consommateurs, preuves et limites.</t>
  </si>
  <si>
    <t>Sitemap HTML ou XML versionné; architecture de l’information; inventaire des URLs; règles de génération; robots et canonicals; cas; Runs; statuts; couverture; preuves et limites.</t>
  </si>
  <si>
    <t>web robot testing</t>
  </si>
  <si>
    <t>EXP-266</t>
  </si>
  <si>
    <t>Web crawler and robot validation</t>
  </si>
  <si>
    <t>Agent Web / exploration / indexation / comportement automatisé</t>
  </si>
  <si>
    <t>Validation des robots, crawlers ou agents Web qui explorent le produit, ou de la façon dont le produit les accueille : identification, périmètre, navigation, liens, robots.txt, sitemaps, rythme, ressources, authentification, contenus rendus, exclusions, données recueillies, respect des règles, erreurs et effets sur les systèmes.</t>
  </si>
  <si>
    <t>Normaliser web robot testing vers Web crawler and robot validation; déclarer agent ou population d’agents, objectif, user-agent, autorisations, robots.txt, sitemap, profondeur, cadence, JavaScript, redirections, données, indexation, moteurs de recherche ou agents IA concernés, charge, sécurité, preuves et limites.</t>
  </si>
  <si>
    <t>Catalogue d’agents; règles robots.txt; sitemaps; user-agents; parcours et profondeur; cadence; contenus; journaux; cas; Runs; effets; preuves; couverture et limites.</t>
  </si>
  <si>
    <t>referencing testing</t>
  </si>
  <si>
    <t>EXP-267</t>
  </si>
  <si>
    <t>Reference and link validation</t>
  </si>
  <si>
    <t>Références / liens / identifiants</t>
  </si>
  <si>
    <t>Validation des références et liens utilisés pour désigner ou atteindre des objets, contenus, sources, identifiants, versions ou emplacements attendus. Elle qualifie exactitude, résolution, cible, unicité, actualité, permissions, intégrité et absence de lien brisé ou trompeur.</t>
  </si>
  <si>
    <t>Normaliser referencing testing vers Reference and link validation; déclarer type de référence, source, cible, identifiant, version, règles de résolution, contexte, autorisation, redirections, liens cassés, archivage et preuves. Distinguer référencement technique, traçabilité, données de référence et référencement Web.</t>
  </si>
  <si>
    <t>Inventaire source-cible; identifiants; URI ou autres références; règles; versions; vérificateurs; cas; Runs; redirections; erreurs; preuves; couverture et limites.</t>
  </si>
  <si>
    <t>Stress testing</t>
  </si>
  <si>
    <t>EXP-268</t>
  </si>
  <si>
    <t>Performance / au-delà des limites attendues</t>
  </si>
  <si>
    <t>Validation poussant la charge, les ressources ou conditions au-delà du domaine attendu afin d’identifier limites, modes de dégradation, point de rupture, protection, comportement d’erreur et récupération. Stress ne signifie pas simplement une charge élevée arbitraire.</t>
  </si>
  <si>
    <t>Conserver comme spécialisation de Performance testing; déclarer profil croissant ou contraignant, limites recherchées, protections, critères d’arrêt, données, observabilité, récupération, sécurité de l’environnement et preuves.</t>
  </si>
  <si>
    <t>Profil de stress, limites et contraintes, environnement isolé, instrumentation, critères d’arrêt, Runs, point de rupture, dégradation, récupération, preuves et limites</t>
  </si>
  <si>
    <t>Shake out testing</t>
  </si>
  <si>
    <t>EXP-269</t>
  </si>
  <si>
    <t>Chaos shakeout testing</t>
  </si>
  <si>
    <t>Résilience / perturbation large contrôlée</t>
  </si>
  <si>
    <t>Métaphore locale de Chaos testing consistant à secouer intentionnellement et de manière contrôlée le système, son infrastructure ou ses dépendances afin de faire apparaître faiblesses, couplages cachés, hypothèses fragiles, défauts d’observabilité et difficultés de récupération. Shakeout ne signifie pas perturbation incontrôlée.</t>
  </si>
  <si>
    <t>Normaliser Shake out testing vers Chaos shakeout testing; le conserver comme modalité locale de Chaos engineering; déclarer hypothèse, cible, perturbations, rayon d’impact, état stable, protections, critères d’arrêt, observabilité, restauration, apprentissages et preuves.</t>
  </si>
  <si>
    <t>Hypothèse; architecture et dépendances; scénario de perturbation; environnement; rayon d’impact; métriques; Runs; incidents; récupération; preuves; apprentissages et limites.</t>
  </si>
  <si>
    <t>Neuro divergence testing</t>
  </si>
  <si>
    <t>EXP-270</t>
  </si>
  <si>
    <t>Neurodiversity accessibility validation</t>
  </si>
  <si>
    <t>Accessibilité cognitive / neurodiversité</t>
  </si>
  <si>
    <t>Spécialisation de l’Accessibility testing qui valide la capacité de populations neurodivergentes déclarées à comprendre, se concentrer, naviguer, interagir, mémoriser, accomplir leurs intentions et récupérer d’une erreur. Elle élargit l’accessibilité au-delà des seules limitations visuelles, auditives ou motrices.</t>
  </si>
  <si>
    <t>Normaliser Neuro divergence testing vers Neurodiversity accessibility validation; déclarer populations et besoins sans diagnostic ni stéréotype, tâches, contexte, charge cognitive, distractions, prévisibilité, flexibilité, modalités, temps, contenus, assistance, participation de personnes concernées, preuves et limites.</t>
  </si>
  <si>
    <t>Populations et besoins déclarés; scénarios; critères d’accessibilité cognitive; contenus et interfaces; paramètres; technologies d’assistance; évaluations expertes et avec utilisateurs; observations; preuves et limites.</t>
  </si>
  <si>
    <t>Dislexy testing</t>
  </si>
  <si>
    <t>EXP-271</t>
  </si>
  <si>
    <t>Dyslexia accessibility validation</t>
  </si>
  <si>
    <t>Accessibilité cognitive / lecture et écriture</t>
  </si>
  <si>
    <t>Spécialisation de l’Accessibility testing centrée sur les obstacles que peuvent rencontrer des personnes dyslexiques dans la lecture, l’écriture, la saisie, la compréhension, la navigation et l’accomplissement des tâches. Elle valide le produit et ses conditions, jamais les capacités d’une personne.</t>
  </si>
  <si>
    <t>Corriger Dislexy en Dyslexia et normaliser vers Dyslexia accessibility validation; déclarer populations, tâches, contenus, typographie, mise en page, densité, langage, saisie, correction, lecture assistée, personnalisation, erreurs, preuves et limites. Ne pas diagnostiquer ni classer les personnes.</t>
  </si>
  <si>
    <t>Profils de besoins; contenus et parcours; règles de lisibilité; options de présentation; saisie et assistance; scénarios; revues; observations avec populations concernées; preuves et limites.</t>
  </si>
  <si>
    <t>spectrum testing</t>
  </si>
  <si>
    <t>EXP-272</t>
  </si>
  <si>
    <t>Autism spectrum accessibility validation</t>
  </si>
  <si>
    <t>Accessibilité cognitive / spectre de l’autisme</t>
  </si>
  <si>
    <t>Spécialisation de l’Accessibility testing centrée sur les obstacles pouvant affecter des personnes du spectre de l’autisme, notamment imprévisibilité, surcharge sensorielle ou informationnelle, ambiguïté, changements inattendus, délais et interactions imposées. Elle n’attribue pas un profil uniforme aux personnes.</t>
  </si>
  <si>
    <t>Normaliser spectrum testing vers Autism spectrum accessibility validation seulement selon l’intention source confirmée; déclarer populations et besoins, tâches, prévisibilité, cohérence, langage explicite, contrôle sensoriel, interruptions, temps, alternatives d’interaction, participation des personnes concernées, preuves et limites.</t>
  </si>
  <si>
    <t>Profils de besoins; parcours; règles de prévisibilité et cohérence; contenus; paramètres sensoriels; scénarios; évaluations expertes et avec utilisateurs; observations; preuves et limites.</t>
  </si>
  <si>
    <t>tendance testing</t>
  </si>
  <si>
    <t>EXP-273</t>
  </si>
  <si>
    <t>Trend alignment validation</t>
  </si>
  <si>
    <t>Marché / design / usages / pertinence temporelle</t>
  </si>
  <si>
    <t>Validation du degré auquel le produit, l’expérience, la conception ou l’offre demeure cohérent avec les tendances pertinentes de son marché, de son domaine, de ses populations, de ses technologies et de ses conventions d’usage. Suivre une mode n’est ni obligatoire ni une preuve de valeur.</t>
  </si>
  <si>
    <t>Corriger tendance testing vers Trend alignment validation; déclarer tendance, source et période, population ou marché, durabilité estimée, hypothèse, comparateurs, impacts, options de suivre ou non, risques, observations CARE, décisions et limites. Distinguer tendance durable, mode temporaire, signal émergent et préférence locale.</t>
  </si>
  <si>
    <t>Veille et sources; tendances versionnées; populations et segments; benchmarks; comportements d’usage; conventions UI/UX; prototypes; expérimentations; retours; métriques; décisions; effets CARE; preuves et limites.</t>
  </si>
  <si>
    <t>buzz testing</t>
  </si>
  <si>
    <t>EXP-274</t>
  </si>
  <si>
    <t>Alias orthographique probable / entrées inattendues</t>
  </si>
  <si>
    <t>Expression source interprétée comme une variante ou erreur probable de Fuzz testing : technique automatisée injectant des entrées invalides, inattendues, aléatoires ou malformées afin de révéler crashs, blocages, comportements indéfinis et vulnérabilités. Aucun sens canonique distinct de Buzz testing n’est retenu.</t>
  </si>
  <si>
    <t>Rediriger buzz testing vers Fuzz testing tout en préservant la provenance; si un usage local distinct de buzz est retrouvé, rouvrir la décision avec sa définition exacte.</t>
  </si>
  <si>
    <t>Expression source et redirection; cible; corpus; stratégies de génération ou mutation; instrumentation; Runs; anomalies; entrées minimisées; preuves; couverture et limites.</t>
  </si>
  <si>
    <t>Operational testing</t>
  </si>
  <si>
    <t>EXP-275</t>
  </si>
  <si>
    <t>Operational readiness validation</t>
  </si>
  <si>
    <t>Exploitation / opérabilité / soutien / production</t>
  </si>
  <si>
    <t>Validation de la capacité du produit à être déployé, exploité, observé, sécurisé, soutenu, maintenu et récupéré durablement dans ses environnements opérationnels déclarés. Elle qualifie la préparation opérationnelle et ne se limite pas à confirmer le fonctionnement des fonctionnalités.</t>
  </si>
  <si>
    <t>Normaliser Operational testing vers Operational readiness validation; déclarer environnements, installation, configuration, déploiement, rollback, monitoring, journaux, alertes, sauvegardes, restauration, reprise, runbooks, certificats, secrets, comptes, mises à jour, capacité, soutien, escalade, dépendances, preuves et limites. Intégrer ces attentes tôt et progressivement.</t>
  </si>
  <si>
    <t>Architecture opérationnelle; environnements; procédures et runbooks; monitoring; alertes; journaux; sauvegardes; restauration; reprise; déploiement et rollback; comptes; certificats; soutien et escalade; exercices opérationnels; Runs; preuves et limites.</t>
  </si>
  <si>
    <t>monitoring testing</t>
  </si>
  <si>
    <t>EXP-276</t>
  </si>
  <si>
    <t>Monitoring validation</t>
  </si>
  <si>
    <t>Observabilité / surveillance de signaux connus</t>
  </si>
  <si>
    <t>Validation du dispositif de surveillance: instrumentation, collecte, fenêtres, seuils, alertes, routage, pertes et faux résultats.</t>
  </si>
  <si>
    <t>mirror testing</t>
  </si>
  <si>
    <t>EXP-277</t>
  </si>
  <si>
    <t>Mirror validation</t>
  </si>
  <si>
    <t>Technique comparative / réflexion, symétrie, réplication ou trafic miroir</t>
  </si>
  <si>
    <t>Famille de Validation utilisant un miroir déclaré afin de comparer une cible, une transformation, une occurrence, un environnement, des données ou une interface à une représentation réfléchie, inversée, répliquée ou exécutée en parallèle. Selon l’intention, le miroir peut qualifier : la conservation de propriétés après une transformation symétrique ou une inversion; la cohérence aller-retour d’une conversion; la synchronisation de données ou systèmes censés se refléter; la parité entre une version principale et une version miroir ou shadow; ou la conservation du comportement et de l’utilisabilité d’une interface reflétée, notamment en contexte RTL. Mirror précise la relation comparative, pas une famille unique d’objet ou de propriété.</t>
  </si>
  <si>
    <t>Conserver Mirror validation comme technique comparative transversale et déclarer la modalité exacte : transformation miroir, conversion aller-retour, synchronisation de données, environnement ou trafic miroir, interface réfléchie. Déclarer source et miroir, règle de réflexion ou duplication, conditions équivalentes, propriétés devant être conservées, tolérances, différences autorisées, effets de bord, isolation, confidentialité, observations, preuves et limites. Relier selon le cas à Metamorphic, Comparative, Conversion, Data, Integrity, Localization, Visual, UI, Accessibility, Regression et Synthetic testing sans les confondre.</t>
  </si>
  <si>
    <t>Intention et modalité du miroir; objet source et objet miroir; transformation, inversion, réplication ou règles de synchronisation; versions et environnements; données et trafic; propriétés invariantes; résultats attendus; tolérances; protection contre les effets de bord et duplications; Runs corrélés; observations et différences; preuves; couverture; confiance et limites.</t>
  </si>
  <si>
    <t>cross browser testing</t>
  </si>
  <si>
    <t>EXP-278</t>
  </si>
  <si>
    <t>Cross-browser testing</t>
  </si>
  <si>
    <t>Compatibilité / navigateurs et versions</t>
  </si>
  <si>
    <t>Spécialisation de Compatibility testing validant comportements, rendu, accessibilité et propriétés d’une application Web dans une matrice déclarée de navigateurs, moteurs, versions, systèmes et appareils. Cross-browser ne signifie ni tester tous les navigateurs ni obtenir un rendu pixel-identique.</t>
  </si>
  <si>
    <t>Normaliser en Cross-browser testing; définir matrice selon populations et risques, versions supportées, moteurs, appareils, résolutions, fonctionnalités, tolérances visuelles, accessibilité, données et exclusions.</t>
  </si>
  <si>
    <t>Matrice navigateurs-moteurs-versions-OS-appareils, analytics d’usage, spécifications, cas, captures, journaux, Runs, couverture, preuves et limites</t>
  </si>
  <si>
    <t>cross platforme testing</t>
  </si>
  <si>
    <t>EXP-279</t>
  </si>
  <si>
    <t>Cross-platform testing</t>
  </si>
  <si>
    <t>Compatibilité / plateformes</t>
  </si>
  <si>
    <t>Spécialisation de Compatibility testing validant le produit à travers plusieurs plateformes déclarées, par exemple Web, mobile, bureau, matériel, systèmes et appareils. Platform doit être défini localement; l’expression ne garantit pas une expérience identique ni une couverture universelle.</t>
  </si>
  <si>
    <t>Normaliser cross platforme en Cross-platform testing; déclarer plateformes, appareils, versions, capacités, différences autorisées, installations, données, performances, accessibilité, populations et exclusions.</t>
  </si>
  <si>
    <t>Matrice plateformes-appareils-versions, capacités et différences, environnements, configurations, données, cas, Runs, couverture, preuves et limites</t>
  </si>
  <si>
    <t>cross os testing</t>
  </si>
  <si>
    <t>EXP-280</t>
  </si>
  <si>
    <t>Cross-OS testing</t>
  </si>
  <si>
    <t>Compatibilité / systèmes d’exploitation</t>
  </si>
  <si>
    <t>Spécialisation de Compatibility testing validant comportements, installation, intégrations, fichiers, permissions, ressources et propriétés du produit sur plusieurs systèmes d’exploitation et versions déclarés. OS ne suffit pas à définir l’appareil, le navigateur ou la plateforme entière.</t>
  </si>
  <si>
    <t>Normaliser en Cross-OS testing; déclarer systèmes et versions, architectures, correctifs, configurations, droits, systèmes de fichiers, dépendances, différences permises et exclusions.</t>
  </si>
  <si>
    <t>Matrice OS-versions-architectures, configurations, installation, permissions, fichiers, dépendances, cas, Runs, couverture, preuves et limites</t>
  </si>
  <si>
    <t>universal testing</t>
  </si>
  <si>
    <t>EXP-281</t>
  </si>
  <si>
    <t>Universal testing</t>
  </si>
  <si>
    <t>Ambition universelle non démontrable</t>
  </si>
  <si>
    <t>Expression absolue et non bornée laissant entendre que toute population, plateforme, locale, environnement ou situation est couverte. Une Validation ne peut soutenir une universalité sans ensemble applicable explicite, preuves actuelles et inconnues déclarées.</t>
  </si>
  <si>
    <t>Déprécier Universal testing; remplacer par les couvertures précises visées, par exemple Compatibility, Accessibility, Globalization, Cross-platform, Cross-browser, Cross-OS ou populations déclarées.</t>
  </si>
  <si>
    <t>Intention, ensembles applicables, populations, plateformes, locales, environnements, redirections, couverture, inconnues, preuves et limites</t>
  </si>
  <si>
    <t>Boundary testing</t>
  </si>
  <si>
    <t>EXP-282</t>
  </si>
  <si>
    <t>Technique de sélection / frontières</t>
  </si>
  <si>
    <t>Technique exerçant frontières de partitions ordonnées et valeurs voisines pour détecter des limites déplacées, omises ou mal incluses.</t>
  </si>
  <si>
    <t>Déclarer partitions, frontières, inclusivité, voisinage, approche 2 ou 3 valeurs, cas et couverture.</t>
  </si>
  <si>
    <t>Partitions, frontières, voisins, cas, Runs, couverture et preuves</t>
  </si>
  <si>
    <t>Rules testing</t>
  </si>
  <si>
    <t>EXP-283</t>
  </si>
  <si>
    <t>Business rules validation</t>
  </si>
  <si>
    <t>Règles métier / conditions / décisions</t>
  </si>
  <si>
    <t>Validation des règles qui déterminent comportements, décisions, calculs, contraintes, admissibilité, priorités et exceptions du produit. Elle confirme leur formulation, cohérence, ordre, couverture des conditions, résultats attendus, conflits et traçabilité.</t>
  </si>
  <si>
    <t>Normaliser Rules testing vers Business rules validation lorsque l’intention porte sur des règles métier; déclarer règle, source et autorité, version, SI/ALORS, conditions, priorités, exceptions, tables de décision, temporalité, exemples, conflits, preuves et limites.</t>
  </si>
  <si>
    <t>Catalogue de règles versionné; sources; conditions et résultats; tables ou arbres de décision; priorités et exceptions; cas; Runs; couverture; conflits; preuves et historique.</t>
  </si>
  <si>
    <t>Incremental testing</t>
  </si>
  <si>
    <t>EXP-284</t>
  </si>
  <si>
    <t>Incremental integration testing</t>
  </si>
  <si>
    <t>Intégration / composition progressive</t>
  </si>
  <si>
    <t>Approche d’Integration testing dans laquelle les constituants sont assemblés et validés progressivement selon un ordre déclaré, plutôt qu’intégrés tous à la fois.</t>
  </si>
  <si>
    <t>Normaliser Incremental testing vers Incremental integration testing lorsque l’intention concerne l’assemblage progressif; déclarer ordre, incréments, interfaces, critères, environnements, doubles, diagnostic, rollback, couverture et preuves.</t>
  </si>
  <si>
    <t>Plan d’intégration; architecture; ordre; lots; constituants; contrats; doubles; cas; Runs; défauts; décisions; couverture et limites.</t>
  </si>
  <si>
    <t>Reliability testing</t>
  </si>
  <si>
    <t>EXP-285</t>
  </si>
  <si>
    <t>Fiabilité / fonctionnement dans la durée</t>
  </si>
  <si>
    <t>Validation de la capacité du produit à accomplir ses fonctions spécifiées sous des conditions déclarées pendant une période déclarée. Reliability compose notamment maturité, disponibilité, tolérance aux fautes et récupérabilité; elle ne se réduit pas à un seul taux.</t>
  </si>
  <si>
    <t>Conserver comme propriété composée; déclarer fonctions, conditions, période, événements de défaillance, disponibilité, tolérance, récupération, données censurées, confiance statistique, références et preuves.</t>
  </si>
  <si>
    <t>Modèle de fiabilité, fonctions critiques, environnement et durée, événements, incidents, métriques, Runs, disponibilité, récupération, preuves, confiance et limites</t>
  </si>
  <si>
    <t>Spike testing</t>
  </si>
  <si>
    <t>EXP-286</t>
  </si>
  <si>
    <t>Performance / variation brusque de charge</t>
  </si>
  <si>
    <t>Validation du comportement lors d’une augmentation ou diminution brusque et importante de la charge afin d’observer absorption, files, mise à l’échelle, erreurs, dégradation, récupération et retour à l’état stable. Spike qualifie la forme temporelle de la charge.</t>
  </si>
  <si>
    <t>Conserver comme spécialisation de Performance testing; déclarer charge initiale, amplitude, vitesse du changement, durée, répétitions, environnement, seuils, métriques, récupération et limites.</t>
  </si>
  <si>
    <t>Profil avant-pendant-après le pic, amplitude et cadence, scénarios, environnement, instrumentation, Runs, mesures, erreurs, récupération, preuves et limites</t>
  </si>
  <si>
    <t>Sandwich testing</t>
  </si>
  <si>
    <t>EXP-287</t>
  </si>
  <si>
    <t>Sandwich integration testing</t>
  </si>
  <si>
    <t>Intégration / combinaison top-down et bottom-up</t>
  </si>
  <si>
    <t>Approche d’Integration testing combinant des progressions top-down et bottom-up qui convergent vers une couche ou zone cible intermédiaire, avec stubs et drivers selon le besoin.</t>
  </si>
  <si>
    <t>Normaliser Sandwich testing vers Sandwich integration testing; déclarer architecture en couches, zone de convergence, branches top-down et bottom-up, stubs, drivers, ordre, critères de jonction, diagnostic, couverture et preuves.</t>
  </si>
  <si>
    <t>Architecture; couches; zone cible; plans top-down et bottom-up; stubs; drivers; contrats; cas; Runs; défauts; couverture et limites.</t>
  </si>
  <si>
    <t>Experimental testing</t>
  </si>
  <si>
    <t>EXP-288</t>
  </si>
  <si>
    <t>Investigation exploratoire / expérimentation</t>
  </si>
  <si>
    <t>Variante exploratoire fondée sur une expérimentation : modifier ou provoquer des conditions pour apprendre, comparer des observations et éprouver une hypothèse.</t>
  </si>
  <si>
    <t>Conserver comme modalité exploratoire; déclarer hypothèse, variables, conditions, observations, comparaison et limites.</t>
  </si>
  <si>
    <t>Middleware testing</t>
  </si>
  <si>
    <t>EXP-289</t>
  </si>
  <si>
    <t>Middleware validation</t>
  </si>
  <si>
    <t>Couche d’intermédiation / communication / intégration</t>
  </si>
  <si>
    <t>Validation du logiciel intermédiaire qui relie applications, Services, composants ou sources de données et assure communication, routage, transformation, médiation, files ou événements, transactions, sécurité, résilience et observabilité. Middleware qualifie une couche ou capacité intermédiaire, pas automatiquement toute l’intégration.</t>
  </si>
  <si>
    <t>Normaliser Middleware testing vers Middleware validation; déclarer type de middleware, producteurs et consommateurs, protocoles, contrats, messages, routage, transformations, files, ordre, duplication, transactions, identités, erreurs, retries, performance, sécurité, observabilité, versions et preuves.</t>
  </si>
  <si>
    <t>Architecture middleware; producteurs et consommateurs; contrats; messages et schémas; routes et transformations; files; sécurité; environnements; cas; Runs; traces; mesures; preuves et limites.</t>
  </si>
  <si>
    <t>Mock up testing</t>
  </si>
  <si>
    <t>EXP-290</t>
  </si>
  <si>
    <t>Mockup validation</t>
  </si>
  <si>
    <t>Définir / maquette de produit</t>
  </si>
  <si>
    <t>Validation d’une maquette concrétisant structure, contenu, interface, navigation, états ou interactions envisagés sans prouver l’implémentation finale.</t>
  </si>
  <si>
    <t>Déclarer fidélité, surfaces, contenus, états, interactions simulées, revues, hypothèses et limites.</t>
  </si>
  <si>
    <t>Sketch testing</t>
  </si>
  <si>
    <t>EXP-291</t>
  </si>
  <si>
    <t>Sketch validation</t>
  </si>
  <si>
    <t>Définir / croquis exploratoire</t>
  </si>
  <si>
    <t>Validation d’un croquis rapide et peu fidèle pour explorer, comparer et clarifier une idée, un parcours, une structure ou une dépendance.</t>
  </si>
  <si>
    <t>Déclarer question, variantes, hypothèses, observations, décisions et passage vers un modèle plus précis.</t>
  </si>
  <si>
    <t>Logical testing</t>
  </si>
  <si>
    <t>EXP-292</t>
  </si>
  <si>
    <t>Logical consistency validation</t>
  </si>
  <si>
    <t>Logique / conditions / cohérence</t>
  </si>
  <si>
    <t>Validation de la cohérence logique de propositions, expressions, conditions, opérateurs, quantificateurs, implications, décisions et enchaînements. Elle vise notamment contradictions, tautologies indésirables, cas impossibles, conditions manquantes et résultats incohérents.</t>
  </si>
  <si>
    <t>Normaliser Logical testing vers Logical consistency validation; déclarer modèle logique, variables, domaines, règles, opérateurs, hypothèses, invariants, satisfaisabilité, cas limites, méthodes manuelles ou formelles, preuves et limites. Relier à Decision, Rules, Formal, Path et Semantic validation.</t>
  </si>
  <si>
    <t>Modèle logique versionné; variables et domaines; règles et invariants; tables de vérité ou modèles équivalents; analyses; cas; Runs; contradictions; preuves et couverture.</t>
  </si>
  <si>
    <t>Taxonomy testing</t>
  </si>
  <si>
    <t>EXP-293</t>
  </si>
  <si>
    <t>Taxonomy validation</t>
  </si>
  <si>
    <t>Contenu structuré / classification / terminologie</t>
  </si>
  <si>
    <t>Validation de la taxonomie utilisée par le produit et son écosystème pour organiser, classer, relier, étiqueter et retrouver des concepts, contenus, capacités, produits, données ou connaissances. Elle appartient au même univers que Wording and content validation sans en être un synonyme complet.</t>
  </si>
  <si>
    <t>Normaliser Taxonomy testing vers Taxonomy validation; déclarer domaine, concepts, catégories, hiérarchies, facettes, termes préférés, synonymes, relations, règles d’appartenance, identifiants, versions, propriétaires, couverture, cohérence, retrouvabilité, canaux, usages de recherche et d’IA, preuves et limites. Relier à Wording and content, Terminology et Information Architecture validation.</t>
  </si>
  <si>
    <t>Taxonomie versionnée; glossaire; catégories et hiérarchies; facettes; relations; termes et alias; règles de classement; contenus étiquetés; revues; recherches; usages IA; couverture; écarts; historique; preuves et limites.</t>
  </si>
  <si>
    <t>Canary testing</t>
  </si>
  <si>
    <t>EXP-294</t>
  </si>
  <si>
    <t>Canary validation</t>
  </si>
  <si>
    <t>Diffusion progressive / population limitée</t>
  </si>
  <si>
    <t>Validation d’une nouvelle version diffusée d’abord à un sous-ensemble limité de serveurs, instances, trafic ou population réelle afin d’observer son comportement et de limiter le rayon d’impact avant élargissement. Canary qualifie la stratégie de diffusion et d’observation, non une maturité universelle du produit.</t>
  </si>
  <si>
    <t>Normaliser vers Canary validation; déclarer version, cohorte ou trafic, incréments, critères de succès et d’arrêt, signaux, fenêtre d’observation, comparateur, autorité, protection des utilisateurs, rollback et conditions d’élargissement.</t>
  </si>
  <si>
    <t>Version canary, segmentation du trafic ou population, stratégie d’incréments, télémétrie, seuils, mesures, incidents, décisions, preuves, rollback et progression</t>
  </si>
  <si>
    <t>Access testing</t>
  </si>
  <si>
    <t>EXP-295</t>
  </si>
  <si>
    <t>Access control validation</t>
  </si>
  <si>
    <t>Sécurité / autorisation / sujets, ressources et conditions</t>
  </si>
  <si>
    <t>Validation déterminant si des sujets humains ou techniques, applications, machines, Services et processus peuvent accéder uniquement aux ressources et opérations permises, au moment et dans les conditions déclarés. Elle couvre attribution, refus par défaut, moindre privilège, durée, contexte, élévation, révocation et application cohérente dans UI, API, serveur et machine.</t>
  </si>
  <si>
    <t>Normaliser Access testing vers Access control validation; déclarer sujets, identités, rôles ou attributs, ressources, opérations, décisions allow-deny, conditions, temps, contexte, héritage, séparation, moindre privilège, provisioning, révocation, journaux, scénarios positifs et négatifs, preuves et limites. Relier à Role-based access, Identity, Authentication, Authorization, Security et Compliance validation.</t>
  </si>
  <si>
    <t>Modèle de contrôle d’accès; matrice sujets-rôles-attributs-ressources-opérations; politiques; identités de Validation; scénarios autorisés et interdits; interfaces; journaux; Runs; anomalies; preuves; couverture et limites.</t>
  </si>
  <si>
    <t>Role testing</t>
  </si>
  <si>
    <t>EXP-296</t>
  </si>
  <si>
    <t>Role-based access validation</t>
  </si>
  <si>
    <t>Rôles / permissions / autorisation / moindre privilège</t>
  </si>
  <si>
    <t>Validation déterminant si les personnes, identités techniques, services ou processus associés à un rôle disposent exactement des permissions et capacités prévues dans les contextes déclarés. Elle confirme les actions autorisées et interdites, la visibilité des données et fonctions, l’application cohérente des contrôles dans l’interface, les API et le Back End, ainsi que les transitions et combinaisons de rôles. Role testing contribue à la sécurité, au fonctionnel, à la conformité et à l’expérience, sans se réduire à un contrôle visuel de l’interface.</t>
  </si>
  <si>
    <t>Normaliser Role testing vers Role-based access validation; déclarer rôles, populations ou identités, responsabilités, ressources, opérations, permissions, interdictions, contexte, portée, héritages, rôle par défaut, conflits, élévation, séparation des responsabilités, moindre privilège, contrôles UI-API-Back End, scénarios positifs et négatifs, journaux, preuves et limites. Relier à Access, Authorization, Identity, Security, Compliance, UAT et Matrix testing.</t>
  </si>
  <si>
    <t>Catalogue et modèle des rôles; matrice rôles-permissions-ressources-opérations; identités et comptes de Validation; règles d’héritage et de séparation; politiques et obligations; environnements; scénarios autorisés et interdits; données; Runs UI, API et Back End; journaux d’accès; observations; anomalies; preuves; couverture; régression et limites</t>
  </si>
  <si>
    <t>Avalability testing</t>
  </si>
  <si>
    <t>EXP-297</t>
  </si>
  <si>
    <t>Availability testing</t>
  </si>
  <si>
    <t>Fiabilité / disponibilité du service</t>
  </si>
  <si>
    <t>Validation de la capacité du produit ou Service à être opérationnel et accessible lorsque requis, selon une fenêtre, un périmètre, des exclusions et une référence déclarés. Availability combine temps de fonctionnement, interruptions et récupération sans signifier absence totale de panne.</t>
  </si>
  <si>
    <t>Normaliser Avalability en Availability testing; déclarer Service, fenêtre, population, SLI/SLO éventuels, interruptions incluses ou exclues, maintenance, dépendances, méthodes de calcul, preuves et limites.</t>
  </si>
  <si>
    <t>Définition du Service, calendrier et fenêtre, événements d’indisponibilité, dépendances, télémétrie, calcul versionné, Runs ou observations, preuves et limites</t>
  </si>
  <si>
    <t>Responsive testing</t>
  </si>
  <si>
    <t>EXP-298</t>
  </si>
  <si>
    <t>Responsive design testing</t>
  </si>
  <si>
    <t>Interface / adaptation aux espaces d’affichage</t>
  </si>
  <si>
    <t>Validation de l’adaptation du contenu, de la disposition, de la navigation et des interactions aux tailles, orientations, densités, zooms et modalités d’affichage déclarés. Responsive précise un comportement d’interface; il ne garantit ni compatibilité navigateur complète ni accessibilité complète.</t>
  </si>
  <si>
    <t>Normaliser en Responsive design testing; déclarer points de rupture, tailles et orientations, zoom, densité, contenu prioritaire, interactions, technologies d’assistance, tolérances et preuves.</t>
  </si>
  <si>
    <t>Spécifications de disposition, points de rupture, matrice appareils-écrans-orientations, zoom, cas d’interaction, captures, Runs, preuves et limites</t>
  </si>
  <si>
    <t>Reactive testing</t>
  </si>
  <si>
    <t>EXP-299</t>
  </si>
  <si>
    <t>Approche dynamique / adaptation pendant l’exécution</t>
  </si>
  <si>
    <t>Approche de Validation dans laquelle la conception, la sélection, la priorité ou le détail des prochaines mises à l’épreuve évoluent en réaction au comportement réel de la cible, aux observations, résultats, anomalies, défauts ou nouveaux risques découverts pendant l’exécution. Reactive testing complète les validations prédéfinies et peut mobiliser exploration, investigation et intuition compétente; il ne signifie ni improvisation sans intention ni absence de traçabilité.</t>
  </si>
  <si>
    <t>Conserver comme approche dynamique et adaptative pendant les Runs; déclarer mission, point de départ, observations déclencheuses, décisions d’adaptation, nouvelles questions, tests ajoutés, priorités modifiées, compétences mobilisées, temps disponible, preuves, apprentissages et limites. Distinguer Reactive testing de Reactive systems testing, qui validerait une architecture ou un comportement réactif du produit.</t>
  </si>
  <si>
    <t>Mission ou charte; cible et contexte; validations initiales; Runs; événements, observations et défauts déclencheurs; journal des bifurcations; nouveaux cas ou investigations; priorités; données; décisions; preuves; apprentissages; couverture émergente; temps, confiance et limites</t>
  </si>
  <si>
    <t>Behavior testing</t>
  </si>
  <si>
    <t>EXP-300</t>
  </si>
  <si>
    <t>Behavior validation</t>
  </si>
  <si>
    <t>Comportement / spécification</t>
  </si>
  <si>
    <t>Validation d’un comportement observable d’une cible dans des conditions déclarées, reliant déclencheur, état, action ou événement, réponse et résultat attendu.</t>
  </si>
  <si>
    <t>Conserver comme objet comportemental; relier le comportement à une spécification, aux états, événements, critères, populations et preuves.</t>
  </si>
  <si>
    <t>Event testing</t>
  </si>
  <si>
    <t>EXP-301</t>
  </si>
  <si>
    <t>Event validation</t>
  </si>
  <si>
    <t>Événement / interaction</t>
  </si>
  <si>
    <t>Validation d’événements comme déclencheurs, faits publiés ou reçus, incluant schéma, ordre, corrélation, duplication, perte, temporalité, consommateurs et effets observables.</t>
  </si>
  <si>
    <t>Conserver comme objet d’interaction; déclarer producteur, consommateurs, contrat, temps, ordre, idempotence, reprise et preuves.</t>
  </si>
  <si>
    <t>Response testing</t>
  </si>
  <si>
    <t>EXP-302</t>
  </si>
  <si>
    <t>Response validation</t>
  </si>
  <si>
    <t>Sortie / réaction observable</t>
  </si>
  <si>
    <t>Validation d’une réponse produite par une cible après un stimulus, un événement ou une condition, incluant contenu, état, délai, erreurs, effets et propriétés.</t>
  </si>
  <si>
    <t>Conserver comme objet observable; déclarer stimulus, contexte, réponse attendue, temporalité, propriétés, critères et preuves.</t>
  </si>
  <si>
    <t>DevOps testing</t>
  </si>
  <si>
    <t>EXP-303</t>
  </si>
  <si>
    <t>Contexte / flux réalisation-exploitation</t>
  </si>
  <si>
    <t>Validation intégrée au flux de réalisation, diffusion et exploitation en contexte DevOps. DevOps qualifie le contexte, la collaboration, l’automatisation et la rétroaction, non le type de test.</t>
  </si>
  <si>
    <t>Conserver comme contexte; préciser objet, portée, propriétés, événements du pipeline, observabilité, responsabilité et CARE.</t>
  </si>
  <si>
    <t>Agile testing</t>
  </si>
  <si>
    <t>EXP-304</t>
  </si>
  <si>
    <t>Contexte / collaboration / adaptation</t>
  </si>
  <si>
    <t>Validation intégrée à une démarche Agile favorisant collaboration, rétroaction fréquente, adaptation et responsabilité collective. Agile ne précise pas ce qui est testé.</t>
  </si>
  <si>
    <t>Conserver comme contexte; préciser objet, portée, propriétés, technique, preuves et boucles d’apprentissage.</t>
  </si>
  <si>
    <t>ToTAL testing</t>
  </si>
  <si>
    <t>EXP-305</t>
  </si>
  <si>
    <t>Validation en contexte ToTAL</t>
  </si>
  <si>
    <t>Contexte / discipline de maîtrise</t>
  </si>
  <si>
    <t>Validation guidée par ToTAL à travers les six phases, les spécifications et modèles produit, la toolbox, les preuves, la qualimétrie, la convergence produit et CARE.</t>
  </si>
  <si>
    <t>Normaliser préférablement vers Validation ToTAL; déclarer le contrat de Validation complet et sa contribution à la maîtrise du produit.</t>
  </si>
  <si>
    <t>Amigos testing</t>
  </si>
  <si>
    <t>EXP-306</t>
  </si>
  <si>
    <t>Amigos collaboration</t>
  </si>
  <si>
    <t>Collaboration précoce / perspectives nécessaires / DÉFINIR</t>
  </si>
  <si>
    <t>Approche collaborative consistant à réunir le plus tôt utilement possible un petit groupe portant les perspectives nécessaires pour clarifier un incrément du produit, notamment la valeur ou le besoin, la réalisation et la Validation. L’objectif est de construire une compréhension partagée, des exemples, critères et spécifications testables, ainsi que de rendre visibles hypothèses, dépendances, risques et inconnues avant ou pendant la réalisation. Amigos désigne des perspectives pertinentes, non un nombre obligatoire de personnes, des titres fixes ou une cérémonie imposée.</t>
  </si>
  <si>
    <t>Normaliser Amigos testing vers Amigos collaboration; déclarer incrément ou problème, perspectives requises, participants, intention, décisions, exemples, spécifications, modèles, critères, risques, inconnues et suites. Composer le plus petit groupe couvrant les perspectives utiles et inviter d’autres compétences lorsque le contexte l’exige. Relier à Éliciter, DÉFINIR, ATDD, BDD, Example Mapping, Pair et Mob collaboration sans les confondre.</t>
  </si>
  <si>
    <t>Intention et objet; perspectives nécessaires; participants et compétences; besoin ou problème; modèles et spécifications; langage partagé; règles, exemples, critères et scénarios; questions et inconnues; dépendances et risques; décisions; responsabilités; liens vers réalisation, cas, Runs et preuves; historique et limites</t>
  </si>
  <si>
    <t>Réconciliation exhaustive de la liste source</t>
  </si>
  <si>
    <t>Chaque occurrence de la liste initiale est conservée et reliée à une expression primaire. La répétition ne crée pas un nouveau concept, mais demeure traçable.</t>
  </si>
  <si>
    <t>Occurrence source</t>
  </si>
  <si>
    <t>Expression source</t>
  </si>
  <si>
    <t>ID primaire</t>
  </si>
  <si>
    <t>Occurrences totales</t>
  </si>
  <si>
    <t>Résultat rapprochement</t>
  </si>
  <si>
    <t>Note</t>
  </si>
  <si>
    <t>Rapproché</t>
  </si>
  <si>
    <t>Occurrence répétée conservée</t>
  </si>
  <si>
    <t>Audit d’intégrité du registre maître</t>
  </si>
  <si>
    <t>Contrôles de complétude, conservation de la source, cohérence des statuts, cohérence terminologique et préservation des feuilles.</t>
  </si>
  <si>
    <t>Contrôle</t>
  </si>
  <si>
    <t>Valeur attendue</t>
  </si>
  <si>
    <t>Valeur observée</t>
  </si>
  <si>
    <t>Résultat</t>
  </si>
  <si>
    <t>Action / garde-fou</t>
  </si>
  <si>
    <t>Occurrences de la liste source</t>
  </si>
  <si>
    <t>Conforme</t>
  </si>
  <si>
    <t>Aucune occurrence ne doit disparaître.</t>
  </si>
  <si>
    <t>Expressions primaires uniques</t>
  </si>
  <si>
    <t>Une ligne primaire par expression unique.</t>
  </si>
  <si>
    <t>Répétitions conservées</t>
  </si>
  <si>
    <t>UI, Unit, Code, Documentation et Passive sont conservés deux fois dans la source.</t>
  </si>
  <si>
    <t>Identifiants primaires uniques</t>
  </si>
  <si>
    <t>Aucun ID primaire dupliqué.</t>
  </si>
  <si>
    <t>Expressions source non rapprochées</t>
  </si>
  <si>
    <t>Tout élément source doit pointer vers un ID primaire.</t>
  </si>
  <si>
    <t>Done sans documentation minimale</t>
  </si>
  <si>
    <t>Un Done exige définition, garde-fou, trajectoire et documentation.</t>
  </si>
  <si>
    <t>Feuilles du registre préservées</t>
  </si>
  <si>
    <t>Les 37 feuilles antérieures sont préservées; deux feuilles de fermeture éditoriale sont ajoutées.</t>
  </si>
  <si>
    <t>Cohérence État ↔ Accomplissement</t>
  </si>
  <si>
    <t>Tout état terminal doit être Done; les autres doivent être ToDo (not done).</t>
  </si>
  <si>
    <t>Couleurs Accomplissement normalisées</t>
  </si>
  <si>
    <t>Done est vert; ToDo (not done) est rouge clair dans toutes les feuilles.</t>
  </si>
  <si>
    <t>Audit des Done exhaustif</t>
  </si>
  <si>
    <t>Chaque expression Done apparaît exactement une fois dans l’audit.</t>
  </si>
  <si>
    <t>Lignes, colonnes ou feuilles masquées</t>
  </si>
  <si>
    <t>Aucun élément du registre n’est masqué.</t>
  </si>
  <si>
    <t>Réconciliation source synchronisée</t>
  </si>
  <si>
    <t>Expression normalisée, occurrences, état et accomplissement sont synchronisés.</t>
  </si>
  <si>
    <t>Statuts secondaires noyau stabilisés</t>
  </si>
  <si>
    <t>Le noyau secondaire doit refléter les décisions principales stabilisées.</t>
  </si>
  <si>
    <t>Distinction Test ↔ testing cohérente</t>
  </si>
  <si>
    <t>Éviter de réintroduire une collision entre objet, activité et occurrence.</t>
  </si>
  <si>
    <t>Objectif primaire marqué terminé</t>
  </si>
  <si>
    <t>Le plan de travail doit refléter les 306 décisions terminales.</t>
  </si>
  <si>
    <t>Identifiants des registres secondaires uniques</t>
  </si>
  <si>
    <t>Axiomes, termes, relations et constats ne doivent pas dupliquer leurs identifiants.</t>
  </si>
  <si>
    <t>Feuilles historiques conservées</t>
  </si>
  <si>
    <t>Les 25 feuilles antérieures doivent demeurer présentes.</t>
  </si>
  <si>
    <t>Modèles opérationnels ajoutés</t>
  </si>
  <si>
    <t>Les modèles dérivés n’altèrent pas les 306 décisions primaires.</t>
  </si>
  <si>
    <t>Métriques locales simulées</t>
  </si>
  <si>
    <t>Aucune formule, source, valeur, population ou référence locale ne doit être inventée.</t>
  </si>
  <si>
    <t>Portrait sans données qualifié Inconnu</t>
  </si>
  <si>
    <t>L’absence de données locales doit rester visible plutôt que remplacée par une valeur supposée.</t>
  </si>
  <si>
    <t>Feuilles antérieures conservées</t>
  </si>
  <si>
    <t>Aucune feuille de batch39 ne doit être remplacée ou supprimée.</t>
  </si>
  <si>
    <t>Registres opérationnels instanciés</t>
  </si>
  <si>
    <t>Les cinq modèles sont matérialisés sans données locales simulées.</t>
  </si>
  <si>
    <t>Lignes de données opérationnelles simulées</t>
  </si>
  <si>
    <t>Les lignes grises sont des consignes de saisie, pas des observations réelles.</t>
  </si>
  <si>
    <t>Feuilles batch40 conservées</t>
  </si>
  <si>
    <t>Aucune feuille du fichier maître précédent ne doit disparaître.</t>
  </si>
  <si>
    <t>Listes contrôlées opérationnelles</t>
  </si>
  <si>
    <t>Les valeurs de saisie sont visibles, gouvernées et modifiables de façon versionnée.</t>
  </si>
  <si>
    <t>Registres avec validation de saisie</t>
  </si>
  <si>
    <t>Chaque registre opérationnel possède au moins une liste contrôlée pertinente.</t>
  </si>
  <si>
    <t>Données locales préremplies</t>
  </si>
  <si>
    <t>Aucune observation, priorité, coût, preuve ou usage réel n’est simulé.</t>
  </si>
  <si>
    <t>Objectif du premier registre explicitement borné</t>
  </si>
  <si>
    <t>Le test demeure l’objectif premier; les sujets plus larges restent seulement contextuels.</t>
  </si>
  <si>
    <t>Version initiale déclarée terminée</t>
  </si>
  <si>
    <t>Les 306 expressions sont Done et la clôture éditoriale est explicite.</t>
  </si>
  <si>
    <t>Modèles opérationnels repositionnés comme illustratifs</t>
  </si>
  <si>
    <t>Aucune saisie locale n’est requise pour la fermeture du registre.</t>
  </si>
  <si>
    <t>Synthèse des réconciliations ajoutée</t>
  </si>
  <si>
    <t>Les grandes collisions et décisions peuvent être comprises avant la lecture détaillée.</t>
  </si>
  <si>
    <t>États du chantier</t>
  </si>
  <si>
    <t>Les états décrivent l’avancement de chaque expression.</t>
  </si>
  <si>
    <t>Définition</t>
  </si>
  <si>
    <t>S-001</t>
  </si>
  <si>
    <t>Inventorié, à réconcilier</t>
  </si>
  <si>
    <t>Sens à déterminer.</t>
  </si>
  <si>
    <t>S-002</t>
  </si>
  <si>
    <t>Classé, à réconcilier</t>
  </si>
  <si>
    <t>S-003</t>
  </si>
  <si>
    <t>Réconcilié, à éprouver</t>
  </si>
  <si>
    <t>Décision formulée.</t>
  </si>
  <si>
    <t>S-004</t>
  </si>
  <si>
    <t>Référence versionnée.</t>
  </si>
  <si>
    <t>S-005</t>
  </si>
  <si>
    <t>Alias d’un terme canonique.</t>
  </si>
  <si>
    <t>S-006</t>
  </si>
  <si>
    <t>Redirection vers un terme canonique.</t>
  </si>
  <si>
    <t>Audit des accomplissements</t>
  </si>
  <si>
    <t>Contrôle de cohérence : aucun Done ne doit reposer sur une justification générique ou manquer de décision, garde-fou et documentation.</t>
  </si>
  <si>
    <t>Expression</t>
  </si>
  <si>
    <t>Définition spécifique</t>
  </si>
  <si>
    <t>Garde-fou spécifique</t>
  </si>
  <si>
    <t>Résultat audit</t>
  </si>
  <si>
    <t>Anomalie</t>
  </si>
  <si>
    <t>Oui</t>
  </si>
  <si>
    <t>Clôture et approfondissements du registre maître ToTAL du test</t>
  </si>
  <si>
    <t>Objectif primaire terminé. Les éléments ci-dessous sont classés comme maintenance, modèle illustratif, adaptation locale facultative ou approfondissement futur.</t>
  </si>
  <si>
    <t>Ordre</t>
  </si>
  <si>
    <t>Chantier</t>
  </si>
  <si>
    <t>Question / contenu</t>
  </si>
  <si>
    <t>Priorité</t>
  </si>
  <si>
    <t>Réconcilier les 306 expressions</t>
  </si>
  <si>
    <t>Les 306 expressions possèdent maintenant une décision terminale traçable; maintenir la non-régression lors des évolutions.</t>
  </si>
  <si>
    <t>Maintenance versionnée</t>
  </si>
  <si>
    <t>Test / testing / Run / Check</t>
  </si>
  <si>
    <t>Test = définition ou mise à l’épreuve; testing = activité; Run = occurrence; Check = qualification locale; preuve et couverture demeurent distinctes.</t>
  </si>
  <si>
    <t>Smoke = viabilité minimale large et peu profonde; Sanity = cohérence focalisée après changement; Health = portrait qualimétrique courant et durable.</t>
  </si>
  <si>
    <t>Interfaces applicatives</t>
  </si>
  <si>
    <t>Cadre API, endpoint, REST, SOAP, RPC, gRPC, messages et protocoles disponible comme référence; tout inventaire local est facultatif.</t>
  </si>
  <si>
    <t>Modèle de référence terminé</t>
  </si>
  <si>
    <t>Adaptation locale facultative</t>
  </si>
  <si>
    <t>Couverture détaillée</t>
  </si>
  <si>
    <t>Modèle applicable, prévue, exercée, observée, prouvée, actuelle et inconnue disponible comme référence.</t>
  </si>
  <si>
    <t>Qualifier les 125 métriques</t>
  </si>
  <si>
    <t>Les 125 métriques sont préqualifiées sans invention de données locales; leur qualification complète est réservée à un approfondissement qualimétrique futur.</t>
  </si>
  <si>
    <t>Préqualification terminée</t>
  </si>
  <si>
    <t>Approfondissement futur</t>
  </si>
  <si>
    <t>Portrait qualimétrique</t>
  </si>
  <si>
    <t>Le portrait santé, satisfaction, valeur, pérennité, confiance, risques et inconnues est conservé comme modèle de référence futur.</t>
  </si>
  <si>
    <t>Pyramide de priorisation de l’automatisation</t>
  </si>
  <si>
    <t>Prioriser les candidats réels à l’automatisation selon dépendances, préalables et ROI; Validations manuelles gouvernées séparément.</t>
  </si>
  <si>
    <t>Modèles opérationnels</t>
  </si>
  <si>
    <t>Cinq modèles illustratifs montrent la forme réconciliée de pratiques; aucune saisie locale n’est requise pour considérer ce registre terminé.</t>
  </si>
  <si>
    <t>Modèles illustratifs terminés</t>
  </si>
  <si>
    <t>Utilisation facultative</t>
  </si>
  <si>
    <t>Axiomes et décisions transversales ToTAL</t>
  </si>
  <si>
    <t>Décisions qui structurent la réconciliation sans se substituer au registre primaire.</t>
  </si>
  <si>
    <t>Axiome</t>
  </si>
  <si>
    <t>Formulation canonique</t>
  </si>
  <si>
    <t>Statut</t>
  </si>
  <si>
    <t>Concepts</t>
  </si>
  <si>
    <t>AX-001</t>
  </si>
  <si>
    <t>Produit central</t>
  </si>
  <si>
    <t>Le produit logiciel est l’objet central de maîtrise; les autres objets contribuent à sa santé.</t>
  </si>
  <si>
    <t>Produit; santé; convergence</t>
  </si>
  <si>
    <t>AX-002</t>
  </si>
  <si>
    <t>Spécification comme attente</t>
  </si>
  <si>
    <t>Une spécification est une attente claire et vérifiable sur un objet, comportement, propriété, contrainte ou composition.</t>
  </si>
  <si>
    <t>Spécification; attente</t>
  </si>
  <si>
    <t>AX-003</t>
  </si>
  <si>
    <t>Validation comme discipline</t>
  </si>
  <si>
    <t>La Validation confronte une réalité observée à des attentes afin d’investiguer, apprendre, confirmer ou qualifier.</t>
  </si>
  <si>
    <t>Validation; preuve</t>
  </si>
  <si>
    <t>AX-004</t>
  </si>
  <si>
    <t>Test comme moyen</t>
  </si>
  <si>
    <t>Un test est une définition, un objet ou une mise à l’épreuve délimitée contribuant à la Validation; testing désigne l’activité de concevoir, préparer, exécuter, observer, analyser et maintenir ces tests.</t>
  </si>
  <si>
    <t>Test; Validation</t>
  </si>
  <si>
    <t>AX-005</t>
  </si>
  <si>
    <t>Service rend service</t>
  </si>
  <si>
    <t>Un Service rend une capacité à un consommateur selon un contrat et des conditions.</t>
  </si>
  <si>
    <t>Service; capacité; consommateur</t>
  </si>
  <si>
    <t>AX-006</t>
  </si>
  <si>
    <t>Contexte ≠ type</t>
  </si>
  <si>
    <t>Agile, DevOps, Scrum, SAFe, Kanban et ToTAL qualifient le contexte ou la discipline.</t>
  </si>
  <si>
    <t>Contexte; démarche</t>
  </si>
  <si>
    <t>AX-007</t>
  </si>
  <si>
    <t>Tier ≠ portée</t>
  </si>
  <si>
    <t>Front End, Middle Tier et Back End ne déterminent ni la portée ni la quantité des validations.</t>
  </si>
  <si>
    <t>Tier; portée</t>
  </si>
  <si>
    <t>AX-008</t>
  </si>
  <si>
    <t>Qualimétrie utile</t>
  </si>
  <si>
    <t>La qualimétrie rend la réalité suffisamment visible pour apprendre, améliorer et décider.</t>
  </si>
  <si>
    <t>Qualimétrie; décision</t>
  </si>
  <si>
    <t>AX-009</t>
  </si>
  <si>
    <t>CARE ferme la boucle</t>
  </si>
  <si>
    <t>CARE observe durablement les effets réels et réinjecte les apprentissages.</t>
  </si>
  <si>
    <t>CARE; effet réel</t>
  </si>
  <si>
    <t>AX-010</t>
  </si>
  <si>
    <t>Phases universelles</t>
  </si>
  <si>
    <t>Tout changement et toute investigation traversent Éliciter, Définir, Planifier, Implémenter, Diffuser et Confirmer.</t>
  </si>
  <si>
    <t>SDLC produit</t>
  </si>
  <si>
    <t>AX-011</t>
  </si>
  <si>
    <t>Granularité Small–Medium–Large</t>
  </si>
  <si>
    <t>Small est indivisible; Medium valide la relation entre deux Small; Large valide un parcours ou une boucle composée de Medium et de Small, de l’entrée à la sortie ou de l’entrée au retour.</t>
  </si>
  <si>
    <t>Granularité; composition; portée</t>
  </si>
  <si>
    <t>AX-012</t>
  </si>
  <si>
    <t>Toute exploration possède une intention</t>
  </si>
  <si>
    <t>Exploratoire ne signifie pas sans but. Scientific, Monkey, Gorilla, Ad Hoc, Random, Experimental et Adaptive décrivent différentes manières d’orienter ou de conduire une investigation; chacune doit déclarer son intention, son contexte, ses observations et ses limites.</t>
  </si>
  <si>
    <t>Exploration; investigation; toolbox</t>
  </si>
  <si>
    <t>AX-013</t>
  </si>
  <si>
    <t>Réconciliation sans perte</t>
  </si>
  <si>
    <t>Toute occurrence du besoin initial demeure traçable vers une expression primaire; normalisation, alias et dépréciation ne suppriment jamais la provenance.</t>
  </si>
  <si>
    <t>Source; provenance; audit; non-régression</t>
  </si>
  <si>
    <t>AX-018</t>
  </si>
  <si>
    <t>Maturité ≠ qualité</t>
  </si>
  <si>
    <t>Alpha, Beta, Candidate et Gold qualifient l’état ou le canal d’une version; aucun libellé ne démontre seul sa qualité, sa couverture ou son acceptabilité.</t>
  </si>
  <si>
    <t>Maturité; version; preuve</t>
  </si>
  <si>
    <t>AX-019</t>
  </si>
  <si>
    <t>Promotion ≠ validation</t>
  </si>
  <si>
    <t>La Validation produit des informations et preuves; une autorité distincte décide de promouvoir, diffuser, maintenir ou retirer une occurrence.</t>
  </si>
  <si>
    <t>Promotion; décision; preuve</t>
  </si>
  <si>
    <t>AX-020</t>
  </si>
  <si>
    <t>Même artefact, trace continue</t>
  </si>
  <si>
    <t>Toute promotion conserve l’identité, la version ou l’empreinte de l’artefact; toute reconstruction est une nouvelle occurrence à requalifier.</t>
  </si>
  <si>
    <t>Artefact; traçabilité; non-régression</t>
  </si>
  <si>
    <t>AX-021</t>
  </si>
  <si>
    <t>Locale ≠ pays</t>
  </si>
  <si>
    <t>Un pays peut contenir plusieurs langues, populations, juridictions et conventions; toute adaptation déclare son locale et son contexte.</t>
  </si>
  <si>
    <t>Locale; population; contexte</t>
  </si>
  <si>
    <t>AX-022</t>
  </si>
  <si>
    <t>Compatibilité bornée</t>
  </si>
  <si>
    <t>Toute compatibilité repose sur une matrice applicable versionnée; elle ne signifie jamais fonctionnement universel.</t>
  </si>
  <si>
    <t>Compatibilité; matrice; couverture</t>
  </si>
  <si>
    <t>AX-023</t>
  </si>
  <si>
    <t>Internationalisation ≠ localisation</t>
  </si>
  <si>
    <t>L’internationalisation prépare l’architecture à l’adaptation; la localisation produit une adaptation ciblée; la globalisation couvre l’ensemble déclaré.</t>
  </si>
  <si>
    <t>i18n; l10n; g11n</t>
  </si>
  <si>
    <t>AX-024</t>
  </si>
  <si>
    <t>Performance contextualisée</t>
  </si>
  <si>
    <t>Toute conclusion de performance déclare profil de charge, environnement, données, fenêtre, métriques, distribution, seuils et limites.</t>
  </si>
  <si>
    <t>Performance; charge; preuve</t>
  </si>
  <si>
    <t>AX-025</t>
  </si>
  <si>
    <t>Fiabilité ≠ absence de panne</t>
  </si>
  <si>
    <t>La fiabilité se qualifie sous conditions et durée déclarées; les défaillances, tolérances et récupérations font partie du portrait.</t>
  </si>
  <si>
    <t>Fiabilité; durée; récupération</t>
  </si>
  <si>
    <t>AX-026</t>
  </si>
  <si>
    <t>Sécurité autorisée et bornée</t>
  </si>
  <si>
    <t>Toute Validation intrusive ou destructive exige autorisation, portée, règles d’engagement, protections, critères d’arrêt et restauration.</t>
  </si>
  <si>
    <t>Sécurité; autorisation; risque</t>
  </si>
  <si>
    <t>AX-027</t>
  </si>
  <si>
    <t>Vulnérabilité ≠ exploit confirmé</t>
  </si>
  <si>
    <t>Identifier une faiblesse ne démontre ni son exploitabilité ni son impact réel; les preuves et limites doivent rester distinctes.</t>
  </si>
  <si>
    <t>Vulnérabilité; penetration; preuve</t>
  </si>
  <si>
    <t>AX-028</t>
  </si>
  <si>
    <t>Différence ≠ défaut</t>
  </si>
  <si>
    <t>Une différence visuelle ou comparative est une observation à qualifier; elle ne devient un défaut qu’au regard d’une attente, d’un contexte et d’une décision traçable.</t>
  </si>
  <si>
    <t>Visual; comparaison; preuve; décision</t>
  </si>
  <si>
    <t>AX-029</t>
  </si>
  <si>
    <t>Baseline ≠ vérité</t>
  </si>
  <si>
    <t>Une baseline est une référence versionnée et révisable, non une preuve intrinsèque que le rendu est correct, accessible, utile ou conforme à l’intention.</t>
  </si>
  <si>
    <t>Baseline; référence; visual</t>
  </si>
  <si>
    <t>AX-030</t>
  </si>
  <si>
    <t>Expérience ≠ décision</t>
  </si>
  <si>
    <t>A/B testing produit des estimations et des preuves contextualisées; la promotion d’une variante reste une décision distincte tenant compte de l’incertitude, des garde-fous et des effets dans CARE.</t>
  </si>
  <si>
    <t>A/B; expérimentation; décision; CARE</t>
  </si>
  <si>
    <t>AX-031</t>
  </si>
  <si>
    <t>Preset ≠ résultat</t>
  </si>
  <si>
    <t>Un preset prépare des conditions connues; il ne démontre ni la conformité, ni l’absence de régression, ni la qualité de la cible.</t>
  </si>
  <si>
    <t>Preset; préparation; Run; preuve</t>
  </si>
  <si>
    <t>AX-032</t>
  </si>
  <si>
    <t>La Validation est partout, pas à une seule place</t>
  </si>
  <si>
    <t>La Validation holistique accompagne la réalisation au fur et à mesure dans toutes les phases; elle ne doit pas être reportée à une campagne finale, un rôle ou une porte de contrôle unique.</t>
  </si>
  <si>
    <t>Holistique; phases; responsabilité; feedback</t>
  </si>
  <si>
    <t>AX-033</t>
  </si>
  <si>
    <t>Synthétique ≠ production seulement</t>
  </si>
  <si>
    <t>Une stimulation synthétique peut apprendre, prévenir, valider ou mesurer dans toute phase; le monitoring en production est une spécialisation importante, non son unique usage.</t>
  </si>
  <si>
    <t>Synthetic; phases; qualimétrie; CARE</t>
  </si>
  <si>
    <t>AX-034</t>
  </si>
  <si>
    <t>Synthétique ≠ usage réel</t>
  </si>
  <si>
    <t>Un signal synthétique est contrôlé et reproductible, mais ne représente pas à lui seul la diversité des usages réels; sa confiance et ses limites doivent être explicites.</t>
  </si>
  <si>
    <t>Synthetic; RUM; représentativité; preuve</t>
  </si>
  <si>
    <t>AX-035</t>
  </si>
  <si>
    <t>Conformité bornée</t>
  </si>
  <si>
    <t>Toute affirmation de conformité déclare l’objet, le périmètre, la juridiction ou autorité, la référence et sa version, les critères, les preuves, les écarts, les dérogations, la date et les limites.</t>
  </si>
  <si>
    <t>Conformité; référence; preuve; portée</t>
  </si>
  <si>
    <t>AX-036</t>
  </si>
  <si>
    <t>Validation ≠ certification</t>
  </si>
  <si>
    <t>La Validation et ses preuves soutiennent une décision; seule une autorité habilitée peut attribuer une certification, approbation ou déclaration officielle selon son mandat.</t>
  </si>
  <si>
    <t>Validation; certification; autorité; décision</t>
  </si>
  <si>
    <t>AX-037</t>
  </si>
  <si>
    <t>Conforme ≠ sans risque</t>
  </si>
  <si>
    <t>La satisfaction d’une référence déclarée ne démontre ni l’absence de défaut, ni l’absence de risque, ni l’adéquation à toutes les autres attentes applicables.</t>
  </si>
  <si>
    <t>Conformité; risque; limites</t>
  </si>
  <si>
    <t>AX-049</t>
  </si>
  <si>
    <t>Rédaction omnicanale cohérente</t>
  </si>
  <si>
    <t>La rédaction du produit inclut tous les contenus et canaux qui le décrivent, l’expliquent, le vendent, l’enseignent ou l’assistent; chaque message doit demeurer cohérent avec la réalité du produit.</t>
  </si>
  <si>
    <t>Rédaction; contenu; produit; canaux; cohérence</t>
  </si>
  <si>
    <t>AX-050</t>
  </si>
  <si>
    <t>Captation ≠ analyse</t>
  </si>
  <si>
    <t>La cybermétrie de captation assure données et traçabilité jusqu’au point de remise; analytics, monitoring et qualimétrie interprètent ensuite ces données selon leurs responsabilités.</t>
  </si>
  <si>
    <t>Cybermétrie; données; traçabilité; analytics</t>
  </si>
  <si>
    <t>AX-051</t>
  </si>
  <si>
    <t>Drive exige conduite et complétude utile</t>
  </si>
  <si>
    <t>Un Drive test exige une unité suffisamment complète pour l’intention et une conduite réelle par un acteur lorsque cette conduite fait partie de l’usage.</t>
  </si>
  <si>
    <t>Drive; acteur; complétude; confirmation</t>
  </si>
  <si>
    <t>AX-052</t>
  </si>
  <si>
    <t>Mapping ≠ simple paire de champs</t>
  </si>
  <si>
    <t>Un mapping exprime une relation versionnée entre représentations, avec cardinalités, transformations, conditions, défauts et collisions explicites.</t>
  </si>
  <si>
    <t>Mapping; relation; règles; données</t>
  </si>
  <si>
    <t>AX-053</t>
  </si>
  <si>
    <t>Driven ≠ type de test</t>
  </si>
  <si>
    <t>ATDD, BDD, TDD, DDD, FDD et SDD qualifient des démarches de définition, conception ou réalisation; la Validation y est intégrée sans devenir un type canonique autonome.</t>
  </si>
  <si>
    <t>ATDD; BDD; TDD; DDD; FDD; SDD; contexte</t>
  </si>
  <si>
    <t>AX-054</t>
  </si>
  <si>
    <t>DÉFINIR = spécifier et modéliser</t>
  </si>
  <si>
    <t>La phase DÉFINIR transforme les intentions en spécifications et modèles produit cohérents.</t>
  </si>
  <si>
    <t>Définir; spécification; modélisation</t>
  </si>
  <si>
    <t>AX-055</t>
  </si>
  <si>
    <t>Modèle = vue utile, non vérité totale</t>
  </si>
  <si>
    <t>Tout modèle répond à une question, adopte un point de vue et possède des limites.</t>
  </si>
  <si>
    <t>Modèle; abstraction; limites</t>
  </si>
  <si>
    <t>AX-056</t>
  </si>
  <si>
    <t>MBT dérive, le modèle référence</t>
  </si>
  <si>
    <t>MBT dérive les validations depuis un modèle abstrait dont la qualité et l’actualité conditionnent la valeur.</t>
  </si>
  <si>
    <t>MBT; modèle; dérivation</t>
  </si>
  <si>
    <t>AX-057</t>
  </si>
  <si>
    <t>Sélection diagonale ≠ couverture formelle</t>
  </si>
  <si>
    <t>La diagonale maximise l’information attendue sans garantir toutes les interactions.</t>
  </si>
  <si>
    <t>Diagonal; risque; combinatoire</t>
  </si>
  <si>
    <t>AX-058</t>
  </si>
  <si>
    <t>Syntaxe correcte ≠ sens valide</t>
  </si>
  <si>
    <t>Une donnée conforme au format peut demeurer invalide selon le contexte et les règles métier.</t>
  </si>
  <si>
    <t>Semantic; données; règles</t>
  </si>
  <si>
    <t>AX-059</t>
  </si>
  <si>
    <t>RED doit échouer pour la bonne raison</t>
  </si>
  <si>
    <t>Un RED valide révèle l’absence du comportement attendu, non une erreur de dispositif.</t>
  </si>
  <si>
    <t>TDD; RED; preuve</t>
  </si>
  <si>
    <t>AX-060</t>
  </si>
  <si>
    <t>GREEN ≠ terminé</t>
  </si>
  <si>
    <t>GREEN confirme localement une attente; refactorisation, autres propriétés, diffusion et CARE demeurent.</t>
  </si>
  <si>
    <t>TDD; GREEN; limites</t>
  </si>
  <si>
    <t>AX-061</t>
  </si>
  <si>
    <t>Valider au fil de la réalisation</t>
  </si>
  <si>
    <t>Les validations utiles sont conçues et exécutées au plus tôt et progressivement.</t>
  </si>
  <si>
    <t>Holistique; TDD; feedback</t>
  </si>
  <si>
    <t>AX-062</t>
  </si>
  <si>
    <t>Critique ≠ seul important</t>
  </si>
  <si>
    <t>La criticité gouverne priorité et profondeur sans rendre les autres attentes inexistantes.</t>
  </si>
  <si>
    <t>Critical; risque; couverture</t>
  </si>
  <si>
    <t>AX-063</t>
  </si>
  <si>
    <t>Matrice = modèle relationnel</t>
  </si>
  <si>
    <t>Une matrice rend visibles des relations, combinaisons, couvertures et écarts; elle ne constitue pas à elle seule une preuve ni un type de test.</t>
  </si>
  <si>
    <t>Matrice; RTM; couverture; traçabilité</t>
  </si>
  <si>
    <t>AX-064</t>
  </si>
  <si>
    <t>Snapshot ≠ spécification</t>
  </si>
  <si>
    <t>Un snapshot est une référence versionnée à comparer; son acceptation initiale et chaque mise à jour exigent une intention et une revue.</t>
  </si>
  <si>
    <t>Snapshot; DOM; baseline; comparaison</t>
  </si>
  <si>
    <t>AX-065</t>
  </si>
  <si>
    <t>Design dépasse UI et UX</t>
  </si>
  <si>
    <t>La conception du produit couvre domaine, données, comportements, interfaces, architecture applicative, infrastructure, machine, matériel, sécurité et exploitation selon le besoin.</t>
  </si>
  <si>
    <t>Design; modélisation; Définir; architecture</t>
  </si>
  <si>
    <t>AX-066</t>
  </si>
  <si>
    <t>Vieillissement produit ≠ âge des défauts</t>
  </si>
  <si>
    <t>La pérennité du produit se valide par scénarios d’évolution et d’obsolescence; Defect age demeure une métrique distincte de délai ou de phase.</t>
  </si>
  <si>
    <t>Pérennité; vieillissement; défaut; métrique</t>
  </si>
  <si>
    <t>AX-067</t>
  </si>
  <si>
    <t>Contexte guide sans excuser</t>
  </si>
  <si>
    <t>Le contexte adapte les pratiques et preuves, sans supprimer l’intention, la responsabilité, la traçabilité ni les garde-fous.</t>
  </si>
  <si>
    <t>Contexte; adaptation; coaching; responsabilité</t>
  </si>
  <si>
    <t>AX-068</t>
  </si>
  <si>
    <t>Fuzzing révèle sans prouver l’absence</t>
  </si>
  <si>
    <t>Une campagne de fuzzing peut démontrer des problèmes observés; aucun résultat silencieux ne prouve la correction pour toutes les entrées.</t>
  </si>
  <si>
    <t>Fuzzing; entrées; sécurité; limites</t>
  </si>
  <si>
    <t>AX-069</t>
  </si>
  <si>
    <t>Amigos = perspectives utiles, pas trois postes fixes</t>
  </si>
  <si>
    <t>La collaboration Amigos réunit le plus petit groupe couvrant les perspectives nécessaires pour clarifier tôt un produit ou incrément testable; le nombre et les titres s’adaptent au contexte.</t>
  </si>
  <si>
    <t>Amigos; collaboration; Définir; testabilité</t>
  </si>
  <si>
    <t>AX-070</t>
  </si>
  <si>
    <t>Réagir sans perdre la trace</t>
  </si>
  <si>
    <t>Reactive testing adapte les prochaines validations selon les observations réelles, tout en préservant intention, bifurcations, preuves et limites.</t>
  </si>
  <si>
    <t>Reactive; observation; adaptation; traçabilité</t>
  </si>
  <si>
    <t>AX-071</t>
  </si>
  <si>
    <t>Rôle ≠ personne</t>
  </si>
  <si>
    <t>Une Validation fondée sur les rôles qualifie des permissions et responsabilités attribuées à des identités; elle ne mesure ni ne classe les personnes.</t>
  </si>
  <si>
    <t>Rôle; identité; permission; moindre privilège</t>
  </si>
  <si>
    <t>AX-072</t>
  </si>
  <si>
    <t>Référentiel ou méthode ≠ type de test</t>
  </si>
  <si>
    <t>PRINCE2 et PMBOK qualifient la gouvernance et le management du projet; la Validation doit encore déclarer son objet, sa portée, sa technique, ses preuves et sa contribution au produit.</t>
  </si>
  <si>
    <t>PRINCE2; PMBOK; contexte; projet; Validation</t>
  </si>
  <si>
    <t>AX-073</t>
  </si>
  <si>
    <t>Projet ≠ produit</t>
  </si>
  <si>
    <t>Un projet est temporaire et produit des résultats ou transitions; le produit est durable et doit continuer à satisfaire, évoluer et être veillé dans CARE.</t>
  </si>
  <si>
    <t>Projet; produit; résultat; CARE</t>
  </si>
  <si>
    <t>AX-074</t>
  </si>
  <si>
    <t>Solution ≠ produit unique</t>
  </si>
  <si>
    <t>Une solution peut composer produits, Services, processus, données, infrastructures et changements; chaque constituant conserve ses frontières, responsabilités et preuves.</t>
  </si>
  <si>
    <t>Solution; produit; service; composition</t>
  </si>
  <si>
    <t>AX-075</t>
  </si>
  <si>
    <t>Documentation ≠ réalité</t>
  </si>
  <si>
    <t>La documentation décrit et soutient le produit; sa cohérence doit être validée contre la version et les comportements réels sans devenir une preuve suffisante de leur satisfaction.</t>
  </si>
  <si>
    <t>Documentation; produit; preuve; version</t>
  </si>
  <si>
    <t>AX-083</t>
  </si>
  <si>
    <t>Syntaxe, type, format et sens demeurent distincts</t>
  </si>
  <si>
    <t>Une représentation peut respecter son format et son type tout en échouant au parsing, à la conversion, aux règles ou au sens métier; chaque coordonnée doit être validée selon son besoin.</t>
  </si>
  <si>
    <t>Format; type; parsing; conversion; sémantique</t>
  </si>
  <si>
    <t>AX-084</t>
  </si>
  <si>
    <t>Accessibilité cognitive = produit et contexte, pas diagnostic</t>
  </si>
  <si>
    <t>La Validation d’accessibilité cognitive qualifie les obstacles et possibilités du produit pour des populations et besoins déclarés; elle ne diagnostique ni ne classe les personnes.</t>
  </si>
  <si>
    <t>Accessibilité; neurodiversité; dyslexie; spectre; éthique</t>
  </si>
  <si>
    <t>AX-085</t>
  </si>
  <si>
    <t>Secouer avec garde-fous</t>
  </si>
  <si>
    <t>Une expérimentation de chaos peut révéler des faiblesses en perturbant largement le système, mais elle demeure hypothétique, autorisée, bornée, observable et réversible.</t>
  </si>
  <si>
    <t>Chaos; shakeout; résilience; rayon d’impact</t>
  </si>
  <si>
    <t>AX-086</t>
  </si>
  <si>
    <t>La pyramide priorise uniquement l’automatisation</t>
  </si>
  <si>
    <t>La pyramide ToTAL sert à déterminer quels candidats réels automatiser en premier; elle n’ordonne pas les Validations manuelles et ne classe pas universellement les types, interfaces, portées ou granularités.</t>
  </si>
  <si>
    <t>Pyramide; automatisation; backlog; priorité</t>
  </si>
  <si>
    <t>AX-087</t>
  </si>
  <si>
    <t>Dépendances avant ROI</t>
  </si>
  <si>
    <t>Les préalables et dépendances déterminent ce qui est réalisable et ce qui doit précéder; parmi les candidats réalisables, le ROI contextualisé détermine la priorité d’investissement.</t>
  </si>
  <si>
    <t>Dépendances; ROI; automatisation; investissement</t>
  </si>
  <si>
    <t>AX-088</t>
  </si>
  <si>
    <t>Manuel séparé, jamais oublié</t>
  </si>
  <si>
    <t>Les Validations qu’il est déconseillé ou inapproprié d’automatiser sont gouvernées dans un registre séparé avec leur justification et leurs conditions de réévaluation; elles ne sont pas forcées dans la pyramide.</t>
  </si>
  <si>
    <t>Manuel; automatisation; décision; réévaluation</t>
  </si>
  <si>
    <t>AX-089</t>
  </si>
  <si>
    <t>L’IA amplifie la qualité comme les défauts</t>
  </si>
  <si>
    <t>L’IA amplifie la clarté et la maîtrise lorsqu’elle reçoit des intentions, spécifications, références et garde-fous de qualité; elle amplifie aussi rapidement les ambiguïtés, erreurs, biais, vulnérabilités et fausses certitudes.</t>
  </si>
  <si>
    <t>IA; amplification; clarté; risque</t>
  </si>
  <si>
    <t>AX-090</t>
  </si>
  <si>
    <t>Valider avant de déléguer</t>
  </si>
  <si>
    <t>Avant de confier à une IA une responsabilité de réalisation ou de Validation, qualifier son rôle, ses références, ses données, ses accès, ses performances, sa supervision, ses preuves, sa confiance et ses limites.</t>
  </si>
  <si>
    <t>IA; délégation; Validation; supervision</t>
  </si>
  <si>
    <t>AX-091</t>
  </si>
  <si>
    <t>L’IA n’est pas son propre oracle</t>
  </si>
  <si>
    <t>Une IA ne constitue pas automatiquement un oracle fiable, une preuve suffisante ni une autorité de décision, même lorsqu’elle évalue une autre IA.</t>
  </si>
  <si>
    <t>IA; oracle; preuve; décision</t>
  </si>
  <si>
    <t>AX-092</t>
  </si>
  <si>
    <t>Spécifier avant d’accorder l’autonomie</t>
  </si>
  <si>
    <t>Plus une IA possède d’autonomie, d’accès ou d’effet, plus ses intentions, permissions, contraintes, critères d’arrêt, observations, recours et responsabilités doivent être explicites.</t>
  </si>
  <si>
    <t>IA; agent; autonomie; spécification</t>
  </si>
  <si>
    <t>AX-093</t>
  </si>
  <si>
    <t>Variabilité qualifiée, pas uniformité forcée</t>
  </si>
  <si>
    <t>La variabilité d’une production IA n’exige pas toujours une réponse identique, mais exige des propriétés, distributions, tolérances, populations, risques et limites acceptables déclarés.</t>
  </si>
  <si>
    <t>IA; variabilité; statistique; confiance</t>
  </si>
  <si>
    <t>Termes canoniques consolidés ToTAL</t>
  </si>
  <si>
    <t>Noyau terminologique de soutien. Les 306 expressions demeurent pilotées dans Registre expressions.</t>
  </si>
  <si>
    <t>Terme</t>
  </si>
  <si>
    <t>Définition ToTAL</t>
  </si>
  <si>
    <t>Nature</t>
  </si>
  <si>
    <t>Collisions à éviter</t>
  </si>
  <si>
    <t>TC-001</t>
  </si>
  <si>
    <t>ToTAL</t>
  </si>
  <si>
    <t>Discipline de maîtrise du système produit logiciel par clarté, qualité holistique, preuves, qualimétrie et apprentissage.</t>
  </si>
  <si>
    <t>Discipline / contexte</t>
  </si>
  <si>
    <t>Agile; DevOps; méthode projet</t>
  </si>
  <si>
    <t>TC-002</t>
  </si>
  <si>
    <t>Produit logiciel</t>
  </si>
  <si>
    <t>Ensemble durable de capacités, constituants, Services, données, interfaces et connaissances produisant des résultats utiles.</t>
  </si>
  <si>
    <t>Objet central</t>
  </si>
  <si>
    <t>Projet; solution; application</t>
  </si>
  <si>
    <t>TC-003</t>
  </si>
  <si>
    <t>Spécification ToTAL</t>
  </si>
  <si>
    <t>Attente claire et vérifiable, idéalement SI/ALORS lorsque pertinent.</t>
  </si>
  <si>
    <t>Référence</t>
  </si>
  <si>
    <t>Feature; scénario; test case</t>
  </si>
  <si>
    <t>TC-004</t>
  </si>
  <si>
    <t>Discipline confrontant réalité et attentes avec des preuves contextualisées.</t>
  </si>
  <si>
    <t>Test; vérification; approbation</t>
  </si>
  <si>
    <t>TC-005</t>
  </si>
  <si>
    <t>Test ToTAL</t>
  </si>
  <si>
    <t>Définition, objet ou mise à l’épreuve délimitée contribuant à une Validation.</t>
  </si>
  <si>
    <t>Objet / moyen de Validation</t>
  </si>
  <si>
    <t>Testing; Run; Check; preuve</t>
  </si>
  <si>
    <t>TC-006</t>
  </si>
  <si>
    <t>Opération de Validation examinant la satisfaction d’une référence déclarée.</t>
  </si>
  <si>
    <t>Finalité / opération</t>
  </si>
  <si>
    <t>Validation; contrôle</t>
  </si>
  <si>
    <t>TC-007</t>
  </si>
  <si>
    <t>Critère ToTAL</t>
  </si>
  <si>
    <t>Condition explicite utilisée pour qualifier une observation, une preuve ou une décision.</t>
  </si>
  <si>
    <t>Règle / condition</t>
  </si>
  <si>
    <t>Seuil; spécification</t>
  </si>
  <si>
    <t>TC-008</t>
  </si>
  <si>
    <t>Occurrence datée d’exécution ou d’observation dans un contexte réel.</t>
  </si>
  <si>
    <t>Occurrence</t>
  </si>
  <si>
    <t>Test; verdict</t>
  </si>
  <si>
    <t>TC-009</t>
  </si>
  <si>
    <t>Check</t>
  </si>
  <si>
    <t>Comparaison locale entre observation et référence produisant une qualification locale.</t>
  </si>
  <si>
    <t>Qualification locale</t>
  </si>
  <si>
    <t>Assertion; verdict</t>
  </si>
  <si>
    <t>TC-010</t>
  </si>
  <si>
    <t>Preuve</t>
  </si>
  <si>
    <t>Ensemble traçable soutenant une affirmation avec contexte, fraîcheur, confiance et limites.</t>
  </si>
  <si>
    <t>Soutien</t>
  </si>
  <si>
    <t>Résultat; capture</t>
  </si>
  <si>
    <t>TC-011</t>
  </si>
  <si>
    <t>Vue qualimétrique des éléments applicables, prévus, exercés, observés, prouvés et actuels.</t>
  </si>
  <si>
    <t>Agrégation</t>
  </si>
  <si>
    <t>Nombre de tests</t>
  </si>
  <si>
    <t>TC-012</t>
  </si>
  <si>
    <t>Service</t>
  </si>
  <si>
    <t>Capacité rendue disponible à un consommateur pour contribuer à une intention ou un résultat utile.</t>
  </si>
  <si>
    <t>Capacité rendue</t>
  </si>
  <si>
    <t>API; microservice; Middle Tier</t>
  </si>
  <si>
    <t>TC-013</t>
  </si>
  <si>
    <t>Fonctionnel</t>
  </si>
  <si>
    <t>Nature d’une attente décrivant ce que la cible doit accomplir.</t>
  </si>
  <si>
    <t>Nature de spécification</t>
  </si>
  <si>
    <t>Domaine métier</t>
  </si>
  <si>
    <t>TC-014</t>
  </si>
  <si>
    <t>Non fonctionnel</t>
  </si>
  <si>
    <t>Nature d’une attente portant principalement sur propriété, contrainte, convention ou structure.</t>
  </si>
  <si>
    <t>Qualité; infrastructure</t>
  </si>
  <si>
    <t>TC-015</t>
  </si>
  <si>
    <t>Qualimétrie</t>
  </si>
  <si>
    <t>Discipline de définition, collecte, contextualisation et interprétation des mesures utiles.</t>
  </si>
  <si>
    <t>Discipline de mesure</t>
  </si>
  <si>
    <t>Dashboard; KPI</t>
  </si>
  <si>
    <t>TC-016</t>
  </si>
  <si>
    <t>Small</t>
  </si>
  <si>
    <t>Granularité de Validation indivisible dans le contexte déclaré; sa division ferait perdre le sens utile de la mise à l’épreuve.</t>
  </si>
  <si>
    <t>Atomic; Unit; sous-cas technique</t>
  </si>
  <si>
    <t>TC-017</t>
  </si>
  <si>
    <t>Medium</t>
  </si>
  <si>
    <t>Granularité de Validation portant sur la relation, le passage, l’échange ou l’interaction entre deux Small.</t>
  </si>
  <si>
    <t>Integration; interface; simple regroupement</t>
  </si>
  <si>
    <t>TC-018</t>
  </si>
  <si>
    <t>Large</t>
  </si>
  <si>
    <t>Granularité de Validation d’un parcours ou d’une boucle composée de Medium et de Small, de l’entrée à la sortie ou de l’entrée au retour à l’entrée.</t>
  </si>
  <si>
    <t>E2E universel; System; simple volume</t>
  </si>
  <si>
    <t>TC-019</t>
  </si>
  <si>
    <t>Exploration dirigée</t>
  </si>
  <si>
    <t>Approche de Validation où l’intention oriente l’investigation et où la conception des prochaines mises à l’épreuve évolue selon les observations et apprentissages.</t>
  </si>
  <si>
    <t>Absence de but; clics arbitraires; absence de traçabilité</t>
  </si>
  <si>
    <t>TC-020</t>
  </si>
  <si>
    <t>Scénario de Validation</t>
  </si>
  <si>
    <t>Représentation cohérente d’une situation, d’un contexte ou d’un enchaînement de comportements à couvrir. Un scénario indique principalement quoi considérer et peut composer plusieurs spécifications, cas, chemins ou observations.</t>
  </si>
  <si>
    <t>Artefact de modélisation / couverture</t>
  </si>
  <si>
    <t>Cas détaillé; procédure; Run; récit utilisateur obligatoire</t>
  </si>
  <si>
    <t>TC-021</t>
  </si>
  <si>
    <t>Cas de Validation</t>
  </si>
  <si>
    <t>Définition bornée d’une mise à l’épreuve précisant cible, conditions, données, actions ou stimuli, observations attendues et critères. Un même cas peut produire plusieurs Runs.</t>
  </si>
  <si>
    <t>Définition de Validation</t>
  </si>
  <si>
    <t>Spécification; scénario; Run; résultat</t>
  </si>
  <si>
    <t>TC-022</t>
  </si>
  <si>
    <t>Chemin de Validation</t>
  </si>
  <si>
    <t>Séquence sélectionnée de nœuds, transitions, décisions ou états dans un modèle ou graphe afin d’exercer une trajectoire et ses résultats observables.</t>
  </si>
  <si>
    <t>Technique / unité de couverture</t>
  </si>
  <si>
    <t>Parcours utilisateur obligatoire; navigation seulement; scénario complet</t>
  </si>
  <si>
    <t>TC-023</t>
  </si>
  <si>
    <t>Navigation</t>
  </si>
  <si>
    <t>Capacité d’atteindre une destination, une information ou une fonction dans une interface ou un espace informationnel par des mécanismes cohérents, accessibles et sans rupture indésirable.</t>
  </si>
  <si>
    <t>Comportement d’interface / propriété</t>
  </si>
  <si>
    <t>Clic isolé; chemin de code; scénario complet</t>
  </si>
  <si>
    <t>TC-024</t>
  </si>
  <si>
    <t>Testing / activité de test</t>
  </si>
  <si>
    <t>Activité de concevoir, préparer, exécuter, observer, analyser et maintenir des tests ou mises à l’épreuve dans une démarche de Validation.</t>
  </si>
  <si>
    <t>Activité</t>
  </si>
  <si>
    <t>Test; Validation; Run</t>
  </si>
  <si>
    <t>TC-025</t>
  </si>
  <si>
    <t>Flux de Validation</t>
  </si>
  <si>
    <t>Modèle ou enchaînement de nœuds, états, données, événements, activités ou interactions dont les transitions peuvent être validées.</t>
  </si>
  <si>
    <t>Modèle / technique</t>
  </si>
  <si>
    <t>Path; workflow; process</t>
  </si>
  <si>
    <t>TC-026</t>
  </si>
  <si>
    <t>Validation de spécification</t>
  </si>
  <si>
    <t>Validation de la qualité et de l’utilité d’une spécification, notamment clarté, cohérence, vérifiabilité, traçabilité et absence de collision.</t>
  </si>
  <si>
    <t>Objet / référence</t>
  </si>
  <si>
    <t>Validation basée sur spécification</t>
  </si>
  <si>
    <t>TC-027</t>
  </si>
  <si>
    <t>Condition attendue</t>
  </si>
  <si>
    <t>Condition locale utilisée pour qualifier une observation dans le cadre d’une spécification plus complète.</t>
  </si>
  <si>
    <t>Critère / référence locale</t>
  </si>
  <si>
    <t>Spécification; assertion; seuil</t>
  </si>
  <si>
    <t>TC-028</t>
  </si>
  <si>
    <t>Gherkin</t>
  </si>
  <si>
    <t>Notation structurée permettant d’exprimer des règles, scénarios et exemples de comportement, sans imposer à elle seule BDD, automatisation ou preuve.</t>
  </si>
  <si>
    <t>Notation</t>
  </si>
  <si>
    <t>BDD; scénario; test</t>
  </si>
  <si>
    <t>TC-029</t>
  </si>
  <si>
    <t>Arrange–Act–Assert</t>
  </si>
  <si>
    <t>Patron de structuration distinguant préparation des conditions, stimulation de la cible et expression des observations ou Checks attendus.</t>
  </si>
  <si>
    <t>Patron de cas</t>
  </si>
  <si>
    <t>Given–When–Then; Run; Check</t>
  </si>
  <si>
    <t>TC-030</t>
  </si>
  <si>
    <t>Technique collaborative utilisant règles, exemples, questions et inconnues pour clarifier les spécifications et préparer la Validation.</t>
  </si>
  <si>
    <t>Toolbox / spécification</t>
  </si>
  <si>
    <t>Gherkin; scénario; cas</t>
  </si>
  <si>
    <t>TC-031</t>
  </si>
  <si>
    <t>Traçabilité</t>
  </si>
  <si>
    <t>Relations utiles, versionnées et vérifiables entre intentions, spécifications, modèles, réalisation, Validation, preuves, décisions et effets.</t>
  </si>
  <si>
    <t>Relation / connaissance</t>
  </si>
  <si>
    <t>Couverture; documentation exhaustive</t>
  </si>
  <si>
    <t>TC-032</t>
  </si>
  <si>
    <t>Assertion</t>
  </si>
  <si>
    <t>Affirmation ou attente locale vérifiable pouvant servir de référence à un Check.</t>
  </si>
  <si>
    <t>Critère / mécanisme local</t>
  </si>
  <si>
    <t>Spécification complète; preuve</t>
  </si>
  <si>
    <t>TC-033</t>
  </si>
  <si>
    <t>Instruction de Validation</t>
  </si>
  <si>
    <t>Action ou étape explicite destinée à un acteur ou dispositif dans une définition ou un cas de Validation.</t>
  </si>
  <si>
    <t>Étape / artefact</t>
  </si>
  <si>
    <t>Spécification; comportement</t>
  </si>
  <si>
    <t>TC-034</t>
  </si>
  <si>
    <t>Comportement</t>
  </si>
  <si>
    <t>Réaction, évolution ou résultat observable d’une cible dans des conditions déclarées.</t>
  </si>
  <si>
    <t>Objet de spécification</t>
  </si>
  <si>
    <t>Fonction; réponse; événement</t>
  </si>
  <si>
    <t>TC-035</t>
  </si>
  <si>
    <t>Événement</t>
  </si>
  <si>
    <t>Fait daté produit, reçu ou observé pouvant déclencher ou informer un comportement, une transition ou une décision.</t>
  </si>
  <si>
    <t>Interaction / observation</t>
  </si>
  <si>
    <t>Message; commande; état</t>
  </si>
  <si>
    <t>TC-036</t>
  </si>
  <si>
    <t>Réponse</t>
  </si>
  <si>
    <t>Sortie, état, effet ou réaction observable produit par une cible après un stimulus, événement ou ensemble de conditions.</t>
  </si>
  <si>
    <t>Observation attendue</t>
  </si>
  <si>
    <t>Résultat utile; message</t>
  </si>
  <si>
    <t>TC-037</t>
  </si>
  <si>
    <t>Exécution manuelle</t>
  </si>
  <si>
    <t>Mode dans lequel une personne réalise directement une ou plusieurs activités de Validation, avec contexte, observations, preuves, variabilité et limites déclarés.</t>
  </si>
  <si>
    <t>Automatisation; absence de structure; absence de preuve</t>
  </si>
  <si>
    <t>TC-038</t>
  </si>
  <si>
    <t>Workflow de Validation</t>
  </si>
  <si>
    <t>Flux de travail composé d’activités, rôles, états, transitions, décisions, règles, délais, exceptions et reprises pouvant être modélisés et validés.</t>
  </si>
  <si>
    <t>Modèle de flux / objet</t>
  </si>
  <si>
    <t>Processus complet; Path isolé; simple procédure</t>
  </si>
  <si>
    <t>TC-039</t>
  </si>
  <si>
    <t>Collaboration synchrone</t>
  </si>
  <si>
    <t>Plusieurs personnes travaillent au même moment sur une cible commune.</t>
  </si>
  <si>
    <t>Mode d’organisation</t>
  </si>
  <si>
    <t>Travaux séparés</t>
  </si>
  <si>
    <t>TC-040</t>
  </si>
  <si>
    <t>Indépendance de perspective</t>
  </si>
  <si>
    <t>Séparation déclarée apportant un regard complémentaire sans retirer la responsabilité collective.</t>
  </si>
  <si>
    <t>Organisation</t>
  </si>
  <si>
    <t>Isolement technique</t>
  </si>
  <si>
    <t>TC-041</t>
  </si>
  <si>
    <t>Isolement de Validation</t>
  </si>
  <si>
    <t>Capacité d’un Run à ne pas dépendre silencieusement de l’ordre ou des effets d’un autre Run.</t>
  </si>
  <si>
    <t>Condition d’exécution</t>
  </si>
  <si>
    <t>Indépendance organisationnelle</t>
  </si>
  <si>
    <t>TC-042</t>
  </si>
  <si>
    <t>Exécution parallèle</t>
  </si>
  <si>
    <t>Exécution simultanée de plusieurs Runs avec répartition et agrégation déclarées.</t>
  </si>
  <si>
    <t>Concurrency du produit</t>
  </si>
  <si>
    <t>TC-043</t>
  </si>
  <si>
    <t>Concurrence</t>
  </si>
  <si>
    <t>Chevauchement d’utilisateurs, sessions ou opérations partageant éventuellement des ressources.</t>
  </si>
  <si>
    <t>Condition comportementale</t>
  </si>
  <si>
    <t>TC-044</t>
  </si>
  <si>
    <t>Validation hybride</t>
  </si>
  <si>
    <t>Composition déclarée de plusieurs modes de Validation.</t>
  </si>
  <si>
    <t>Composition de modes</t>
  </si>
  <si>
    <t>Type autonome</t>
  </si>
  <si>
    <t>TC-045</t>
  </si>
  <si>
    <t>Partition d’équivalence</t>
  </si>
  <si>
    <t>Sous-ensemble dont les valeurs sont supposées traitées de manière équivalente.</t>
  </si>
  <si>
    <t>Modèle de sélection</t>
  </si>
  <si>
    <t>Frontière</t>
  </si>
  <si>
    <t>TC-046</t>
  </si>
  <si>
    <t>Limite ordonnée entre partitions avec inclusivité et voisins déclarés.</t>
  </si>
  <si>
    <t>Seuil implicite</t>
  </si>
  <si>
    <t>TC-047</t>
  </si>
  <si>
    <t>Couverture combinatoire</t>
  </si>
  <si>
    <t>Couverture d’interactions entre facteurs selon une force déclarée.</t>
  </si>
  <si>
    <t>Exhaustivité</t>
  </si>
  <si>
    <t>TC-048</t>
  </si>
  <si>
    <t>Modularité</t>
  </si>
  <si>
    <t>Organisation en constituants aux responsabilités, interfaces et dépendances explicites.</t>
  </si>
  <si>
    <t>Propriété architecturale</t>
  </si>
  <si>
    <t>Autonomie absolue</t>
  </si>
  <si>
    <t>TC-049</t>
  </si>
  <si>
    <t>Maturité de version</t>
  </si>
  <si>
    <t>État déclaré d’une occurrence ou d’un artefact dans une trajectoire de préparation et diffusion, avec population, risques et critères explicites.</t>
  </si>
  <si>
    <t>Contexte / transition</t>
  </si>
  <si>
    <t>Qualité intrinsèque; acceptation; couverture</t>
  </si>
  <si>
    <t>TC-050</t>
  </si>
  <si>
    <t>Release Candidate</t>
  </si>
  <si>
    <t>Occurrence candidate à la diffusion finale si aucune information nouvelle ne justifie une modification ou un retrait.</t>
  </si>
  <si>
    <t>Maturité / occurrence</t>
  </si>
  <si>
    <t>Décision de promotion; Gold automatique</t>
  </si>
  <si>
    <t>TC-051</t>
  </si>
  <si>
    <t>Promotion</t>
  </si>
  <si>
    <t>Décision gouvernée faisant passer un artefact identifié vers un autre état, environnement, canal ou périmètre de diffusion.</t>
  </si>
  <si>
    <t>Transition / décision</t>
  </si>
  <si>
    <t>Validation; reconstruction silencieuse</t>
  </si>
  <si>
    <t>TC-052</t>
  </si>
  <si>
    <t>Diffusion Canary</t>
  </si>
  <si>
    <t>Diffusion progressive d’une version à un sous-ensemble limité afin d’observer la réalité et limiter le rayon d’impact avant élargissement.</t>
  </si>
  <si>
    <t>Stratégie de diffusion</t>
  </si>
  <si>
    <t>Beta; simple environnement de test</t>
  </si>
  <si>
    <t>TC-053</t>
  </si>
  <si>
    <t>Mise à jour</t>
  </si>
  <si>
    <t>Transition généralement incrémentale d’une version existante dont le contenu et les impacts sont explicitement déclarés.</t>
  </si>
  <si>
    <t>Transition</t>
  </si>
  <si>
    <t>Upgrade; patch supposé sans risque</t>
  </si>
  <si>
    <t>TC-054</t>
  </si>
  <si>
    <t>Montée de version</t>
  </si>
  <si>
    <t>Transition significative vers une version, édition ou architecture pouvant exiger migration, adaptation et compatibilité nouvelles.</t>
  </si>
  <si>
    <t>Update; remplacement complet</t>
  </si>
  <si>
    <t>TC-055</t>
  </si>
  <si>
    <t>Retrait de produit</t>
  </si>
  <si>
    <t>Transition de fin de vie désactivant ou supprimant un produit, une version, des données ou des ressources avec obligations et preuves déclarées.</t>
  </si>
  <si>
    <t>Transition / CARE</t>
  </si>
  <si>
    <t>Simple suppression technique</t>
  </si>
  <si>
    <t>TC-056</t>
  </si>
  <si>
    <t>Locale</t>
  </si>
  <si>
    <t>Combinaison déclarée de paramètres linguistiques, régionaux et culturels applicable à une population et à un contexte.</t>
  </si>
  <si>
    <t>Contexte / segmentation</t>
  </si>
  <si>
    <t>Pays; langue seule; marché</t>
  </si>
  <si>
    <t>TC-057</t>
  </si>
  <si>
    <t>Internationalisation</t>
  </si>
  <si>
    <t>Capacité architecturale permettant l’adaptation à plusieurs locales sans ingénierie spécifique répétée.</t>
  </si>
  <si>
    <t>Propriété / architecture</t>
  </si>
  <si>
    <t>Localisation; traduction</t>
  </si>
  <si>
    <t>TC-058</t>
  </si>
  <si>
    <t>Localisation</t>
  </si>
  <si>
    <t>Adaptation d’un produit internationalisé à un locale ciblé par ses contenus, formats, conventions et contraintes.</t>
  </si>
  <si>
    <t>Adaptation / version</t>
  </si>
  <si>
    <t>Internationalisation; pays</t>
  </si>
  <si>
    <t>TC-059</t>
  </si>
  <si>
    <t>Globalisation</t>
  </si>
  <si>
    <t>Capacité et couverture du produit à travers plusieurs locales, régions et marchés déclarés.</t>
  </si>
  <si>
    <t>Vue composée / couverture</t>
  </si>
  <si>
    <t>Universalité; simple traduction</t>
  </si>
  <si>
    <t>TC-060</t>
  </si>
  <si>
    <t>Portabilité</t>
  </si>
  <si>
    <t>Capacité de transférer un produit ou constituant entre environnements déclarés avec effort, adaptations et effets maîtrisés.</t>
  </si>
  <si>
    <t>Propriété</t>
  </si>
  <si>
    <t>Compatibilité statique; copie de fichiers</t>
  </si>
  <si>
    <t>TC-061</t>
  </si>
  <si>
    <t>Matrice de compatibilité</t>
  </si>
  <si>
    <t>Ensemble versionné des combinaisons applicables de plateformes, navigateurs, OS, appareils, versions et configurations.</t>
  </si>
  <si>
    <t>Modèle / couverture</t>
  </si>
  <si>
    <t>Liste exhaustive implicite</t>
  </si>
  <si>
    <t>TC-062</t>
  </si>
  <si>
    <t>Profil de charge</t>
  </si>
  <si>
    <t>Modèle versionné des populations, parcours, volumes, cadences, concurrence, données et variations temporelles appliqués à une cible.</t>
  </si>
  <si>
    <t>Modèle de performance</t>
  </si>
  <si>
    <t>Nombre d’utilisateurs isolé; trafic arbitraire</t>
  </si>
  <si>
    <t>TC-063</t>
  </si>
  <si>
    <t>Performance dans le temps</t>
  </si>
  <si>
    <t>Comportements de délai, débit, utilisation, capacité et stabilité observés sous conditions et fenêtres déclarées.</t>
  </si>
  <si>
    <t>Propriété composée</t>
  </si>
  <si>
    <t>Vitesse unique; moyenne sans distribution</t>
  </si>
  <si>
    <t>TC-064</t>
  </si>
  <si>
    <t>Fiabilité</t>
  </si>
  <si>
    <t>Capacité d’accomplir les fonctions spécifiées sous des conditions et pendant une période déclarées.</t>
  </si>
  <si>
    <t>Disponibilité seule; absence absolue de panne</t>
  </si>
  <si>
    <t>TC-065</t>
  </si>
  <si>
    <t>Récupérabilité</t>
  </si>
  <si>
    <t>Capacité de restaurer capacités, données et états après une défaillance dans des objectifs déclarés.</t>
  </si>
  <si>
    <t>Simple redémarrage</t>
  </si>
  <si>
    <t>TC-066</t>
  </si>
  <si>
    <t>Disponibilité</t>
  </si>
  <si>
    <t>Capacité d’un Service à être opérationnel et accessible lorsque requis dans une fenêtre et un périmètre déclarés.</t>
  </si>
  <si>
    <t>Propriété / mesure</t>
  </si>
  <si>
    <t>Fiabilité totale; santé globale</t>
  </si>
  <si>
    <t>TC-067</t>
  </si>
  <si>
    <t>Vulnérabilité</t>
  </si>
  <si>
    <t>Faiblesse susceptible d’être exploitée dans des conditions déclarées, avec probabilité, impact et preuves contextualisés.</t>
  </si>
  <si>
    <t>Risque / objet</t>
  </si>
  <si>
    <t>Incident confirmé; exploitation automatique</t>
  </si>
  <si>
    <t>TC-068</t>
  </si>
  <si>
    <t>Baseline visuelle</t>
  </si>
  <si>
    <t>Représentation visuelle versionnée, revue et retenue comme référence pour une comparaison ultérieure dans un contexte déclaré.</t>
  </si>
  <si>
    <t>Référence / preuve</t>
  </si>
  <si>
    <t>Vérité esthétique; capture quelconque; spécification complète</t>
  </si>
  <si>
    <t>TC-069</t>
  </si>
  <si>
    <t>Différence visuelle</t>
  </si>
  <si>
    <t>Écart localisé entre une observation visuelle et une référence, produit par une méthode de comparaison avec tolérances et exclusions déclarées.</t>
  </si>
  <si>
    <t>Observation / résultat</t>
  </si>
  <si>
    <t>Défaut confirmé; décision</t>
  </si>
  <si>
    <t>TC-070</t>
  </si>
  <si>
    <t>Expérimentation comparative</t>
  </si>
  <si>
    <t>Protocole comparant des variantes sous conditions contrôlées afin d’estimer une différence sur des mesures et populations déclarées.</t>
  </si>
  <si>
    <t>Investigation / apprentissage</t>
  </si>
  <si>
    <t>Simple comparaison descriptive; causalité automatique</t>
  </si>
  <si>
    <t>TC-071</t>
  </si>
  <si>
    <t>Variante expérimentale</t>
  </si>
  <si>
    <t>Occurrence versionnée d’une expérience assignée à une population ou unité d’observation selon un protocole déclaré.</t>
  </si>
  <si>
    <t>Occurrence / expérimentation</t>
  </si>
  <si>
    <t>Release générale; Feature abstraite</t>
  </si>
  <si>
    <t>TC-072</t>
  </si>
  <si>
    <t>Preset de Validation</t>
  </si>
  <si>
    <t>Ensemble versionné et réutilisable de conditions, données, configurations, états ou paramètres préparant une cible pour des exécutions comparables.</t>
  </si>
  <si>
    <t>Préparation / artefact</t>
  </si>
  <si>
    <t>Cas de Validation; fixture; jeu de données; baseline; configuration par défaut</t>
  </si>
  <si>
    <t>TC-073</t>
  </si>
  <si>
    <t>Approche transversale intégrant prévention, clarification, investigation, Validation, preuve et apprentissage au fur et à mesure dans toutes les phases de la réalisation et jusque dans CARE.</t>
  </si>
  <si>
    <t>Approche / organisation transversale</t>
  </si>
  <si>
    <t>Campagne finale; exhaustivité; System testing; Continuous testing</t>
  </si>
  <si>
    <t>TC-074</t>
  </si>
  <si>
    <t>Sonde synthétique</t>
  </si>
  <si>
    <t>Dispositif versionné produisant une stimulation artificielle contrôlée et des observations reproductibles sur une cible, indépendamment d’un usage humain réel.</t>
  </si>
  <si>
    <t>Instrument / source qualimétrique</t>
  </si>
  <si>
    <t>RUM; utilisateur virtuel de charge; simple ping; preuve complète</t>
  </si>
  <si>
    <t>TC-075</t>
  </si>
  <si>
    <t>Signal synthétique</t>
  </si>
  <si>
    <t>Fait ou mesure issu d’une stimulation synthétique, contextualisé par son scénario, son environnement, sa fenêtre, sa référence et ses limites.</t>
  </si>
  <si>
    <t>Signal / mesure</t>
  </si>
  <si>
    <t>Réalité complète des utilisateurs; conclusion; décision</t>
  </si>
  <si>
    <t>TC-076</t>
  </si>
  <si>
    <t>Obligation applicable</t>
  </si>
  <si>
    <t>Exigence issue d’une autorité, d’un engagement, d’une norme imposée ou d’une politique autorisée, versionnée et applicable à un objet et un contexte déclarés.</t>
  </si>
  <si>
    <t>Référence / gouvernance</t>
  </si>
  <si>
    <t>Bonne pratique facultative; préférence; interprétation non autorisée</t>
  </si>
  <si>
    <t>TC-077</t>
  </si>
  <si>
    <t>Conformité</t>
  </si>
  <si>
    <t>Qualification contextualisée de la satisfaction d’obligations ou références applicables, avec portée, preuves, écarts, dérogations, confiance et limites.</t>
  </si>
  <si>
    <t>Finalité / qualification</t>
  </si>
  <si>
    <t>Certification; légalité absolue; absence totale de risque</t>
  </si>
  <si>
    <t>TC-078</t>
  </si>
  <si>
    <t>Dérogation</t>
  </si>
  <si>
    <t>Exception autorisée, documentée, bornée et réévaluable à une obligation ou référence applicable.</t>
  </si>
  <si>
    <t>Gouvernance / décision</t>
  </si>
  <si>
    <t>Omission silencieuse; non-conformité ignorée</t>
  </si>
  <si>
    <t>TC-079</t>
  </si>
  <si>
    <t>Projet</t>
  </si>
  <si>
    <t>Initiative temporaire gouvernée visant des résultats, livrables ou transitions déclarés.</t>
  </si>
  <si>
    <t>Contexte / réalisation temporaire</t>
  </si>
  <si>
    <t>Produit durable; solution; simple liste de tâches</t>
  </si>
  <si>
    <t>TC-080</t>
  </si>
  <si>
    <t>Solution</t>
  </si>
  <si>
    <t>Composition contextualisée de produits, Services, processus, données, infrastructures, personnes ou changements visant un besoin ou résultat.</t>
  </si>
  <si>
    <t>Objet composé / réponse</t>
  </si>
  <si>
    <t>Produit unique; système unique; projet</t>
  </si>
  <si>
    <t>TC-081</t>
  </si>
  <si>
    <t>Processus</t>
  </si>
  <si>
    <t>Ensemble organisé d’entrées, activités, décisions, rôles, contrôles et sorties visant un résultat déclaré.</t>
  </si>
  <si>
    <t>Objet / transformation</t>
  </si>
  <si>
    <t>Workflow isolé; procédure; projet; test process</t>
  </si>
  <si>
    <t>TC-082</t>
  </si>
  <si>
    <t>Documentation produit</t>
  </si>
  <si>
    <t>Contenus versionnés qui décrivent, expliquent, enseignent, configurent, exploitent ou soutiennent le produit et ses usages.</t>
  </si>
  <si>
    <t>Artefact produit / connaissance</t>
  </si>
  <si>
    <t>Produit réel; spécification seule; contenu marketing complet</t>
  </si>
  <si>
    <t>TC-083</t>
  </si>
  <si>
    <t>Happy Path</t>
  </si>
  <si>
    <t>Parcours nominal ou privilégié dans lequel les conditions attendues sont satisfaites et l’objectif est atteint sans exception.</t>
  </si>
  <si>
    <t>Parcours / modèle</t>
  </si>
  <si>
    <t>Edge Case; Alternate flow; Exception flow</t>
  </si>
  <si>
    <t>TC-084</t>
  </si>
  <si>
    <t>Alternate Flow</t>
  </si>
  <si>
    <t>Parcours métier différent du parcours nominal, explicitement prévu et conduisant à une conclusion valide ou maîtrisée.</t>
  </si>
  <si>
    <t>Exception flow; erreur technique</t>
  </si>
  <si>
    <t>TC-085</t>
  </si>
  <si>
    <t>Exception Flow</t>
  </si>
  <si>
    <t>Parcours déclenché par une faute, une impossibilité, une interruption ou une condition dégradée susceptible d’empêcher l’objectif nominal.</t>
  </si>
  <si>
    <t>Parcours / résilience</t>
  </si>
  <si>
    <t>Alternate flow; Negative testing</t>
  </si>
  <si>
    <t>TC-086</t>
  </si>
  <si>
    <t>Edge Case</t>
  </si>
  <si>
    <t>Cas situé aux limites, aux extrêmes ou aux intersections sensibles d’un domaine applicable.</t>
  </si>
  <si>
    <t>Sélection / condition</t>
  </si>
  <si>
    <t>Tout ce qui n’est pas Happy Path; exhaustive testing</t>
  </si>
  <si>
    <t>TC-087</t>
  </si>
  <si>
    <t>End User</t>
  </si>
  <si>
    <t>Personne réelle ou représentative qui utilise le produit pour accomplir ses pratiques et résultats quotidiens.</t>
  </si>
  <si>
    <t>Population / perspective</t>
  </si>
  <si>
    <t>Autorité UAT; persona abstraite</t>
  </si>
  <si>
    <t>TC-088</t>
  </si>
  <si>
    <t>Miroir de Validation</t>
  </si>
  <si>
    <t>Relation déclarée entre une source et une représentation réfléchie, inversée, répliquée ou parallèle utilisée pour comparer des propriétés, résultats ou comportements.</t>
  </si>
  <si>
    <t>Technique / relation comparative</t>
  </si>
  <si>
    <t>Copie de sauvegarde; baseline implicite; équivalence automatique</t>
  </si>
  <si>
    <t>TC-089</t>
  </si>
  <si>
    <t>Support produit</t>
  </si>
  <si>
    <t>Capacité organisée d’assister les populations avant, pendant et après l’usage, puis de réinjecter les apprentissages vers le produit.</t>
  </si>
  <si>
    <t>Service / capacité d’assistance</t>
  </si>
  <si>
    <t>Logiciel de tickets; Help; Contact; exploitation</t>
  </si>
  <si>
    <t>TC-090</t>
  </si>
  <si>
    <t>Tutoriel produit</t>
  </si>
  <si>
    <t>Parcours pédagogique guidé visant un objectif d’apprentissage ou l’accomplissement d’une tâche.</t>
  </si>
  <si>
    <t>Contenu pédagogique</t>
  </si>
  <si>
    <t>Documentation complète; aide contextuelle; intuitivité</t>
  </si>
  <si>
    <t>TC-091</t>
  </si>
  <si>
    <t>Aide produit</t>
  </si>
  <si>
    <t>Information ou mécanisme disponible au point de besoin pour comprendre une situation ou poursuivre une intention.</t>
  </si>
  <si>
    <t>Contenu / assistance</t>
  </si>
  <si>
    <t>Tutoriel; documentation complète; support humain</t>
  </si>
  <si>
    <t>TC-092</t>
  </si>
  <si>
    <t>Contactabilité</t>
  </si>
  <si>
    <t>Capacité d’identifier et joindre le bon point de contact ou canal pour une intention déclarée.</t>
  </si>
  <si>
    <t>Interface / relation</t>
  </si>
  <si>
    <t>Communication complète; support; intégration</t>
  </si>
  <si>
    <t>TC-093</t>
  </si>
  <si>
    <t>Condition positive</t>
  </si>
  <si>
    <t>Condition valide et autorisée appartenant au domaine attendu.</t>
  </si>
  <si>
    <t>Happy Path unique; acceptation</t>
  </si>
  <si>
    <t>TC-094</t>
  </si>
  <si>
    <t>Condition négative</t>
  </si>
  <si>
    <t>Condition invalide, interdite, absente, inattendue ou hors du domaine accepté.</t>
  </si>
  <si>
    <t>Tout parcours alternatif; Edge Case</t>
  </si>
  <si>
    <t>TC-095</t>
  </si>
  <si>
    <t>Relation inverse</t>
  </si>
  <si>
    <t>Relation dans laquelle une opération ou transformation inverse doit retrouver une source, une propriété ou une référence déclarée.</t>
  </si>
  <si>
    <t>Technique / relation</t>
  </si>
  <si>
    <t>Backward compatibility; Negative; Reverse stress</t>
  </si>
  <si>
    <t>TC-096</t>
  </si>
  <si>
    <t>Vue locale et dynamique ordonnant les candidats réels à l’automatisation selon leurs préalables et dépendances, puis selon leur ROI contextualisé afin de déterminer quoi automatiser en premier.</t>
  </si>
  <si>
    <t>Priorisation / portefeuille d’automatisation</t>
  </si>
  <si>
    <t>Pyramide universelle de types; hiérarchie de coût; tests manuels</t>
  </si>
  <si>
    <t>TC-097</t>
  </si>
  <si>
    <t>Fondamental d’automatisation</t>
  </si>
  <si>
    <t>Candidat ou capacité qui doit précéder, soutient ou débloque d’autres automatisations dans le contexte déclaré.</t>
  </si>
  <si>
    <t>Groupe structurel local</t>
  </si>
  <si>
    <t>Small; Unit; faible coût automatique</t>
  </si>
  <si>
    <t>TC-098</t>
  </si>
  <si>
    <t>Relationnel d’automatisation</t>
  </si>
  <si>
    <t>Candidat automatisé centré sur une relation, interaction, composition, transition ou échange entre objets déclarés.</t>
  </si>
  <si>
    <t>Medium obligatoire; Integration universelle</t>
  </si>
  <si>
    <t>TC-099</t>
  </si>
  <si>
    <t>Aboutissement d’automatisation</t>
  </si>
  <si>
    <t>Candidat automatisé produisant une confirmation autonome, terminale ou de synthèse à partir de capacités et relations disponibles.</t>
  </si>
  <si>
    <t>Large obligatoire; E2E universel; sommet coûteux</t>
  </si>
  <si>
    <t>TC-100</t>
  </si>
  <si>
    <t>Registre des Validations manuelles conservées</t>
  </si>
  <si>
    <t>Vue séparée documentant les Validations dont l’automatisation est déconseillée, non rentable, non réalisable ou inappropriée dans le contexte courant.</t>
  </si>
  <si>
    <t>Étage de la pyramide; échec d’automatisation</t>
  </si>
  <si>
    <t>TC-101</t>
  </si>
  <si>
    <t>Validation d’un système utilisant l’IA</t>
  </si>
  <si>
    <t>Validation d’un produit ou constituant IA dans son contexte d’usage, incluant modèles, agents, prompts, données, connaissances, outils, comportements, décisions, sorties et effets.</t>
  </si>
  <si>
    <t>Objet / domaine transversal</t>
  </si>
  <si>
    <t>Validation avec l’IA; simple exactitude; modèle isolé</t>
  </si>
  <si>
    <t>TC-102</t>
  </si>
  <si>
    <t>Réalisation assistée par l’IA</t>
  </si>
  <si>
    <t>Emploi qualifié de l’IA comme contributeur à l’élicitation, aux spécifications, modèles, standards, stratégies, conception, code, configuration, documentation et apprentissage.</t>
  </si>
  <si>
    <t>Mode de contribution à la réalisation</t>
  </si>
  <si>
    <t>Autorité; preuve; réalisation autonome non gouvernée</t>
  </si>
  <si>
    <t>TC-103</t>
  </si>
  <si>
    <t>Validation assistée par l’IA</t>
  </si>
  <si>
    <t>Emploi qualifié de l’IA comme assistant, instrument, évaluateur ou agent soutenant les activités de Validation, la couverture, l’analyse, l’automatisation, les preuves et la qualimétrie.</t>
  </si>
  <si>
    <t>Mode / instrument de Validation</t>
  </si>
  <si>
    <t>Oracle intrinsèque; preuve automatique; décision</t>
  </si>
  <si>
    <t>TC-104</t>
  </si>
  <si>
    <t>Validation des prompts et instructions</t>
  </si>
  <si>
    <t>Validation de la clarté, cohérence, efficacité, robustesse, sécurité, maintenabilité et adéquation des prompts, contextes, exemples, contraintes, politiques et instructions transmis à une IA.</t>
  </si>
  <si>
    <t>Objet / spécification / configuration</t>
  </si>
  <si>
    <t>Système IA complet; simple rédaction; résultat produit</t>
  </si>
  <si>
    <t>TC-105</t>
  </si>
  <si>
    <t>Ancrage IA</t>
  </si>
  <si>
    <t>Degré auquel une production IA est soutenue par les sources, données, références ou connaissances autorisées et applicables au contexte.</t>
  </si>
  <si>
    <t>Propriété / preuve / confiance</t>
  </si>
  <si>
    <t>Vérité absolue; citation seule; similarité</t>
  </si>
  <si>
    <t>TC-106</t>
  </si>
  <si>
    <t>Évaluateur IA qualifié</t>
  </si>
  <si>
    <t>IA employée pour produire une qualification dont le mandat, les références, performances, biais, variabilité, faux résultats, supervision, confiance et limites ont été évalués.</t>
  </si>
  <si>
    <t>Instrument / source de qualification</t>
  </si>
  <si>
    <t>Oracle automatique; juge souverain; preuve suffisante</t>
  </si>
  <si>
    <t>TC-107</t>
  </si>
  <si>
    <t>Validation agentique</t>
  </si>
  <si>
    <t>Validation d’un agent IA et de son autonomie, planification, mémoire, appels d’outils, décisions, séquences, permissions, erreurs, récupération, limites et effets.</t>
  </si>
  <si>
    <t>Objet / comportement / orchestration</t>
  </si>
  <si>
    <t>Modèle isolé; simple conversation; automatisation classique</t>
  </si>
  <si>
    <t>Phases de réalisation du produit</t>
  </si>
  <si>
    <t>Tout traverse la trajectoire globale.</t>
  </si>
  <si>
    <t>Phase</t>
  </si>
  <si>
    <t>Finalité</t>
  </si>
  <si>
    <t>PH-001</t>
  </si>
  <si>
    <t>Éliciter</t>
  </si>
  <si>
    <t>Intentions et besoins</t>
  </si>
  <si>
    <t>PH-002</t>
  </si>
  <si>
    <t>Définir</t>
  </si>
  <si>
    <t>Spécifications et modèles</t>
  </si>
  <si>
    <t>PH-003</t>
  </si>
  <si>
    <t>Planifier</t>
  </si>
  <si>
    <t>Stratégie et investissement</t>
  </si>
  <si>
    <t>PH-004</t>
  </si>
  <si>
    <t>Implémenter</t>
  </si>
  <si>
    <t>Réalisation</t>
  </si>
  <si>
    <t>PH-005</t>
  </si>
  <si>
    <t>Diffuser</t>
  </si>
  <si>
    <t>Mise à disposition</t>
  </si>
  <si>
    <t>PH-006</t>
  </si>
  <si>
    <t>Confirmer</t>
  </si>
  <si>
    <t>Validation et apprentissage</t>
  </si>
  <si>
    <t>Documentation et modèles</t>
  </si>
  <si>
    <t>Spécification, modélisation, toolbox et apprentissage.</t>
  </si>
  <si>
    <t>Principe</t>
  </si>
  <si>
    <t>DOC-001</t>
  </si>
  <si>
    <t>Spécification vivante</t>
  </si>
  <si>
    <t>Attente claire et vérifiable</t>
  </si>
  <si>
    <t>DOC-002</t>
  </si>
  <si>
    <t>Modélisation produit</t>
  </si>
  <si>
    <t>Représentation utile du produit</t>
  </si>
  <si>
    <t>DOC-003</t>
  </si>
  <si>
    <t>Investigation documentée</t>
  </si>
  <si>
    <t>Question, cible, contexte, observations et limites</t>
  </si>
  <si>
    <t>DOC-004</t>
  </si>
  <si>
    <t>Toolbox ToTAL</t>
  </si>
  <si>
    <t>Techniques, instruments et dispositifs</t>
  </si>
  <si>
    <t>DOC-005</t>
  </si>
  <si>
    <t>Traçabilité utile</t>
  </si>
  <si>
    <t>Liens entre intention, preuve, décision et effet</t>
  </si>
  <si>
    <t>DOC-007</t>
  </si>
  <si>
    <t>Transition versionnée</t>
  </si>
  <si>
    <t>Documenter états source et cible, artefact, configuration, population, critères, décision, rollback et effet réel dans CARE.</t>
  </si>
  <si>
    <t>DOC-008</t>
  </si>
  <si>
    <t>Références visuelles gouvernées</t>
  </si>
  <si>
    <t>Versionner baselines, environnements, tolérances, exclusions, revues, décisions et historique des changements visuels.</t>
  </si>
  <si>
    <t>DOC-009</t>
  </si>
  <si>
    <t>Sondes synthétiques versionnées</t>
  </si>
  <si>
    <t>Documenter intention, scénario, cible, phase, environnement, fréquence, observations, métriques, références, coût, impact et limites.</t>
  </si>
  <si>
    <t>DOC-010</t>
  </si>
  <si>
    <t>Références de conformité versionnées</t>
  </si>
  <si>
    <t>Documenter autorité, juridiction, référence et version, applicabilité, exigences, contrôles, preuves, écarts, dérogations, décisions et réévaluation.</t>
  </si>
  <si>
    <t>Contrat canonique de Validation ToTAL</t>
  </si>
  <si>
    <t>Grille de classement et de réconciliation des expressions, sans créer une liste plate de types.</t>
  </si>
  <si>
    <t>Coordonnée</t>
  </si>
  <si>
    <t>Question</t>
  </si>
  <si>
    <t>Exemples</t>
  </si>
  <si>
    <t>Exigence</t>
  </si>
  <si>
    <t>VAL-001</t>
  </si>
  <si>
    <t>Intention</t>
  </si>
  <si>
    <t>Pourquoi voulons-nous valider?</t>
  </si>
  <si>
    <t>Investigation; apprentissage; confirmation; conformité; décision</t>
  </si>
  <si>
    <t>Obligatoire</t>
  </si>
  <si>
    <t>VAL-002</t>
  </si>
  <si>
    <t>Objet / cible</t>
  </si>
  <si>
    <t>Sur quoi et sur quelle occurrence porte la Validation?</t>
  </si>
  <si>
    <t>Produit; Feature; Service; composant; artefact; version; environnement</t>
  </si>
  <si>
    <t>VAL-003</t>
  </si>
  <si>
    <t>Attente / spécification</t>
  </si>
  <si>
    <t>À quelle attente la réalité est-elle confrontée?</t>
  </si>
  <si>
    <t>Spécification; contrat; règle; baseline visuelle; hypothèse; obligation applicable; norme versionnée</t>
  </si>
  <si>
    <t>Obligatoire sauf investigation ouverte</t>
  </si>
  <si>
    <t>VAL-004</t>
  </si>
  <si>
    <t>Portée</t>
  </si>
  <si>
    <t>Quelle étendue est exercée ou observée?</t>
  </si>
  <si>
    <t>Atomique; unité; composant; système; inter-systèmes; E2E</t>
  </si>
  <si>
    <t>VAL-005</t>
  </si>
  <si>
    <t>Tier / interface / perspective</t>
  </si>
  <si>
    <t>Où, par où et avec quelle connaissance?</t>
  </si>
  <si>
    <t>Front/Middle/Back; UI/API/machine; Black/Gray/White</t>
  </si>
  <si>
    <t>Conditionnel</t>
  </si>
  <si>
    <t>VAL-006</t>
  </si>
  <si>
    <t>Propriété / finalité</t>
  </si>
  <si>
    <t>Que qualifie-t-on et pourquoi?</t>
  </si>
  <si>
    <t>Performance; sécurité; accessibilité; régression; acceptation</t>
  </si>
  <si>
    <t>VAL-007</t>
  </si>
  <si>
    <t>Contexte</t>
  </si>
  <si>
    <t>Dans quelle démarche ou situation?</t>
  </si>
  <si>
    <t>ToTAL; Agile; DevOps; CARE; incident</t>
  </si>
  <si>
    <t>VAL-008</t>
  </si>
  <si>
    <t>Technique / instrument / mode</t>
  </si>
  <si>
    <t>Comment et avec quoi?</t>
  </si>
  <si>
    <t>Exploratoire; comparaison; pixel-diff; expérimentation A/B; script; sonde; humaine; automatisée</t>
  </si>
  <si>
    <t>VAL-009</t>
  </si>
  <si>
    <t>Conditions / population</t>
  </si>
  <si>
    <t>Quelles préconditions, données, populations et environnements?</t>
  </si>
  <si>
    <t>Configuration; dépendances; jeux de données; utilisateurs; preset versionné</t>
  </si>
  <si>
    <t>VAL-010</t>
  </si>
  <si>
    <t>Observations / critères</t>
  </si>
  <si>
    <t>Quels faits et comment les qualifier localement?</t>
  </si>
  <si>
    <t>États; traces; mesures; différence visuelle; Expected/Actual; seuil; inconclusif</t>
  </si>
  <si>
    <t>VAL-011</t>
  </si>
  <si>
    <t>Preuve / confiance / limites</t>
  </si>
  <si>
    <t>Quel soutien et quel crédit?</t>
  </si>
  <si>
    <t>Artefacts; répétitions; représentativité; biais; inconnues; preuves d’audit; dérogations</t>
  </si>
  <si>
    <t>VAL-012</t>
  </si>
  <si>
    <t>Métriques / fraîcheur / contribution</t>
  </si>
  <si>
    <t>Comment mesurer, pendant combien de temps, et pour quel effet produit?</t>
  </si>
  <si>
    <t>Taux; durée; fenêtre; risque; satisfaction; valeur; pérennité</t>
  </si>
  <si>
    <t>Obligatoire selon besoin</t>
  </si>
  <si>
    <t>Relations canoniques ToTAL</t>
  </si>
  <si>
    <t>Graphe relationnel minimal de la maîtrise du produit.</t>
  </si>
  <si>
    <t>Sujet</t>
  </si>
  <si>
    <t>Relation</t>
  </si>
  <si>
    <t>Objet</t>
  </si>
  <si>
    <t>REL-001</t>
  </si>
  <si>
    <t>motive</t>
  </si>
  <si>
    <t>Résultat utile</t>
  </si>
  <si>
    <t>REL-002</t>
  </si>
  <si>
    <t>Produit</t>
  </si>
  <si>
    <t>rend disponible</t>
  </si>
  <si>
    <t>Capacité / Service</t>
  </si>
  <si>
    <t>REL-003</t>
  </si>
  <si>
    <t>rend</t>
  </si>
  <si>
    <t>Capacité à un consommateur</t>
  </si>
  <si>
    <t>REL-004</t>
  </si>
  <si>
    <t>Attente</t>
  </si>
  <si>
    <t>est clarifiée en</t>
  </si>
  <si>
    <t>Spécification</t>
  </si>
  <si>
    <t>REL-005</t>
  </si>
  <si>
    <t>Validation</t>
  </si>
  <si>
    <t>confronte</t>
  </si>
  <si>
    <t>Réalité et spécification</t>
  </si>
  <si>
    <t>REL-006</t>
  </si>
  <si>
    <t>Test</t>
  </si>
  <si>
    <t>contribue à</t>
  </si>
  <si>
    <t>REL-007</t>
  </si>
  <si>
    <t>Définition de validation</t>
  </si>
  <si>
    <t>produit</t>
  </si>
  <si>
    <t>REL-008</t>
  </si>
  <si>
    <t>Observations / mesures</t>
  </si>
  <si>
    <t>REL-009</t>
  </si>
  <si>
    <t>compare</t>
  </si>
  <si>
    <t>Observation et référence</t>
  </si>
  <si>
    <t>REL-010</t>
  </si>
  <si>
    <t>soutient</t>
  </si>
  <si>
    <t>Affirmation</t>
  </si>
  <si>
    <t>REL-011</t>
  </si>
  <si>
    <t>agrège</t>
  </si>
  <si>
    <t>Relations et preuves</t>
  </si>
  <si>
    <t>REL-012</t>
  </si>
  <si>
    <t>éclaire</t>
  </si>
  <si>
    <t>Recommandation / décision</t>
  </si>
  <si>
    <t>REL-013</t>
  </si>
  <si>
    <t>CARE</t>
  </si>
  <si>
    <t>observe</t>
  </si>
  <si>
    <t>Effet réel</t>
  </si>
  <si>
    <t>REL-014</t>
  </si>
  <si>
    <t>révise</t>
  </si>
  <si>
    <t>Intention / spécification / investissement</t>
  </si>
  <si>
    <t>REL-015</t>
  </si>
  <si>
    <t>compose / organise</t>
  </si>
  <si>
    <t>Spécifications, cas, chemins et observations</t>
  </si>
  <si>
    <t>REL-016</t>
  </si>
  <si>
    <t>met à l’épreuve</t>
  </si>
  <si>
    <t>Intention / spécification / hypothèse</t>
  </si>
  <si>
    <t>REL-017</t>
  </si>
  <si>
    <t>produit lors de son exécution</t>
  </si>
  <si>
    <t>REL-018</t>
  </si>
  <si>
    <t>exerce</t>
  </si>
  <si>
    <t>Chemins d’un modèle ou graphe</t>
  </si>
  <si>
    <t>REL-019</t>
  </si>
  <si>
    <t>qualifie</t>
  </si>
  <si>
    <t>Accès à une destination, information ou capacité</t>
  </si>
  <si>
    <t>REL-020</t>
  </si>
  <si>
    <t>Testing</t>
  </si>
  <si>
    <t>réalise et maintient</t>
  </si>
  <si>
    <t>Tests dans une démarche de Validation</t>
  </si>
  <si>
    <t>REL-021</t>
  </si>
  <si>
    <t>REL-022</t>
  </si>
  <si>
    <t>compose</t>
  </si>
  <si>
    <t>Nœuds, transitions, branches et boucles</t>
  </si>
  <si>
    <t>REL-023</t>
  </si>
  <si>
    <t>référence</t>
  </si>
  <si>
    <t>REL-024</t>
  </si>
  <si>
    <t>Clarté, cohérence et vérifiabilité</t>
  </si>
  <si>
    <t>REL-025</t>
  </si>
  <si>
    <t>Spécification / Check</t>
  </si>
  <si>
    <t>REL-026</t>
  </si>
  <si>
    <t>exprime</t>
  </si>
  <si>
    <t>Règles, scénarios et exemples</t>
  </si>
  <si>
    <t>REL-027</t>
  </si>
  <si>
    <t>structure</t>
  </si>
  <si>
    <t>REL-028</t>
  </si>
  <si>
    <t>clarifie</t>
  </si>
  <si>
    <t>Règles, exemples, questions et inconnues</t>
  </si>
  <si>
    <t>REL-029</t>
  </si>
  <si>
    <t>relie</t>
  </si>
  <si>
    <t>Intention, spécification, réalisation, preuve et effet</t>
  </si>
  <si>
    <t>REL-030</t>
  </si>
  <si>
    <t>référence localement</t>
  </si>
  <si>
    <t>REL-031</t>
  </si>
  <si>
    <t>décrit</t>
  </si>
  <si>
    <t>Action d’un cas ou d’une définition</t>
  </si>
  <si>
    <t>REL-032</t>
  </si>
  <si>
    <t>déclenche ou informe</t>
  </si>
  <si>
    <t>REL-033</t>
  </si>
  <si>
    <t>Réponse / état / effet</t>
  </si>
  <si>
    <t>REL-034</t>
  </si>
  <si>
    <t>Mode humain de préparation, stimulation, observation, comparaison ou investigation</t>
  </si>
  <si>
    <t>REL-035</t>
  </si>
  <si>
    <t>spécialise</t>
  </si>
  <si>
    <t>Flow testing pour un flux de travail déclaré</t>
  </si>
  <si>
    <t>REL-036</t>
  </si>
  <si>
    <t>redirige vers</t>
  </si>
  <si>
    <t>REL-049</t>
  </si>
  <si>
    <t>Version précoce dans un périmètre contrôlé</t>
  </si>
  <si>
    <t>REL-050</t>
  </si>
  <si>
    <t>élargit</t>
  </si>
  <si>
    <t>Population et contextes observés avant diffusion générale</t>
  </si>
  <si>
    <t>REL-051</t>
  </si>
  <si>
    <t>peut devenir</t>
  </si>
  <si>
    <t>Version diffusée après décision gouvernée</t>
  </si>
  <si>
    <t>REL-052</t>
  </si>
  <si>
    <t>déplace</t>
  </si>
  <si>
    <t>Artefact identifié entre états ou périmètres</t>
  </si>
  <si>
    <t>REL-053</t>
  </si>
  <si>
    <t>Version sur un sous-ensemble limité avant élargissement</t>
  </si>
  <si>
    <t>REL-054</t>
  </si>
  <si>
    <t>Transition incrémentale entre versions</t>
  </si>
  <si>
    <t>REL-055</t>
  </si>
  <si>
    <t>Transition majeure entre versions ou architectures</t>
  </si>
  <si>
    <t>REL-056</t>
  </si>
  <si>
    <t>confirme</t>
  </si>
  <si>
    <t>Retrait, conservation, suppression et révocation attendus</t>
  </si>
  <si>
    <t>REL-057</t>
  </si>
  <si>
    <t>permet</t>
  </si>
  <si>
    <t>Adaptation à plusieurs locales</t>
  </si>
  <si>
    <t>REL-058</t>
  </si>
  <si>
    <t>adapte</t>
  </si>
  <si>
    <t>Version du produit à un locale</t>
  </si>
  <si>
    <t>REL-059</t>
  </si>
  <si>
    <t>Internationalisation et localisations ciblées</t>
  </si>
  <si>
    <t>REL-060</t>
  </si>
  <si>
    <t>Compatibility testing pour navigateurs et moteurs</t>
  </si>
  <si>
    <t>REL-061</t>
  </si>
  <si>
    <t>Compatibility testing pour plateformes</t>
  </si>
  <si>
    <t>REL-062</t>
  </si>
  <si>
    <t>Compatibility testing pour systèmes d’exploitation</t>
  </si>
  <si>
    <t>REL-063</t>
  </si>
  <si>
    <t>Transfert entre environnements</t>
  </si>
  <si>
    <t>REL-064</t>
  </si>
  <si>
    <t>Adaptation de l’interface aux espaces d’affichage</t>
  </si>
  <si>
    <t>REL-065</t>
  </si>
  <si>
    <t>applique</t>
  </si>
  <si>
    <t>Profil de charge attendu</t>
  </si>
  <si>
    <t>REL-066</t>
  </si>
  <si>
    <t>dépasse</t>
  </si>
  <si>
    <t>Domaine de charge ou ressources attendu</t>
  </si>
  <si>
    <t>REL-067</t>
  </si>
  <si>
    <t>fait varier brusquement</t>
  </si>
  <si>
    <t>Charge appliquée</t>
  </si>
  <si>
    <t>REL-068</t>
  </si>
  <si>
    <t>maintient</t>
  </si>
  <si>
    <t>Charge pendant une durée déclarée</t>
  </si>
  <si>
    <t>REL-069</t>
  </si>
  <si>
    <t>Demande, ressources, capacité et résultats</t>
  </si>
  <si>
    <t>REL-070</t>
  </si>
  <si>
    <t>Maturité, disponibilité, tolérance et récupération</t>
  </si>
  <si>
    <t>REL-071</t>
  </si>
  <si>
    <t>Restauration des capacités, données et états</t>
  </si>
  <si>
    <t>REL-072</t>
  </si>
  <si>
    <t>identifie et qualifie</t>
  </si>
  <si>
    <t>Faiblesses de sécurité potentielles</t>
  </si>
  <si>
    <t>REL-073</t>
  </si>
  <si>
    <t>éprouve dans un mandat autorisé</t>
  </si>
  <si>
    <t>Exploitabilité et impact de faiblesses</t>
  </si>
  <si>
    <t>REL-074</t>
  </si>
  <si>
    <t>compare ou qualifie</t>
  </si>
  <si>
    <t>Rendu observé et références visuelles</t>
  </si>
  <si>
    <t>REL-075</t>
  </si>
  <si>
    <t>Visual testing par comparaison de pixels</t>
  </si>
  <si>
    <t>REL-076</t>
  </si>
  <si>
    <t>Observation visuelle ultérieure</t>
  </si>
  <si>
    <t>REL-077</t>
  </si>
  <si>
    <t>Occurrences, variantes, versions ou résultats</t>
  </si>
  <si>
    <t>REL-078</t>
  </si>
  <si>
    <t>Expérimentation comparative entre contrôle et variante</t>
  </si>
  <si>
    <t>REL-079</t>
  </si>
  <si>
    <t>A/B/n testing</t>
  </si>
  <si>
    <t>étend</t>
  </si>
  <si>
    <t>A/B testing à plusieurs variantes déclarées</t>
  </si>
  <si>
    <t>REL-080</t>
  </si>
  <si>
    <t>prépare</t>
  </si>
  <si>
    <t>Conditions, données, configuration et état initial d’un Run</t>
  </si>
  <si>
    <t>REL-081</t>
  </si>
  <si>
    <t>peut référencer</t>
  </si>
  <si>
    <t>Un ou plusieurs presets versionnés</t>
  </si>
  <si>
    <t>REL-082</t>
  </si>
  <si>
    <t>utilise</t>
  </si>
  <si>
    <t>Presets prédéfinis pour produire des Runs comparables</t>
  </si>
  <si>
    <t>REL-083</t>
  </si>
  <si>
    <t>traverse</t>
  </si>
  <si>
    <t>Toutes les phases de réalisation du produit</t>
  </si>
  <si>
    <t>REL-084</t>
  </si>
  <si>
    <t>compose selon le contexte</t>
  </si>
  <si>
    <t>Prévention, spécifications, modèles, investigations, tests, preuves et apprentissages</t>
  </si>
  <si>
    <t>REL-085</t>
  </si>
  <si>
    <t>Fréquence et intégration des rétroactions dans une approche holistique</t>
  </si>
  <si>
    <t>REL-086</t>
  </si>
  <si>
    <t>prolonge</t>
  </si>
  <si>
    <t>Validation holistique par observation des effets réels</t>
  </si>
  <si>
    <t>REL-087</t>
  </si>
  <si>
    <t>stimule</t>
  </si>
  <si>
    <t>Cible au moyen de scénarios, données ou interactions artificiels</t>
  </si>
  <si>
    <t>REL-088</t>
  </si>
  <si>
    <t>Runs, observations, signaux et mesures</t>
  </si>
  <si>
    <t>REL-089</t>
  </si>
  <si>
    <t>contextualise</t>
  </si>
  <si>
    <t>Signaux synthétiques avec références, confiance et limites</t>
  </si>
  <si>
    <t>REL-090</t>
  </si>
  <si>
    <t>Synthetic monitoring</t>
  </si>
  <si>
    <t>Synthetic testing pour observation répétée d’une cible déployée</t>
  </si>
  <si>
    <t>REL-091</t>
  </si>
  <si>
    <t>Real User Monitoring</t>
  </si>
  <si>
    <t>complète</t>
  </si>
  <si>
    <t>Synthetic testing par les observations d’usage réel</t>
  </si>
  <si>
    <t>REL-092</t>
  </si>
  <si>
    <t>mobilise</t>
  </si>
  <si>
    <t>Sondes synthétiques selon le besoin dans toutes les phases et CARE</t>
  </si>
  <si>
    <t>REL-093</t>
  </si>
  <si>
    <t>Réalité et obligations applicables</t>
  </si>
  <si>
    <t>REL-094</t>
  </si>
  <si>
    <t>Réalité et spécification, norme, contrat ou référence déclarée</t>
  </si>
  <si>
    <t>REL-095</t>
  </si>
  <si>
    <t>Preuve de conformité</t>
  </si>
  <si>
    <t>Qualification de conformité dans une portée déclarée</t>
  </si>
  <si>
    <t>REL-096</t>
  </si>
  <si>
    <t>autorise temporairement ou conditionnellement</t>
  </si>
  <si>
    <t>Écart à une obligation applicable</t>
  </si>
  <si>
    <t>REL-097</t>
  </si>
  <si>
    <t>Certification</t>
  </si>
  <si>
    <t>demeure distincte de</t>
  </si>
  <si>
    <t>Validation et preuves de conformité</t>
  </si>
  <si>
    <t>REL-098</t>
  </si>
  <si>
    <t>PRINCE2</t>
  </si>
  <si>
    <t>Contexte et méthode de management du projet</t>
  </si>
  <si>
    <t>REL-099</t>
  </si>
  <si>
    <t>PMBOK</t>
  </si>
  <si>
    <t>guide et référence</t>
  </si>
  <si>
    <t>Management de projet adapté au contexte</t>
  </si>
  <si>
    <t>REL-100</t>
  </si>
  <si>
    <t>produit ou transforme</t>
  </si>
  <si>
    <t>Résultats, livrables et changements</t>
  </si>
  <si>
    <t>REL-101</t>
  </si>
  <si>
    <t>demeure après</t>
  </si>
  <si>
    <t>Projet temporaire qui le crée ou le modifie</t>
  </si>
  <si>
    <t>REL-102</t>
  </si>
  <si>
    <t>Produits, Services, processus, données et infrastructures</t>
  </si>
  <si>
    <t>REL-103</t>
  </si>
  <si>
    <t>transforme</t>
  </si>
  <si>
    <t>Entrées en sorties et résultats</t>
  </si>
  <si>
    <t>REL-104</t>
  </si>
  <si>
    <t>décrit et soutient</t>
  </si>
  <si>
    <t>Capacités, usages, versions et limites du produit</t>
  </si>
  <si>
    <t>REL-119</t>
  </si>
  <si>
    <t>Représentation en structure interprétée</t>
  </si>
  <si>
    <t>REL-120</t>
  </si>
  <si>
    <t>Représentation source en représentation cible</t>
  </si>
  <si>
    <t>REL-121</t>
  </si>
  <si>
    <t>Structure et syntaxe déclarées</t>
  </si>
  <si>
    <t>REL-122</t>
  </si>
  <si>
    <t>Type, compatibilité et contraintes</t>
  </si>
  <si>
    <t>REL-123</t>
  </si>
  <si>
    <t>Conditions, décisions, priorités et exceptions</t>
  </si>
  <si>
    <t>REL-124</t>
  </si>
  <si>
    <t>Cohérence du langage du domaine</t>
  </si>
  <si>
    <t>REL-125</t>
  </si>
  <si>
    <t>Accessibility testing pour accessibilité cognitive</t>
  </si>
  <si>
    <t>REL-126</t>
  </si>
  <si>
    <t>Chaos testing par perturbation large contrôlée</t>
  </si>
  <si>
    <t>REL-127</t>
  </si>
  <si>
    <t>REL-128</t>
  </si>
  <si>
    <t>Adéquation réelle du produit aux pratiques quotidiennes</t>
  </si>
  <si>
    <t>REL-129</t>
  </si>
  <si>
    <t>Backward Compatibility Testing</t>
  </si>
  <si>
    <t>Compatibilité d’une nouvelle version avec des références antérieures</t>
  </si>
  <si>
    <t>REL-130</t>
  </si>
  <si>
    <t>Backward Traceability Testing</t>
  </si>
  <si>
    <t>remonte</t>
  </si>
  <si>
    <t>État ou résultat vers causes, règles, décisions et données</t>
  </si>
  <si>
    <t>REL-131</t>
  </si>
  <si>
    <t>Deux issues d’une décision déclarée</t>
  </si>
  <si>
    <t>REL-132</t>
  </si>
  <si>
    <t>peut apparaître dans</t>
  </si>
  <si>
    <t>Happy Path, Alternate Flow ou Exception Flow</t>
  </si>
  <si>
    <t>REL-133</t>
  </si>
  <si>
    <t>évalue</t>
  </si>
  <si>
    <t>Capacité des tests à détecter des altérations contrôlées</t>
  </si>
  <si>
    <t>REL-134</t>
  </si>
  <si>
    <t>Integration testing par focalisation sur la relation comportementale</t>
  </si>
  <si>
    <t>REL-135</t>
  </si>
  <si>
    <t>Wording, Terminology et Information Architecture</t>
  </si>
  <si>
    <t>REL-136</t>
  </si>
  <si>
    <t>spécialise selon l’intention</t>
  </si>
  <si>
    <t>Metamorphic, Comparative, Conversion ou Data validation</t>
  </si>
  <si>
    <t>REL-137</t>
  </si>
  <si>
    <t>Traffic mirroring</t>
  </si>
  <si>
    <t>duplique vers</t>
  </si>
  <si>
    <t>Environnement ou version shadow sans utiliser sa réponse pour le client</t>
  </si>
  <si>
    <t>REL-138</t>
  </si>
  <si>
    <t>Interface miroir</t>
  </si>
  <si>
    <t>qualifie avec</t>
  </si>
  <si>
    <t>Localization, Visual, UI et Accessibility validation</t>
  </si>
  <si>
    <t>REL-139</t>
  </si>
  <si>
    <t>Capacité d’assistance et continuité de soutien du produit</t>
  </si>
  <si>
    <t>REL-140</t>
  </si>
  <si>
    <t>Parcours pédagogique guidé et objectif d’apprentissage</t>
  </si>
  <si>
    <t>REL-141</t>
  </si>
  <si>
    <t>Aide disponible et utile au point de besoin</t>
  </si>
  <si>
    <t>REL-142</t>
  </si>
  <si>
    <t>Accès et routage vers le bon point de contact</t>
  </si>
  <si>
    <t>REL-143</t>
  </si>
  <si>
    <t>sélectionne</t>
  </si>
  <si>
    <t>Conditions valides et autorisées</t>
  </si>
  <si>
    <t>REL-144</t>
  </si>
  <si>
    <t>Conditions invalides, interdites ou inattendues</t>
  </si>
  <si>
    <t>REL-145</t>
  </si>
  <si>
    <t>Opération directe, opération inverse et référence</t>
  </si>
  <si>
    <t>REL-146</t>
  </si>
  <si>
    <t>REL-147</t>
  </si>
  <si>
    <t>redirige selon intention vers</t>
  </si>
  <si>
    <t>Negative, Binary decision, Inverse ou Exploratory testing</t>
  </si>
  <si>
    <t>REL-148</t>
  </si>
  <si>
    <t>Negative, Binary decision ou Inverse relation validation</t>
  </si>
  <si>
    <t>REL-149</t>
  </si>
  <si>
    <t>ordonne</t>
  </si>
  <si>
    <t>Candidats réels à automatiser</t>
  </si>
  <si>
    <t>REL-150</t>
  </si>
  <si>
    <t>Préalables et dépendances</t>
  </si>
  <si>
    <t>déterminent d’abord</t>
  </si>
  <si>
    <t>Réalisabilité et précédence des candidats à l’automatisation</t>
  </si>
  <si>
    <t>REL-151</t>
  </si>
  <si>
    <t>ROI contextualisé</t>
  </si>
  <si>
    <t>priorise ensuite</t>
  </si>
  <si>
    <t>Candidats à l’automatisation devenus réalisables</t>
  </si>
  <si>
    <t>REL-152</t>
  </si>
  <si>
    <t>Fondamentaux</t>
  </si>
  <si>
    <t>soutiennent ou débloquent</t>
  </si>
  <si>
    <t>Relationnels et aboutissements selon le contexte</t>
  </si>
  <si>
    <t>REL-153</t>
  </si>
  <si>
    <t>demeure séparé de</t>
  </si>
  <si>
    <t>REL-154</t>
  </si>
  <si>
    <t>Validation de l’IA, réalisation avec l’IA et Validation avec l’IA</t>
  </si>
  <si>
    <t>REL-155</t>
  </si>
  <si>
    <t>fournit à l’IA</t>
  </si>
  <si>
    <t>Spécifications versionnées et validables pour contribuer à la réalisation</t>
  </si>
  <si>
    <t>REL-156</t>
  </si>
  <si>
    <t>Instructions, contexte, contraintes, exemples et politiques transmis à l’IA</t>
  </si>
  <si>
    <t>REL-157</t>
  </si>
  <si>
    <t>Production IA et sources autorisées</t>
  </si>
  <si>
    <t>REL-158</t>
  </si>
  <si>
    <t>Checks, analyses ou recommandations sous supervision déclarée</t>
  </si>
  <si>
    <t>REL-159</t>
  </si>
  <si>
    <t>Évaluateur IA</t>
  </si>
  <si>
    <t>ne remplace pas</t>
  </si>
  <si>
    <t>Preuve, responsabilité ou décision gouvernée</t>
  </si>
  <si>
    <t>REL-160</t>
  </si>
  <si>
    <t>Planification, mémoire, outils, permissions, décisions et effets de l’agent</t>
  </si>
  <si>
    <t>REL-161</t>
  </si>
  <si>
    <t>surveille</t>
  </si>
  <si>
    <t>Qualité, dérive, incidents, coûts et effets réels des usages IA</t>
  </si>
  <si>
    <t>Constats consolidés ToTAL</t>
  </si>
  <si>
    <t>Décisions transversales issues des travaux historiques.</t>
  </si>
  <si>
    <t>Titre</t>
  </si>
  <si>
    <t>Formulation</t>
  </si>
  <si>
    <t>C-044</t>
  </si>
  <si>
    <t>Qualimétrie orientée utilité</t>
  </si>
  <si>
    <t>Une métrique n’a de valeur que si elle répond à un besoin d’information.</t>
  </si>
  <si>
    <t>C-045</t>
  </si>
  <si>
    <t>Faits contextualisés</t>
  </si>
  <si>
    <t>Une valeur isolée ne constitue pas une vérité absolue.</t>
  </si>
  <si>
    <t>C-046</t>
  </si>
  <si>
    <t>Rôle qualimétrique</t>
  </si>
  <si>
    <t>Tout concept déclare sa relation à la qualimétrie sans devenir automatiquement une métrique.</t>
  </si>
  <si>
    <t>C-047</t>
  </si>
  <si>
    <t>Qualimétrie catalyseur</t>
  </si>
  <si>
    <t>La qualimétrie rend visible sans remplacer analyse, recommandation ou décision.</t>
  </si>
  <si>
    <t>C-048</t>
  </si>
  <si>
    <t>Mesure non punitive</t>
  </si>
  <si>
    <t>Les mesures sur personnes, équipes et agents éclairent les conditions et contributions, sans classement automatique.</t>
  </si>
  <si>
    <t>C-049</t>
  </si>
  <si>
    <t>ROI multidimensionnel</t>
  </si>
  <si>
    <t>Le ROI expose valeur, coûts, capacité, risques, qualité, connaissance et pérennité.</t>
  </si>
  <si>
    <t>C-050</t>
  </si>
  <si>
    <t>Convergence produit</t>
  </si>
  <si>
    <t>Toutes les métriques contribuent finalement à comprendre le produit.</t>
  </si>
  <si>
    <t>C-051</t>
  </si>
  <si>
    <t>Métrique contributive</t>
  </si>
  <si>
    <t>Une métrique locale déclare son chemin de contribution et ses limites d’attribution.</t>
  </si>
  <si>
    <t>C-052</t>
  </si>
  <si>
    <t>Contexte de validation</t>
  </si>
  <si>
    <t>Agile, DevOps et ToTAL qualifient le contexte, pas un type canonique.</t>
  </si>
  <si>
    <t>C-053</t>
  </si>
  <si>
    <t>Test multidimensionnel</t>
  </si>
  <si>
    <t>Une expression historique renseigne une ou plusieurs coordonnées de Validation.</t>
  </si>
  <si>
    <t>Contexte de Validation et démarches</t>
  </si>
  <si>
    <t>Les démarches qualifient la manière de définir, exécuter et apprendre, non ce qui est testé.</t>
  </si>
  <si>
    <t>CTX-001</t>
  </si>
  <si>
    <t>Validation intégrée au travail Agile; objet, portée, technique et preuve restent distincts.</t>
  </si>
  <si>
    <t>CTX-002</t>
  </si>
  <si>
    <t>Validation guidée par les phases, spécifications, toolbox, preuves, qualimétrie et CARE.</t>
  </si>
  <si>
    <t>CTX-003</t>
  </si>
  <si>
    <t>Validation intégrée au flux réalisation, diffusion et exploitation.</t>
  </si>
  <si>
    <t>CTX-004</t>
  </si>
  <si>
    <t>Scrum testing</t>
  </si>
  <si>
    <t>Validation en contexte Scrum; Sprint ≠ portée.</t>
  </si>
  <si>
    <t>CTX-005</t>
  </si>
  <si>
    <t>SAFe testing</t>
  </si>
  <si>
    <t>Validation en contexte SAFe; framework ≠ type de test.</t>
  </si>
  <si>
    <t>CTX-006</t>
  </si>
  <si>
    <t>Kanban testing</t>
  </si>
  <si>
    <t>Validation dans un système de flux; rapidité ≠ utilité.</t>
  </si>
  <si>
    <t>CTX-007</t>
  </si>
  <si>
    <t>Alpha / Beta</t>
  </si>
  <si>
    <t>Maturité / exposition</t>
  </si>
  <si>
    <t>La population, les risques et les objectifs d’apprentissage sont déclarés; maturité ≠ qualité.</t>
  </si>
  <si>
    <t>CTX-008</t>
  </si>
  <si>
    <t>Release Candidate / Gold</t>
  </si>
  <si>
    <t>Maturité / décision</t>
  </si>
  <si>
    <t>La version est identifiée et les preuves soutiennent une décision distincte de promotion.</t>
  </si>
  <si>
    <t>CTX-009</t>
  </si>
  <si>
    <t>Canary</t>
  </si>
  <si>
    <t>Diffusion progressive</t>
  </si>
  <si>
    <t>Une version est observée sur un sous-ensemble limité avec critères d’élargissement et rollback.</t>
  </si>
  <si>
    <t>CTX-010</t>
  </si>
  <si>
    <t>Approche transversale</t>
  </si>
  <si>
    <t>Validation présente au fur et à mesure dans toutes les phases, reliant prévention, réalisation, confirmation et apprentissage CARE.</t>
  </si>
  <si>
    <t>CTX-011</t>
  </si>
  <si>
    <t>Contexte / méthode projet</t>
  </si>
  <si>
    <t>Validation en contexte PRINCE2; la méthode structure gouvernance, produits, qualité, risques, séquences et décisions sans définir un type autonome de test.</t>
  </si>
  <si>
    <t>CTX-012</t>
  </si>
  <si>
    <t>Contexte / référentiel projet</t>
  </si>
  <si>
    <t>Validation en contexte PMBOK; principes, domaines, processus, outils et pratiques sont adaptés au contexte et reliés aux preuves du produit.</t>
  </si>
  <si>
    <t>CTX-013</t>
  </si>
  <si>
    <t>Contexte temporaire</t>
  </si>
  <si>
    <t>Validation du projet et de ses résultats, distincte de la Validation durable du produit.</t>
  </si>
  <si>
    <t>Chaîne de Validation, preuve et qualimétrie</t>
  </si>
  <si>
    <t>Séparation explicite entre exécution, observation, mesure, qualification, preuve, décision et effet.</t>
  </si>
  <si>
    <t>CH-001</t>
  </si>
  <si>
    <t>Intention / besoin</t>
  </si>
  <si>
    <t>Pourquoi apprendre ou confirmer?</t>
  </si>
  <si>
    <t>CH-002</t>
  </si>
  <si>
    <t>Spécification / hypothèse</t>
  </si>
  <si>
    <t>À quelle attente ou question confronter la réalité?</t>
  </si>
  <si>
    <t>CH-003</t>
  </si>
  <si>
    <t>Comment provoquer, observer ou analyser?</t>
  </si>
  <si>
    <t>CH-004</t>
  </si>
  <si>
    <t>Quelle occurrence réelle?</t>
  </si>
  <si>
    <t>CH-005</t>
  </si>
  <si>
    <t>Observation</t>
  </si>
  <si>
    <t>Quels faits captés?</t>
  </si>
  <si>
    <t>CH-006</t>
  </si>
  <si>
    <t>Mesure</t>
  </si>
  <si>
    <t>Quelles valeurs contextualisées?</t>
  </si>
  <si>
    <t>CH-007</t>
  </si>
  <si>
    <t>Quelle comparaison locale?</t>
  </si>
  <si>
    <t>CH-008</t>
  </si>
  <si>
    <t>Quels artefacts et qualifications locales?</t>
  </si>
  <si>
    <t>CH-009</t>
  </si>
  <si>
    <t>Quelle affirmation est soutenue?</t>
  </si>
  <si>
    <t>CH-010</t>
  </si>
  <si>
    <t>Qu’est-ce qui est connu, prouvé, actuel ou inconnu?</t>
  </si>
  <si>
    <t>CH-011</t>
  </si>
  <si>
    <t>Que savons-nous de la santé du produit?</t>
  </si>
  <si>
    <t>CH-012</t>
  </si>
  <si>
    <t>Décision et action</t>
  </si>
  <si>
    <t>Quelle transformation choisir?</t>
  </si>
  <si>
    <t>CH-013</t>
  </si>
  <si>
    <t>Quel effet réel et quel apprentissage?</t>
  </si>
  <si>
    <t>Métataxonomie qualimétrique</t>
  </si>
  <si>
    <t>Axes minimaux de définition et d’interprétation des métriques.</t>
  </si>
  <si>
    <t>Dimension</t>
  </si>
  <si>
    <t>Question fondamentale</t>
  </si>
  <si>
    <t>QM-001</t>
  </si>
  <si>
    <t>Besoin d’information</t>
  </si>
  <si>
    <t>Pourquoi mesurer?</t>
  </si>
  <si>
    <t>Question; décision; apprentissage</t>
  </si>
  <si>
    <t>QM-002</t>
  </si>
  <si>
    <t>Objet mesuré</t>
  </si>
  <si>
    <t>Sur quoi porte la mesure?</t>
  </si>
  <si>
    <t>Produit; Service; composant; marché</t>
  </si>
  <si>
    <t>QM-003</t>
  </si>
  <si>
    <t>Quelle caractéristique?</t>
  </si>
  <si>
    <t>Performance; fiabilité; satisfaction; coût</t>
  </si>
  <si>
    <t>QM-004</t>
  </si>
  <si>
    <t>Population / périmètre</t>
  </si>
  <si>
    <t>Quelles occurrences?</t>
  </si>
  <si>
    <t>Transactions; Releases; Runs; périodes</t>
  </si>
  <si>
    <t>QM-005</t>
  </si>
  <si>
    <t>Mesure de base</t>
  </si>
  <si>
    <t>Quelle valeur observée?</t>
  </si>
  <si>
    <t>Nombre; durée; taille; état</t>
  </si>
  <si>
    <t>QM-006</t>
  </si>
  <si>
    <t>Mesure dérivée</t>
  </si>
  <si>
    <t>Quelle valeur calculée?</t>
  </si>
  <si>
    <t>Taux; ratio; percentile; tendance</t>
  </si>
  <si>
    <t>QM-007</t>
  </si>
  <si>
    <t>À quoi comparer?</t>
  </si>
  <si>
    <t>Spécification; seuil; baseline; SLO</t>
  </si>
  <si>
    <t>QM-008</t>
  </si>
  <si>
    <t>Qualification</t>
  </si>
  <si>
    <t>Que signifie la comparaison?</t>
  </si>
  <si>
    <t>Conforme; dérive; inconnu</t>
  </si>
  <si>
    <t>QM-009</t>
  </si>
  <si>
    <t>Indicateur</t>
  </si>
  <si>
    <t>Quelle information interprétée?</t>
  </si>
  <si>
    <t>Risque; saturation; couverture</t>
  </si>
  <si>
    <t>QM-010</t>
  </si>
  <si>
    <t>Signal</t>
  </si>
  <si>
    <t>Quel fait invite à investiguer?</t>
  </si>
  <si>
    <t>Anomalie; variation; seuil</t>
  </si>
  <si>
    <t>QM-011</t>
  </si>
  <si>
    <t>Temporalité</t>
  </si>
  <si>
    <t>Quand et sur quelle fenêtre?</t>
  </si>
  <si>
    <t>Instant; période; cohorte</t>
  </si>
  <si>
    <t>QM-012</t>
  </si>
  <si>
    <t>Segmentation</t>
  </si>
  <si>
    <t>Comment ventiler?</t>
  </si>
  <si>
    <t>Tier; version; population; environnement</t>
  </si>
  <si>
    <t>QM-013</t>
  </si>
  <si>
    <t>Confiance</t>
  </si>
  <si>
    <t>Quel crédit accorder?</t>
  </si>
  <si>
    <t>Qualité des données; représentativité</t>
  </si>
  <si>
    <t>QM-014</t>
  </si>
  <si>
    <t>Limite</t>
  </si>
  <si>
    <t>Que la mesure ne démontre-t-elle pas?</t>
  </si>
  <si>
    <t>Attribution; causalité; population manquante</t>
  </si>
  <si>
    <t>QM-015</t>
  </si>
  <si>
    <t>Usage</t>
  </si>
  <si>
    <t>Quelle action éclairer?</t>
  </si>
  <si>
    <t>Investigation; priorité; investissement</t>
  </si>
  <si>
    <t>QM-016</t>
  </si>
  <si>
    <t>Effet</t>
  </si>
  <si>
    <t>Quel changement réel?</t>
  </si>
  <si>
    <t>Résultat utile; valeur; satisfaction</t>
  </si>
  <si>
    <t>Principes de mesure ToTAL</t>
  </si>
  <si>
    <t>Garde-fous de la qualimétrie.</t>
  </si>
  <si>
    <t>MP-001</t>
  </si>
  <si>
    <t>Définir la métrique à partir d’un besoin et d’un objet.</t>
  </si>
  <si>
    <t>MP-002</t>
  </si>
  <si>
    <t>Collecte</t>
  </si>
  <si>
    <t>Définir provenance, fréquence, couverture et données manquantes.</t>
  </si>
  <si>
    <t>MP-003</t>
  </si>
  <si>
    <t>Analyse</t>
  </si>
  <si>
    <t>Calculer de façon reproductible.</t>
  </si>
  <si>
    <t>MP-004</t>
  </si>
  <si>
    <t>Comparer aux références avec confiance et limites.</t>
  </si>
  <si>
    <t>MP-005</t>
  </si>
  <si>
    <t>Feedback</t>
  </si>
  <si>
    <t>Relier interprétation, recommandation, décision, action et effet.</t>
  </si>
  <si>
    <t>MP-006</t>
  </si>
  <si>
    <t>Compréhensible</t>
  </si>
  <si>
    <t>Définition et calcul lisibles et auditables.</t>
  </si>
  <si>
    <t>MP-007</t>
  </si>
  <si>
    <t>Répétable</t>
  </si>
  <si>
    <t>Conditions équivalentes, mesures comparables.</t>
  </si>
  <si>
    <t>MP-008</t>
  </si>
  <si>
    <t>Économique</t>
  </si>
  <si>
    <t>Coût proportionné à l’utilité.</t>
  </si>
  <si>
    <t>MP-009</t>
  </si>
  <si>
    <t>Actionnable</t>
  </si>
  <si>
    <t>Éclaire une question ou action, sans cible punitive.</t>
  </si>
  <si>
    <t>MP-010</t>
  </si>
  <si>
    <t>Toute métrique locale explique son chemin vers le produit.</t>
  </si>
  <si>
    <t>Termes canoniques qualimétriques</t>
  </si>
  <si>
    <t>Noyau historique de mesure préservé.</t>
  </si>
  <si>
    <t>T-086</t>
  </si>
  <si>
    <t>Question dont la réponse est nécessaire pour comprendre, apprendre, améliorer ou décider.</t>
  </si>
  <si>
    <t>T-087</t>
  </si>
  <si>
    <t>Métrique</t>
  </si>
  <si>
    <t>Définition réutilisable indiquant quoi mesurer, comment, dans quelle unité et sur quelle population.</t>
  </si>
  <si>
    <t>T-088</t>
  </si>
  <si>
    <t>Valeur contextualisée obtenue par observation, comptage ou calcul.</t>
  </si>
  <si>
    <t>T-089</t>
  </si>
  <si>
    <t>Interprétation d’une ou plusieurs mesures par rapport à un besoin ou une référence.</t>
  </si>
  <si>
    <t>T-090</t>
  </si>
  <si>
    <t>Fait ou variation justifiant une attention sans constituer une conclusion.</t>
  </si>
  <si>
    <t>T-091</t>
  </si>
  <si>
    <t>Seuil</t>
  </si>
  <si>
    <t>Valeur de référence déclenchant une qualification ou alerte.</t>
  </si>
  <si>
    <t>T-092</t>
  </si>
  <si>
    <t>Baseline</t>
  </si>
  <si>
    <t>État ou distribution de départ utilisé pour comparer une évolution.</t>
  </si>
  <si>
    <t>T-093</t>
  </si>
  <si>
    <t>Benchmark</t>
  </si>
  <si>
    <t>Référence comparative interne ou externe déclarée.</t>
  </si>
  <si>
    <t>T-094</t>
  </si>
  <si>
    <t>KPI</t>
  </si>
  <si>
    <t>Statut contextuel accordé à un indicateur clé pour un objectif gouverné.</t>
  </si>
  <si>
    <t>T-095</t>
  </si>
  <si>
    <t>ROI</t>
  </si>
  <si>
    <t>Indicateur comparant les effets attribuables d’un investissement à ses coûts.</t>
  </si>
  <si>
    <t>T-096</t>
  </si>
  <si>
    <t>Vue multidimensionnelle de la santé du produit avec confiance, limites et inconnues.</t>
  </si>
  <si>
    <t>Relations entre concepts et qualimétrie</t>
  </si>
  <si>
    <t>Chaque concept reçoit un rôle qualimétrique sans devenir automatiquement une métrique.</t>
  </si>
  <si>
    <t>Concept</t>
  </si>
  <si>
    <t>Vues candidates</t>
  </si>
  <si>
    <t>QR-001</t>
  </si>
  <si>
    <t>Objet central mesuré</t>
  </si>
  <si>
    <t>QR-002</t>
  </si>
  <si>
    <t>Accomplissement; erreur; récupération; satisfaction</t>
  </si>
  <si>
    <t>QR-003</t>
  </si>
  <si>
    <t>Contrat de Service</t>
  </si>
  <si>
    <t>Conformité; ruptures; dérogations</t>
  </si>
  <si>
    <t>QR-004</t>
  </si>
  <si>
    <t>Consommateur</t>
  </si>
  <si>
    <t>Population / point de vue</t>
  </si>
  <si>
    <t>Usage; abandon; satisfaction</t>
  </si>
  <si>
    <t>QR-005</t>
  </si>
  <si>
    <t>Dépendance</t>
  </si>
  <si>
    <t>Facteur explicatif</t>
  </si>
  <si>
    <t>Échec attribuable; disponibilité</t>
  </si>
  <si>
    <t>QR-006</t>
  </si>
  <si>
    <t>Front End</t>
  </si>
  <si>
    <t>Segmentation par tier</t>
  </si>
  <si>
    <t>Interaction; accessibilité; latence</t>
  </si>
  <si>
    <t>QR-007</t>
  </si>
  <si>
    <t>Middle Tier</t>
  </si>
  <si>
    <t>Contrats; orchestration; médiation</t>
  </si>
  <si>
    <t>QR-008</t>
  </si>
  <si>
    <t>Back End</t>
  </si>
  <si>
    <t>Traitements; données; ressources</t>
  </si>
  <si>
    <t>QR-009</t>
  </si>
  <si>
    <t>Satisfaction; couverture; ambiguïtés</t>
  </si>
  <si>
    <t>QR-010</t>
  </si>
  <si>
    <t>Source contextualisée</t>
  </si>
  <si>
    <t>Durée; contexte; résultat</t>
  </si>
  <si>
    <t>QR-011</t>
  </si>
  <si>
    <t>Pass; Fail; inconclusif</t>
  </si>
  <si>
    <t>QR-012</t>
  </si>
  <si>
    <t>Vue / agrégation</t>
  </si>
  <si>
    <t>Applicable; prévue; exécutée; prouvée; actuelle</t>
  </si>
  <si>
    <t>QR-013</t>
  </si>
  <si>
    <t>Agent IA</t>
  </si>
  <si>
    <t>Contributeur / dépendance</t>
  </si>
  <si>
    <t>Utilité; correction; coût</t>
  </si>
  <si>
    <t>QR-014</t>
  </si>
  <si>
    <t>Équipe</t>
  </si>
  <si>
    <t>Système de réalisation</t>
  </si>
  <si>
    <t>Flux; feedback; reprise</t>
  </si>
  <si>
    <t>QR-015</t>
  </si>
  <si>
    <t>Marché</t>
  </si>
  <si>
    <t>Signal externe</t>
  </si>
  <si>
    <t>Adoption; rétention; réputation</t>
  </si>
  <si>
    <t>QR-016</t>
  </si>
  <si>
    <t>Investissement</t>
  </si>
  <si>
    <t>Entrée économique</t>
  </si>
  <si>
    <t>Coût total; ROI</t>
  </si>
  <si>
    <t>QR-017</t>
  </si>
  <si>
    <t>Source de réalité durable</t>
  </si>
  <si>
    <t>Usage réel; incidents; satisfaction</t>
  </si>
  <si>
    <t>QR-018</t>
  </si>
  <si>
    <t>Santé du produit</t>
  </si>
  <si>
    <t>Capacité durable à satisfaire et évoluer</t>
  </si>
  <si>
    <t>QR-019</t>
  </si>
  <si>
    <t>Source active et contrôlée</t>
  </si>
  <si>
    <t>Disponibilité; latence; fonctionnalité; parcours; dépendances; dérive</t>
  </si>
  <si>
    <t>Registre des 125 métriques et qualimétries</t>
  </si>
  <si>
    <t>Inventaire historique préservé. Les métriques restent candidates jusqu’à leur contextualisation locale et leur chemin explicite vers le produit.</t>
  </si>
  <si>
    <t>Métrique / vue</t>
  </si>
  <si>
    <t>Famille</t>
  </si>
  <si>
    <t>Objet local</t>
  </si>
  <si>
    <t>Formule / vue</t>
  </si>
  <si>
    <t>Unité</t>
  </si>
  <si>
    <t>Source</t>
  </si>
  <si>
    <t>Segmentations</t>
  </si>
  <si>
    <t>Décisions éclairées</t>
  </si>
  <si>
    <t>Limites</t>
  </si>
  <si>
    <t>MET-001</t>
  </si>
  <si>
    <t>Taux d’accomplissement du Service</t>
  </si>
  <si>
    <t>Service / CARE</t>
  </si>
  <si>
    <t>À contextualiser localement</t>
  </si>
  <si>
    <t>Besoin d’information à confirmer</t>
  </si>
  <si>
    <t>Formule candidate à confirmer</t>
  </si>
  <si>
    <t>Unité à confirmer</t>
  </si>
  <si>
    <t>Source canonique ou locale</t>
  </si>
  <si>
    <t>Référence versionnée</t>
  </si>
  <si>
    <t>Population; période; version; environnement</t>
  </si>
  <si>
    <t>Décision éclairée à déclarer</t>
  </si>
  <si>
    <t>Limites et attribution obligatoires</t>
  </si>
  <si>
    <t>Inventoriée à qualifier</t>
  </si>
  <si>
    <t>Figer contrat, source et usage</t>
  </si>
  <si>
    <t>MET-002</t>
  </si>
  <si>
    <t>Taux de résultat sans duplication</t>
  </si>
  <si>
    <t>Code / maintenabilité</t>
  </si>
  <si>
    <t>MET-003</t>
  </si>
  <si>
    <t>Délai jusqu’au résultat utile</t>
  </si>
  <si>
    <t>Produit / qualimétrie</t>
  </si>
  <si>
    <t>MET-004</t>
  </si>
  <si>
    <t>Taux de conformité contractuelle</t>
  </si>
  <si>
    <t>MET-005</t>
  </si>
  <si>
    <t>Taux d’échec attribuable aux dépendances</t>
  </si>
  <si>
    <t>MET-006</t>
  </si>
  <si>
    <t>Délai de récupération</t>
  </si>
  <si>
    <t>MET-007</t>
  </si>
  <si>
    <t>Couverture actuelle</t>
  </si>
  <si>
    <t>MET-008</t>
  </si>
  <si>
    <t>Taux de reprise de réalisation</t>
  </si>
  <si>
    <t>MET-009</t>
  </si>
  <si>
    <t>Délai de rétroaction</t>
  </si>
  <si>
    <t>MET-010</t>
  </si>
  <si>
    <t>Taux d’acceptation utile de l’agent IA</t>
  </si>
  <si>
    <t>MET-011</t>
  </si>
  <si>
    <t>Coût par résultat utile IA</t>
  </si>
  <si>
    <t>MET-012</t>
  </si>
  <si>
    <t>MET-013</t>
  </si>
  <si>
    <t>Adoption utile</t>
  </si>
  <si>
    <t>Produit / marché / CARE</t>
  </si>
  <si>
    <t>MET-014</t>
  </si>
  <si>
    <t>Coût de non-qualité</t>
  </si>
  <si>
    <t>MET-015</t>
  </si>
  <si>
    <t>Change Failure Rate (CFR)</t>
  </si>
  <si>
    <t>MET-016</t>
  </si>
  <si>
    <t>Deployment Frequency</t>
  </si>
  <si>
    <t>Livraison / pipeline</t>
  </si>
  <si>
    <t>MET-017</t>
  </si>
  <si>
    <t>Change Lead Time</t>
  </si>
  <si>
    <t>MET-018</t>
  </si>
  <si>
    <t>Failed Deployment Recovery Time</t>
  </si>
  <si>
    <t>MET-019</t>
  </si>
  <si>
    <t>Deployment Rework Rate</t>
  </si>
  <si>
    <t>MET-020</t>
  </si>
  <si>
    <t>Defect Escape Rate</t>
  </si>
  <si>
    <t>MET-021</t>
  </si>
  <si>
    <t>Defect Density</t>
  </si>
  <si>
    <t>MET-022</t>
  </si>
  <si>
    <t>Crash Rate</t>
  </si>
  <si>
    <t>MET-023</t>
  </si>
  <si>
    <t>System Availability</t>
  </si>
  <si>
    <t>MET-024</t>
  </si>
  <si>
    <t>MTBF</t>
  </si>
  <si>
    <t>MET-025</t>
  </si>
  <si>
    <t>MTTD</t>
  </si>
  <si>
    <t>MET-026</t>
  </si>
  <si>
    <t>MTTA</t>
  </si>
  <si>
    <t>MET-027</t>
  </si>
  <si>
    <t>MTTR - Restore</t>
  </si>
  <si>
    <t>MET-028</t>
  </si>
  <si>
    <t>MTTR - Repair</t>
  </si>
  <si>
    <t>MET-029</t>
  </si>
  <si>
    <t>MTTR - Remediate Defect</t>
  </si>
  <si>
    <t>MET-030</t>
  </si>
  <si>
    <t>Mean Time to Remediate Vulnerability</t>
  </si>
  <si>
    <t>Sécurité</t>
  </si>
  <si>
    <t>MET-031</t>
  </si>
  <si>
    <t>Code Coverage - Lines</t>
  </si>
  <si>
    <t>MET-032</t>
  </si>
  <si>
    <t>Code Coverage - Conditions</t>
  </si>
  <si>
    <t>MET-033</t>
  </si>
  <si>
    <t>Test Automation Coverage</t>
  </si>
  <si>
    <t>Validation / automatisation</t>
  </si>
  <si>
    <t>MET-034</t>
  </si>
  <si>
    <t>Cyclomatic Complexity</t>
  </si>
  <si>
    <t>MET-035</t>
  </si>
  <si>
    <t>Cognitive Complexity</t>
  </si>
  <si>
    <t>MET-036</t>
  </si>
  <si>
    <t>Code Duplication</t>
  </si>
  <si>
    <t>MET-037</t>
  </si>
  <si>
    <t>Code Churn</t>
  </si>
  <si>
    <t>MET-038</t>
  </si>
  <si>
    <t>Maintainability Rating / Index</t>
  </si>
  <si>
    <t>MET-039</t>
  </si>
  <si>
    <t>Technical Debt / Remediation Effort</t>
  </si>
  <si>
    <t>MET-040</t>
  </si>
  <si>
    <t>Static Analysis Findings</t>
  </si>
  <si>
    <t>MET-041</t>
  </si>
  <si>
    <t>Security Issues / Vulnerabilities</t>
  </si>
  <si>
    <t>MET-042</t>
  </si>
  <si>
    <t>Security Remediation Effort</t>
  </si>
  <si>
    <t>MET-043</t>
  </si>
  <si>
    <t>UI Defect Rate</t>
  </si>
  <si>
    <t>MET-044</t>
  </si>
  <si>
    <t>Task Success Rate</t>
  </si>
  <si>
    <t>MET-045</t>
  </si>
  <si>
    <t>Error Rate</t>
  </si>
  <si>
    <t>MET-046</t>
  </si>
  <si>
    <t>Latency SLI</t>
  </si>
  <si>
    <t>MET-047</t>
  </si>
  <si>
    <t>Throughput</t>
  </si>
  <si>
    <t>MET-048</t>
  </si>
  <si>
    <t>Error Budget Consumption</t>
  </si>
  <si>
    <t>MET-049</t>
  </si>
  <si>
    <t>SLO Compliance</t>
  </si>
  <si>
    <t>MET-050</t>
  </si>
  <si>
    <t>CSAT</t>
  </si>
  <si>
    <t>MET-051</t>
  </si>
  <si>
    <t>Open Issue Count</t>
  </si>
  <si>
    <t>MET-052</t>
  </si>
  <si>
    <t>Issue Age</t>
  </si>
  <si>
    <t>MET-053</t>
  </si>
  <si>
    <t>Release Schedule Adherence</t>
  </si>
  <si>
    <t>MET-054</t>
  </si>
  <si>
    <t>Effort Variance</t>
  </si>
  <si>
    <t>MET-055</t>
  </si>
  <si>
    <t>Schedule Variance</t>
  </si>
  <si>
    <t>MET-056</t>
  </si>
  <si>
    <t>Review Lead Time</t>
  </si>
  <si>
    <t>Agile / flux / outils</t>
  </si>
  <si>
    <t>MET-057</t>
  </si>
  <si>
    <t>Review Rework Rate</t>
  </si>
  <si>
    <t>MET-058</t>
  </si>
  <si>
    <t>First Pass Yield</t>
  </si>
  <si>
    <t>MET-059</t>
  </si>
  <si>
    <t>Escaped Vulnerability Rate</t>
  </si>
  <si>
    <t>MET-060</t>
  </si>
  <si>
    <t>Security Control Effectiveness</t>
  </si>
  <si>
    <t>MET-061</t>
  </si>
  <si>
    <t>Threat Model Coverage</t>
  </si>
  <si>
    <t>MET-062</t>
  </si>
  <si>
    <t>Mean Time to Insight</t>
  </si>
  <si>
    <t>MET-063</t>
  </si>
  <si>
    <t>Metric Usefulness Review</t>
  </si>
  <si>
    <t>MET-064</t>
  </si>
  <si>
    <t>Current Value</t>
  </si>
  <si>
    <t>MET-065</t>
  </si>
  <si>
    <t>Unrealized Value</t>
  </si>
  <si>
    <t>MET-066</t>
  </si>
  <si>
    <t>Time to Market</t>
  </si>
  <si>
    <t>MET-067</t>
  </si>
  <si>
    <t>Ability to Innovate</t>
  </si>
  <si>
    <t>MET-068</t>
  </si>
  <si>
    <t>Sprint Goal Success Rate</t>
  </si>
  <si>
    <t>MET-069</t>
  </si>
  <si>
    <t>Sprint Completion Ratio</t>
  </si>
  <si>
    <t>MET-070</t>
  </si>
  <si>
    <t>Sprint Scope Change</t>
  </si>
  <si>
    <t>MET-071</t>
  </si>
  <si>
    <t>Sprint Rollover Rate</t>
  </si>
  <si>
    <t>MET-072</t>
  </si>
  <si>
    <t>Velocity</t>
  </si>
  <si>
    <t>MET-073</t>
  </si>
  <si>
    <t>Burndown Deviation</t>
  </si>
  <si>
    <t>MET-074</t>
  </si>
  <si>
    <t>Burnup Scope and Completion</t>
  </si>
  <si>
    <t>MET-075</t>
  </si>
  <si>
    <t>Flow Distribution</t>
  </si>
  <si>
    <t>MET-076</t>
  </si>
  <si>
    <t>Flow Velocity</t>
  </si>
  <si>
    <t>MET-077</t>
  </si>
  <si>
    <t>Flow Time</t>
  </si>
  <si>
    <t>MET-078</t>
  </si>
  <si>
    <t>Flow Load</t>
  </si>
  <si>
    <t>MET-079</t>
  </si>
  <si>
    <t>Flow Efficiency</t>
  </si>
  <si>
    <t>MET-080</t>
  </si>
  <si>
    <t>Flow Predictability</t>
  </si>
  <si>
    <t>MET-081</t>
  </si>
  <si>
    <t>Program Predictability</t>
  </si>
  <si>
    <t>MET-082</t>
  </si>
  <si>
    <t>Lead Time</t>
  </si>
  <si>
    <t>MET-083</t>
  </si>
  <si>
    <t>Cycle Time</t>
  </si>
  <si>
    <t>MET-084</t>
  </si>
  <si>
    <t>Work in Progress (WIP)</t>
  </si>
  <si>
    <t>MET-085</t>
  </si>
  <si>
    <t>Throughput of Work Items</t>
  </si>
  <si>
    <t>MET-086</t>
  </si>
  <si>
    <t>Work Item Age</t>
  </si>
  <si>
    <t>MET-087</t>
  </si>
  <si>
    <t>Blocked Time</t>
  </si>
  <si>
    <t>MET-088</t>
  </si>
  <si>
    <t>Cumulative Flow Stability</t>
  </si>
  <si>
    <t>MET-089</t>
  </si>
  <si>
    <t>Jira Created vs Resolved</t>
  </si>
  <si>
    <t>MET-090</t>
  </si>
  <si>
    <t>Jira Resolution Time</t>
  </si>
  <si>
    <t>MET-091</t>
  </si>
  <si>
    <t>Jira Average Age</t>
  </si>
  <si>
    <t>MET-092</t>
  </si>
  <si>
    <t>Jira Time in Status</t>
  </si>
  <si>
    <t>MET-093</t>
  </si>
  <si>
    <t>Jira Workload Distribution</t>
  </si>
  <si>
    <t>MET-094</t>
  </si>
  <si>
    <t>Xray Test Execution Progress</t>
  </si>
  <si>
    <t>MET-095</t>
  </si>
  <si>
    <t>Xray Test Success Rate</t>
  </si>
  <si>
    <t>MET-096</t>
  </si>
  <si>
    <t>Xray Requirement Coverage</t>
  </si>
  <si>
    <t>MET-097</t>
  </si>
  <si>
    <t>Xray Requirement OK Rate</t>
  </si>
  <si>
    <t>MET-098</t>
  </si>
  <si>
    <t>Xray Test Environment Success</t>
  </si>
  <si>
    <t>MET-099</t>
  </si>
  <si>
    <t>Xray Manual vs Automated Mix</t>
  </si>
  <si>
    <t>MET-100</t>
  </si>
  <si>
    <t>Xray Linked Defect Status</t>
  </si>
  <si>
    <t>MET-101</t>
  </si>
  <si>
    <t>Automation Execution Rate</t>
  </si>
  <si>
    <t>MET-102</t>
  </si>
  <si>
    <t>Automation Pass Rate</t>
  </si>
  <si>
    <t>MET-103</t>
  </si>
  <si>
    <t>Automation Flaky Test Rate</t>
  </si>
  <si>
    <t>MET-104</t>
  </si>
  <si>
    <t>Automation Maintenance Effort</t>
  </si>
  <si>
    <t>MET-105</t>
  </si>
  <si>
    <t>Automation Feedback Time</t>
  </si>
  <si>
    <t>MET-106</t>
  </si>
  <si>
    <t>Pipeline Pass Rate</t>
  </si>
  <si>
    <t>MET-107</t>
  </si>
  <si>
    <t>Pipeline Duration</t>
  </si>
  <si>
    <t>MET-108</t>
  </si>
  <si>
    <t>Pipeline Queue Time</t>
  </si>
  <si>
    <t>MET-109</t>
  </si>
  <si>
    <t>Pipeline Failure Rate</t>
  </si>
  <si>
    <t>MET-110</t>
  </si>
  <si>
    <t>Top Failing Pipeline Tasks</t>
  </si>
  <si>
    <t>MET-111</t>
  </si>
  <si>
    <t>Pipeline Resource Minutes</t>
  </si>
  <si>
    <t>MET-112</t>
  </si>
  <si>
    <t>Artifact Build Success Rate</t>
  </si>
  <si>
    <t>MET-113</t>
  </si>
  <si>
    <t>Test Failure Concentration</t>
  </si>
  <si>
    <t>MET-114</t>
  </si>
  <si>
    <t>Infrastructure Availability</t>
  </si>
  <si>
    <t>Infrastructure / observabilité</t>
  </si>
  <si>
    <t>MET-115</t>
  </si>
  <si>
    <t>CPU Utilization</t>
  </si>
  <si>
    <t>MET-116</t>
  </si>
  <si>
    <t>Memory Utilization</t>
  </si>
  <si>
    <t>MET-117</t>
  </si>
  <si>
    <t>Storage Capacity / Growth</t>
  </si>
  <si>
    <t>MET-118</t>
  </si>
  <si>
    <t>Network Error / Loss Rate</t>
  </si>
  <si>
    <t>MET-119</t>
  </si>
  <si>
    <t>Infrastructure Saturation</t>
  </si>
  <si>
    <t>MET-120</t>
  </si>
  <si>
    <t>Infrastructure Cost per Useful Result</t>
  </si>
  <si>
    <t>MET-121</t>
  </si>
  <si>
    <t>Availability of Observability Signals</t>
  </si>
  <si>
    <t>MET-122</t>
  </si>
  <si>
    <t>Code Quality Gate Pass Rate</t>
  </si>
  <si>
    <t>MET-123</t>
  </si>
  <si>
    <t>New Code Issue Density</t>
  </si>
  <si>
    <t>MET-124</t>
  </si>
  <si>
    <t>Security Hotspot Review Rate</t>
  </si>
  <si>
    <t>MET-125</t>
  </si>
  <si>
    <t>Duplicated Blocks</t>
  </si>
  <si>
    <t>Convergence des contributions vers le produit</t>
  </si>
  <si>
    <t>Les objets locaux expliquent, influencent ou révèlent la santé du produit sans créer de santés concurrentes.</t>
  </si>
  <si>
    <t>Rôle</t>
  </si>
  <si>
    <t>Dimensions</t>
  </si>
  <si>
    <t>CV-001</t>
  </si>
  <si>
    <t>Santé; satisfaction; valeur; pérennité</t>
  </si>
  <si>
    <t>CV-002</t>
  </si>
  <si>
    <t>Contribution directe</t>
  </si>
  <si>
    <t>Capacité rendue; résultat utile</t>
  </si>
  <si>
    <t>CV-003</t>
  </si>
  <si>
    <t>Délai; reprise; qualité des entrées</t>
  </si>
  <si>
    <t>CV-004</t>
  </si>
  <si>
    <t>Contributeur</t>
  </si>
  <si>
    <t>Apprentissage; friction; dépendances</t>
  </si>
  <si>
    <t>CV-005</t>
  </si>
  <si>
    <t>Utilité; correction; coût; risque</t>
  </si>
  <si>
    <t>CV-006</t>
  </si>
  <si>
    <t>CV-007</t>
  </si>
  <si>
    <t>Coûts; capacité; ROI</t>
  </si>
  <si>
    <t>CV-008</t>
  </si>
  <si>
    <t>Réalité durable</t>
  </si>
  <si>
    <t>Usage; incidents; satisfaction; effets</t>
  </si>
  <si>
    <t>Gouvernance des métriques et des outils</t>
  </si>
  <si>
    <t>Règles d’usage des métriques issues des outils et systèmes de travail.</t>
  </si>
  <si>
    <t>GOV-001</t>
  </si>
  <si>
    <t>Métrique utile</t>
  </si>
  <si>
    <t>Répond à un besoin d’information et possède un usage autorisé.</t>
  </si>
  <si>
    <t>GOV-002</t>
  </si>
  <si>
    <t>Ne pas classer automatiquement les personnes ou équipes.</t>
  </si>
  <si>
    <t>GOV-003</t>
  </si>
  <si>
    <t>Outil ≠ vérité</t>
  </si>
  <si>
    <t>Jira, Xray, SonarQube et pipelines sont des sources contextuelles.</t>
  </si>
  <si>
    <t>GOV-004</t>
  </si>
  <si>
    <t>Suppression</t>
  </si>
  <si>
    <t>Retirer les métriques décoratives, redondantes ou sans utilité.</t>
  </si>
  <si>
    <t>GOV-005</t>
  </si>
  <si>
    <t>Version</t>
  </si>
  <si>
    <t>Versionner formule, population, référence et source.</t>
  </si>
  <si>
    <t>GOV-006</t>
  </si>
  <si>
    <t>Exposer qualité des données, biais, limites et inconnues.</t>
  </si>
  <si>
    <t>Préalables et objectifs conditionnels</t>
  </si>
  <si>
    <t>Ces chantiers soutiennent la liste primaire.</t>
  </si>
  <si>
    <t>Préalable</t>
  </si>
  <si>
    <t>Contenu</t>
  </si>
  <si>
    <t>Phases ToTAL</t>
  </si>
  <si>
    <t>Six phases</t>
  </si>
  <si>
    <t>Contrat de Validation</t>
  </si>
  <si>
    <t>Grille multidimensionnelle</t>
  </si>
  <si>
    <t>Fixed comme grille</t>
  </si>
  <si>
    <t>Connaissance du produit</t>
  </si>
  <si>
    <t>Toolbox</t>
  </si>
  <si>
    <t>Recherche et investigation</t>
  </si>
  <si>
    <t>Fixed comme catégorie</t>
  </si>
  <si>
    <t>Mesures et preuves</t>
  </si>
  <si>
    <t>Fixed comme discipline</t>
  </si>
  <si>
    <t>Couverture détaillée ToTAL</t>
  </si>
  <si>
    <t>Modèle canonique. Les états ne sont pas des verdicts automatiques et doivent toujours être reliés à un ensemble applicable, une relation couverte, des preuves, une date et des limites.</t>
  </si>
  <si>
    <t>État de couverture</t>
  </si>
  <si>
    <t>Condition d’attribution</t>
  </si>
  <si>
    <t>Preuve minimale</t>
  </si>
  <si>
    <t>Fraîcheur</t>
  </si>
  <si>
    <t>Confiance et limites</t>
  </si>
  <si>
    <t>Action permise</t>
  </si>
  <si>
    <t>COV-001</t>
  </si>
  <si>
    <t>Applicable</t>
  </si>
  <si>
    <t>Qu’est-ce qui devrait être considéré dans ce contexte?</t>
  </si>
  <si>
    <t>L’élément appartient au périmètre déclaré selon produit, population, version, environnement, risque ou obligation.</t>
  </si>
  <si>
    <t>Source d’applicabilité, règle, inventaire ou décision versionnée.</t>
  </si>
  <si>
    <t>Réévaluer lors d’un changement de périmètre ou de référence.</t>
  </si>
  <si>
    <t>Les éléments inconnus ou non inventoriés limitent le dénominateur.</t>
  </si>
  <si>
    <t>Établir le dénominateur et les exclusions explicites.</t>
  </si>
  <si>
    <t>COV-002</t>
  </si>
  <si>
    <t>Prévue</t>
  </si>
  <si>
    <t>Qu’avons-nous décidé de couvrir?</t>
  </si>
  <si>
    <t>Une stratégie, un plan, une charte ou une sélection relie l’élément applicable à une activité de Validation.</t>
  </si>
  <si>
    <t>Lien vers définition de Validation, responsable et intention.</t>
  </si>
  <si>
    <t>Actuelle pour la version et le plan déclarés.</t>
  </si>
  <si>
    <t>Prévue ne signifie ni exercée ni prouvée.</t>
  </si>
  <si>
    <t>Planifier, financer ou réviser la sélection.</t>
  </si>
  <si>
    <t>COV-003</t>
  </si>
  <si>
    <t>Exercée</t>
  </si>
  <si>
    <t>Qu’avons-nous réellement mis à l’épreuve?</t>
  </si>
  <si>
    <t>Au moins un Run contextualisé a stimulé ou parcouru la cible selon la définition déclarée.</t>
  </si>
  <si>
    <t>Run daté, version, environnement, données et traces.</t>
  </si>
  <si>
    <t>Dépend de la pertinence du Run face à l’occurrence courante.</t>
  </si>
  <si>
    <t>Exercer ne démontre pas que l’observation attendue a été obtenue ni interprétée.</t>
  </si>
  <si>
    <t>Analyser les observations et la représentativité.</t>
  </si>
  <si>
    <t>COV-004</t>
  </si>
  <si>
    <t>Observée</t>
  </si>
  <si>
    <t>Quels faits avons-nous effectivement captés?</t>
  </si>
  <si>
    <t>Les observations attendues sont disponibles, attribuables et suffisamment contextualisées.</t>
  </si>
  <si>
    <t>Journaux, mesures, sorties, captures ou observations humaines traçables.</t>
  </si>
  <si>
    <t>Liée à la fenêtre, aux sources et à la conservation des données.</t>
  </si>
  <si>
    <t>Une observation peut être incomplète, bruitée ou ambiguë.</t>
  </si>
  <si>
    <t>Effectuer les Checks et qualifier les données.</t>
  </si>
  <si>
    <t>COV-005</t>
  </si>
  <si>
    <t>Prouvée</t>
  </si>
  <si>
    <t>Un ensemble de preuves soutient une affirmation explicite avec références, contexte, confiance et limites.</t>
  </si>
  <si>
    <t>Résultats, Checks, artefacts et traçabilité suffisants pour l’affirmation.</t>
  </si>
  <si>
    <t>La preuve possède une date, une occurrence et une période d’applicabilité.</t>
  </si>
  <si>
    <t>Prouvée ne signifie jamais exhaustive, éternelle ou sans risque.</t>
  </si>
  <si>
    <t>Soutenir une recommandation ou une décision distincte.</t>
  </si>
  <si>
    <t>COV-006</t>
  </si>
  <si>
    <t>Actuelle</t>
  </si>
  <si>
    <t>La preuve demeure-t-elle pertinente maintenant?</t>
  </si>
  <si>
    <t>Version, environnement, population, références et dépendances n’ont pas rendu la preuve désuète.</t>
  </si>
  <si>
    <t>Lien entre preuve, changements, impact et dernière requalification.</t>
  </si>
  <si>
    <t>Échéance ou événements déclencheurs explicités.</t>
  </si>
  <si>
    <t>L’absence de changement connu ne garantit pas l’actualité.</t>
  </si>
  <si>
    <t>Maintenir, revalider, réduire la confiance ou retirer.</t>
  </si>
  <si>
    <t>COV-007</t>
  </si>
  <si>
    <t>Inconnue</t>
  </si>
  <si>
    <t>Que savons-nous ne pas connaître?</t>
  </si>
  <si>
    <t>L’applicabilité, l’exercice, l’observation, la preuve ou la fraîcheur ne peut pas être établie avec les informations disponibles.</t>
  </si>
  <si>
    <t>Trace de l’inconnue, de sa cause et de son effet potentiel.</t>
  </si>
  <si>
    <t>Réévaluation selon priorité, risque et nouvelles données.</t>
  </si>
  <si>
    <t>Inconnu n’est ni Fail ni absence de risque.</t>
  </si>
  <si>
    <t>Investiguer, accepter explicitement ou limiter la décision.</t>
  </si>
  <si>
    <t>Qualification initiale des 125 métriques</t>
  </si>
  <si>
    <t>Préqualification non destructive fondée sur le registre existant. Aucune formule, source, population, référence ou valeur locale n’est inventée. Ces éléments doivent être confirmés dans le contexte du produit.</t>
  </si>
  <si>
    <t>Famille actuelle</t>
  </si>
  <si>
    <t>Nature proposée</t>
  </si>
  <si>
    <t>Disposition initiale</t>
  </si>
  <si>
    <t>Cible / regroupement</t>
  </si>
  <si>
    <t>Justification</t>
  </si>
  <si>
    <t>Statut local requis</t>
  </si>
  <si>
    <t>Métrique candidate</t>
  </si>
  <si>
    <t>Conserver et qualifier localement</t>
  </si>
  <si>
    <t>Contrat qualimétrique local</t>
  </si>
  <si>
    <t>Le nom exprime une information potentiellement utile, mais son besoin, sa formule, sa population, sa source, sa référence et sa décision doivent être déclarés.</t>
  </si>
  <si>
    <t>À contextualiser avant usage décisionnel</t>
  </si>
  <si>
    <t>Vue de couverture</t>
  </si>
  <si>
    <t>Couverture ToTAL détaillée</t>
  </si>
  <si>
    <t>Relier à l’ensemble applicable, au numérateur, au dénominateur, aux preuves, à la fraîcheur et aux inconnues.</t>
  </si>
  <si>
    <t>Métrique économique</t>
  </si>
  <si>
    <t>Valeur, coût total et investissement</t>
  </si>
  <si>
    <t>Exiger horizon, comparateur, attribution, coûts inclus et effets observés.</t>
  </si>
  <si>
    <t>Métrique de sécurité</t>
  </si>
  <si>
    <t>Risque, contrôle, exposition et remédiation</t>
  </si>
  <si>
    <t>Relier actifs, menaces, sévérité, fenêtres, exceptions, preuves et risque résiduel.</t>
  </si>
  <si>
    <t>Métrique de contexte de travail</t>
  </si>
  <si>
    <t>Flux et prévisibilité contextualisés</t>
  </si>
  <si>
    <t>Ne pas transformer une mesure locale de planification en mesure directe de valeur ou de performance des personnes.</t>
  </si>
  <si>
    <t>Vue propre à un outil</t>
  </si>
  <si>
    <t>Normaliser vers un concept indépendant de l’outil</t>
  </si>
  <si>
    <t>Created vs Resolved</t>
  </si>
  <si>
    <t>Jira peut être une source, mais ne doit pas définir à lui seul la métrique canonique.</t>
  </si>
  <si>
    <t>Resolution Time</t>
  </si>
  <si>
    <t>Average Age</t>
  </si>
  <si>
    <t>Time in Status</t>
  </si>
  <si>
    <t>Workload Distribution</t>
  </si>
  <si>
    <t>Normaliser vers Validation, couverture, environnement ou défaut</t>
  </si>
  <si>
    <t>Vue Xray à relier au concept ToTAL correspondant</t>
  </si>
  <si>
    <t>Xray peut fournir des données; la définition canonique doit rester indépendante de l’outil.</t>
  </si>
  <si>
    <t>Métrique du portefeuille d’automatisation</t>
  </si>
  <si>
    <t>Pyramide de priorisation / santé de l’automatisation</t>
  </si>
  <si>
    <t>À relier au backlog d’automatisation, au coût total, à la maintenabilité, à la fiabilité et au feedback, sans devenir un objectif de volume.</t>
  </si>
  <si>
    <t>Métrique de flux de livraison</t>
  </si>
  <si>
    <t>Santé, coût et délai du pipeline</t>
  </si>
  <si>
    <t>À utiliser comme facteur explicatif de la réalisation et de la diffusion, avec contribution explicite vers le produit.</t>
  </si>
  <si>
    <t>Doublon probable de métrique de code</t>
  </si>
  <si>
    <t>Fusion candidate</t>
  </si>
  <si>
    <t>MET-036 Code Duplication</t>
  </si>
  <si>
    <t>Les deux expressions visent la duplication de code; conserver une définition canonique puis segmenter selon l’outil ou l’unité.</t>
  </si>
  <si>
    <t>Portrait qualimétrique du produit</t>
  </si>
  <si>
    <t>Vue de convergence. Les cellules « Inconnu » sont intentionnelles tant que des données locales, des références et une fenêtre d’observation ne sont pas fournies.</t>
  </si>
  <si>
    <t>Question directrice</t>
  </si>
  <si>
    <t>Contributions candidates</t>
  </si>
  <si>
    <t>Références attendues</t>
  </si>
  <si>
    <t>Qualification courante</t>
  </si>
  <si>
    <t>Inconnues / limites</t>
  </si>
  <si>
    <t>POR-001</t>
  </si>
  <si>
    <t>Santé</t>
  </si>
  <si>
    <t>Le produit peut-il satisfaire durablement ses intentions dans les conditions déclarées?</t>
  </si>
  <si>
    <t>Capacités, disponibilité, fiabilité, erreurs, performance, sécurité, récupération, couverture actuelle.</t>
  </si>
  <si>
    <t>Spécifications, SLO, seuils, baselines et tolérances versionnés.</t>
  </si>
  <si>
    <t>Inconnu</t>
  </si>
  <si>
    <t>Non évaluée</t>
  </si>
  <si>
    <t>Aucune donnée locale et aucune fenêtre déclarée.</t>
  </si>
  <si>
    <t>Priorité d’investigation, exploitation, remédiation et diffusion.</t>
  </si>
  <si>
    <t>POR-002</t>
  </si>
  <si>
    <t>Satisfaction</t>
  </si>
  <si>
    <t>Les populations déclarées obtiennent-elles une expérience et des résultats satisfaisants?</t>
  </si>
  <si>
    <t>Task Success, End User, Usability, Accessibility, CSAT, retours, abandons et soutien.</t>
  </si>
  <si>
    <t>Attentes des populations, contexte, échelles et références historiques.</t>
  </si>
  <si>
    <t>Représentativité, non-réponses, biais et segmentation à établir.</t>
  </si>
  <si>
    <t>Amélioration du parcours, contenu, accessibilité et soutien.</t>
  </si>
  <si>
    <t>POR-003</t>
  </si>
  <si>
    <t>Valeur</t>
  </si>
  <si>
    <t>Quels résultats utiles et effets attribuables le produit produit-il?</t>
  </si>
  <si>
    <t>Adoption utile, valeur actuelle et non réalisée, résultats métier, risques évités, coûts et ROI.</t>
  </si>
  <si>
    <t>Résultats utiles, comparateurs, horizon, hypothèses et attribution.</t>
  </si>
  <si>
    <t>Attribution, externalités et effets différés à établir.</t>
  </si>
  <si>
    <t>Investissement, maintien, évolution ou retrait.</t>
  </si>
  <si>
    <t>POR-004</t>
  </si>
  <si>
    <t>Pérennité</t>
  </si>
  <si>
    <t>Le produit peut-il demeurer utile, soutenable et adaptable dans le temps?</t>
  </si>
  <si>
    <t>Maintenabilité, dette, obsolescence, dépendances, capacités, coûts, compétences, compatibilité et tendances CARE.</t>
  </si>
  <si>
    <t>Horizons, cycles de soutien, scénarios de croissance et plans de migration.</t>
  </si>
  <si>
    <t>Évolutions futures et hypothèses non confirmées.</t>
  </si>
  <si>
    <t>Modernisation, migration, mise à jour, compétences et retrait.</t>
  </si>
  <si>
    <t>POR-005</t>
  </si>
  <si>
    <t>Quel crédit peut-on accorder au portrait et à ses preuves?</t>
  </si>
  <si>
    <t>Qualité des données, traçabilité, couverture, fraîcheur, répétabilité, représentativité et indépendance de perspective.</t>
  </si>
  <si>
    <t>Critères de preuve, règles de fraîcheur et niveaux de confiance.</t>
  </si>
  <si>
    <t>Sources et méthodes de calcul non contextualisées.</t>
  </si>
  <si>
    <t>Limiter, renforcer ou autoriser l’usage décisionnel.</t>
  </si>
  <si>
    <t>POR-006</t>
  </si>
  <si>
    <t>Risques et inconnues</t>
  </si>
  <si>
    <t>Quels écarts, incertitudes et angles morts pourraient changer la décision?</t>
  </si>
  <si>
    <t>Risque résiduel, inconnues de couverture, dépendances, hypothèses, incidents, dérogations et signaux émergents.</t>
  </si>
  <si>
    <t>Tolérance au risque, obligations, seuils et décisions antérieures.</t>
  </si>
  <si>
    <t>Inventaire des inconnues à construire.</t>
  </si>
  <si>
    <t>Investigation, acceptation explicite, mitigation ou arrêt.</t>
  </si>
  <si>
    <t>Cadre de clarification. Une interface, un style architectural, un protocole et une opération ne sont pas des synonymes et ne déterminent pas seuls la portée de Validation.</t>
  </si>
  <si>
    <t>Nature ToTAL</t>
  </si>
  <si>
    <t>Définition de travail</t>
  </si>
  <si>
    <t>À déclarer</t>
  </si>
  <si>
    <t>Sources de soutien</t>
  </si>
  <si>
    <t>INT-001</t>
  </si>
  <si>
    <t>API</t>
  </si>
  <si>
    <t>Interface et contrat</t>
  </si>
  <si>
    <t>Surface destinée à permettre à un consommateur logiciel d’utiliser des opérations, données ou capacités selon un contrat déclaré.</t>
  </si>
  <si>
    <t>Producteur, consommateurs, opérations, schémas, erreurs, versions, sécurité, compatibilité et preuves.</t>
  </si>
  <si>
    <t>Service complet; endpoint unique; protocole; portée E2E.</t>
  </si>
  <si>
    <t>https://docs.cloud.google.com/endpoints/docs/openapi/openapi-overview</t>
  </si>
  <si>
    <t>INT-002</t>
  </si>
  <si>
    <t>Endpoint</t>
  </si>
  <si>
    <t>Point d’accès adressable</t>
  </si>
  <si>
    <t>Point d’accès déclaré d’une API ou d’un service, associé à une adresse, une opération ou une méthode et à des conditions d’utilisation.</t>
  </si>
  <si>
    <t>Adresse ou route, méthode, paramètres, identité, contrat, statuts, limites et versions.</t>
  </si>
  <si>
    <t>API entière; Service; simple serveur.</t>
  </si>
  <si>
    <t>INT-003</t>
  </si>
  <si>
    <t>REST</t>
  </si>
  <si>
    <t>Style architectural</t>
  </si>
  <si>
    <t>Style d’interface orienté vers des ressources et leurs représentations; l’usage du mot REST doit être précisé plutôt que supposé à partir de HTTP ou JSON seuls.</t>
  </si>
  <si>
    <t>Ressources, identifiants, opérations, représentations, liens, idempotence, cache, erreurs et contraintes retenues.</t>
  </si>
  <si>
    <t>HTTP en général; OpenAPI; CRUD automatique.</t>
  </si>
  <si>
    <t>https://cloud.google.com/blog/products/api-management/understanding-grpc-openapi-and-rest-and-when-to-use-them</t>
  </si>
  <si>
    <t>INT-004</t>
  </si>
  <si>
    <t>SOAP</t>
  </si>
  <si>
    <t>Protocole de messagerie</t>
  </si>
  <si>
    <t>Protocole de messagerie structurée dont les contrats, enveloppes, actions, erreurs et extensions doivent être déclarés dans leur version et contexte.</t>
  </si>
  <si>
    <t>Version, WSDL ou contrat, opérations, enveloppes, types, faults, sécurité, transport et compatibilité.</t>
  </si>
  <si>
    <t>Web Service en général; REST; format XML isolé.</t>
  </si>
  <si>
    <t>https://www.w3.org/TR/soap12-part1/</t>
  </si>
  <si>
    <t>INT-005</t>
  </si>
  <si>
    <t>RPC</t>
  </si>
  <si>
    <t>Modèle d’appel</t>
  </si>
  <si>
    <t>Modèle dans lequel un consommateur invoque une procédure ou opération distante selon une signature et un contrat.</t>
  </si>
  <si>
    <t>Méthodes, paramètres, retours, erreurs, sérialisation, transport, délais et idempotence.</t>
  </si>
  <si>
    <t>REST; gRPC; appel local.</t>
  </si>
  <si>
    <t>INT-006</t>
  </si>
  <si>
    <t>gRPC</t>
  </si>
  <si>
    <t>Technologie RPC</t>
  </si>
  <si>
    <t>Technologie de mise en œuvre d’API RPC utilisant des définitions de service et de messages; la version, le transport et les contrats doivent être explicités.</t>
  </si>
  <si>
    <t>Fichiers proto, services, méthodes, messages, streaming, compatibilité, délais, statuts et sécurité.</t>
  </si>
  <si>
    <t>RPC générique; REST; OpenAPI.</t>
  </si>
  <si>
    <t>https://grpc.io/docs/what-is-grpc/introduction/</t>
  </si>
  <si>
    <t>INT-007</t>
  </si>
  <si>
    <t>Message</t>
  </si>
  <si>
    <t>Objet de communication</t>
  </si>
  <si>
    <t>Unité d’information produite, transmise et consommée selon un schéma, un contexte, une identité, un ordre et des garanties déclarés.</t>
  </si>
  <si>
    <t>Producteur, consommateurs, schéma, corrélation, ordre, duplication, perte, temporalité, sécurité et preuves.</t>
  </si>
  <si>
    <t>Événement; commande; transport; queue.</t>
  </si>
  <si>
    <t>https://www.asyncapi.com/docs/reference/specification/latest</t>
  </si>
  <si>
    <t>INT-008</t>
  </si>
  <si>
    <t>Protocole</t>
  </si>
  <si>
    <t>Règles d’échange</t>
  </si>
  <si>
    <t>Ensemble déclaré de règles régissant l’échange entre participants, incluant syntaxe, séquence, états, erreurs et propriétés applicables.</t>
  </si>
  <si>
    <t>Participants, version, messages, séquences, états, erreurs, délais, sécurité, compatibilité et exceptions.</t>
  </si>
  <si>
    <t>Interface; format; implémentation; Service.</t>
  </si>
  <si>
    <t>https://www.rfc-editor.org/standards</t>
  </si>
  <si>
    <t>Modèles illustratifs de pratiques de test réconciliées</t>
  </si>
  <si>
    <t>Patrons facultatifs montrant comment les pratiques pourraient être adaptées dans un contexte réel. Leur saisie n’est pas requise pour la version initiale du registre maître.</t>
  </si>
  <si>
    <t>Registre / modèle</t>
  </si>
  <si>
    <t>Champs minimaux</t>
  </si>
  <si>
    <t>Règle de décision</t>
  </si>
  <si>
    <t>Hors périmètre</t>
  </si>
  <si>
    <t>MOD-001</t>
  </si>
  <si>
    <t>Backlog de priorisation de l’automatisation</t>
  </si>
  <si>
    <t>Déterminer quels candidats réels automatiser en premier.</t>
  </si>
  <si>
    <t>Identifiant; intention; cible; spécification; préalables; dépendances; substituts; réalisabilité; groupe Fondamental/Relationnel/Aboutissement; risque; valeur; fréquence; coût manuel évité; coût initial et récurrent; feedback; déblocage; ROI; confiance; rang; décision.</t>
  </si>
  <si>
    <t>Les dépendances déterminent d’abord ce qui est réalisable; le ROI contextualisé ordonne ensuite les candidats réalisables.</t>
  </si>
  <si>
    <t>Validations manuelles; classement universel Unit/UI/E2E; hiérarchie fixe de coût.</t>
  </si>
  <si>
    <t>Modèle illustratif disponible</t>
  </si>
  <si>
    <t>MOD-002</t>
  </si>
  <si>
    <t>Gouverner les Validations qui demeurent volontairement humaines.</t>
  </si>
  <si>
    <t>Identifiant; intention; cible; raison du maintien manuel; compétences; variabilité; valeur; fréquence; coût; risques; preuves; date ou signal de réévaluation; décision.</t>
  </si>
  <si>
    <t>Conserver manuelle tant que l’automatisation est déconseillée, non rentable, irréalisable ou inappropriée; réévaluer selon les signaux déclarés.</t>
  </si>
  <si>
    <t>Étage de la pyramide; échec implicite; omission de la Validation.</t>
  </si>
  <si>
    <t>MOD-003</t>
  </si>
  <si>
    <t>Registre des usages et évaluateurs IA</t>
  </si>
  <si>
    <t>Qualifier l’IA comme cible, contributeur de réalisation ou instrument de Validation.</t>
  </si>
  <si>
    <t>Usage; rôle; modèle et version; fournisseur; prompts; instructions; sources; données; RAG; mémoire; outils; permissions; autonomie; évaluateurs; références; métriques; faux résultats; supervision; sécurité; coût; dérive; preuves; limites; CARE.</t>
  </si>
  <si>
    <t>Valider avant de déléguer; une IA n’est pas automatiquement son propre oracle, une preuve suffisante ou une autorité de décision.</t>
  </si>
  <si>
    <t>Simple liste d’outils; confiance implicite; approbation automatique.</t>
  </si>
  <si>
    <t>MOD-004</t>
  </si>
  <si>
    <t>Matrice locale de couverture</t>
  </si>
  <si>
    <t>Relier les ensembles applicables aux Validations, Runs, preuves, fraîcheur et inconnues.</t>
  </si>
  <si>
    <t>Élément applicable; relation couverte; risque; spécification; définition de Validation; Run; observations; Checks; preuves; dernier changement; fraîcheur; confiance; inconnues; action.</t>
  </si>
  <si>
    <t>La couverture doit exposer ce qui est applicable, prévu, exercé, observé, prouvé, actuel et inconnu.</t>
  </si>
  <si>
    <t>Nombre brut de tests; cases cochées sans preuve.</t>
  </si>
  <si>
    <t>MOD-005</t>
  </si>
  <si>
    <t>Carte de Validation par phase</t>
  </si>
  <si>
    <t>Distribuer les besoins de Validation dans toute la trajectoire du produit.</t>
  </si>
  <si>
    <t>Phase; intention; risques; questions; spécifications; modèles; prévention; investigations; techniques; responsabilités; preuves; feedback; apprentissages; CARE.</t>
  </si>
  <si>
    <t>Choisir les activités utiles au fur et à mesure, sans imposer une campagne finale ni une recette universelle.</t>
  </si>
  <si>
    <t>Séquence rigide des repères SENSE/SPECIFY/FORGE/DELIVERY/CARE.</t>
  </si>
  <si>
    <t>Lecture facultative des modèles illustratifs</t>
  </si>
  <si>
    <t>Ces compteurs servent uniquement si les modèles sont adaptés localement. Les zéros ne signalent ni un manque dans le registre maître ni un jugement sur un produit.</t>
  </si>
  <si>
    <t>Registre</t>
  </si>
  <si>
    <t>Lignes renseignées</t>
  </si>
  <si>
    <t>Indicateur complémentaire</t>
  </si>
  <si>
    <t>Matrice couverture locale</t>
  </si>
  <si>
    <t>Nombre de lignes locales; deuxième valeur = couvertures inconnues.</t>
  </si>
  <si>
    <t>Backlog automatisation</t>
  </si>
  <si>
    <t>Nombre de candidats; deuxième valeur = candidats réalisables.</t>
  </si>
  <si>
    <t>Validations manuelles</t>
  </si>
  <si>
    <t>Nombre de décisions; deuxième valeur = maintien manuel explicite.</t>
  </si>
  <si>
    <t>Registre usages IA</t>
  </si>
  <si>
    <t>Nombre d’usages; deuxième valeur = usages IA comme évaluateur.</t>
  </si>
  <si>
    <t>Carte Validation phases</t>
  </si>
  <si>
    <t>Nombre de lignes locales; deuxième valeur = phases renseignées.</t>
  </si>
  <si>
    <t>Modèle illustratif. Montre comment relier applicabilité, définition de Validation, Runs, observations, Checks, preuves, fraîcheur et inconnues. La ligne grisée est une consigne, pas une donnée réelle.</t>
  </si>
  <si>
    <t>Élément applicable</t>
  </si>
  <si>
    <t>Relation couverte</t>
  </si>
  <si>
    <t>Produit / version</t>
  </si>
  <si>
    <t>Population / environnement</t>
  </si>
  <si>
    <t>Risque / obligation</t>
  </si>
  <si>
    <t>Spécification / référence</t>
  </si>
  <si>
    <t>Observations</t>
  </si>
  <si>
    <t>Checks</t>
  </si>
  <si>
    <t>Preuves</t>
  </si>
  <si>
    <t>Dernier changement</t>
  </si>
  <si>
    <t>Action / décision</t>
  </si>
  <si>
    <t>Identifiant local</t>
  </si>
  <si>
    <t>Capacité, propriété, parcours, obligation ou autre élément du dénominateur</t>
  </si>
  <si>
    <t>Lien exact à couvrir</t>
  </si>
  <si>
    <t>Occurrence concernée</t>
  </si>
  <si>
    <t>Périmètre et conditions</t>
  </si>
  <si>
    <t>Pourquoi cet élément importe</t>
  </si>
  <si>
    <t>Attente versionnée</t>
  </si>
  <si>
    <t>Comment provoquer, observer ou analyser</t>
  </si>
  <si>
    <t>Occurrence datée</t>
  </si>
  <si>
    <t>Faits captés</t>
  </si>
  <si>
    <t>Comparaisons locales</t>
  </si>
  <si>
    <t>Artefacts soutenant une affirmation</t>
  </si>
  <si>
    <t>Applicable, prévue, exercée, observée, prouvée, actuelle ou inconnue</t>
  </si>
  <si>
    <t>Changement pouvant affecter la preuve</t>
  </si>
  <si>
    <t>Règle ou date de requalification</t>
  </si>
  <si>
    <t>Crédit accordé et justification</t>
  </si>
  <si>
    <t>Ce qui manque ou n’est pas démontré</t>
  </si>
  <si>
    <t>Investigation, maintien, revalidation ou limite décisionnelle</t>
  </si>
  <si>
    <t>Modèle illustratif. Montre comment prioriser l’automatisation : dépendances et préalables déterminent la réalisabilité, puis le ROI contextualisé ordonne les candidats réalisables.</t>
  </si>
  <si>
    <t>Cible</t>
  </si>
  <si>
    <t>Spécification / question</t>
  </si>
  <si>
    <t>Préalables</t>
  </si>
  <si>
    <t>Dépendances</t>
  </si>
  <si>
    <t>Substituts acceptés</t>
  </si>
  <si>
    <t>Réalisabilité</t>
  </si>
  <si>
    <t>Groupe structurel</t>
  </si>
  <si>
    <t>Risque / criticité</t>
  </si>
  <si>
    <t>Valeur informationnelle</t>
  </si>
  <si>
    <t>Fréquence</t>
  </si>
  <si>
    <t>Coût manuel évité</t>
  </si>
  <si>
    <t>Coût initial</t>
  </si>
  <si>
    <t>Coût récurrent</t>
  </si>
  <si>
    <t>Maintenance / instabilité</t>
  </si>
  <si>
    <t>Délai de feedback</t>
  </si>
  <si>
    <t>Capacité de déblocage</t>
  </si>
  <si>
    <t>ROI attendu</t>
  </si>
  <si>
    <t>Confiance / limites</t>
  </si>
  <si>
    <t>Rang courant</t>
  </si>
  <si>
    <t>Pourquoi automatiser</t>
  </si>
  <si>
    <t>Objet et occurrence</t>
  </si>
  <si>
    <t>Attente ou besoin d’information</t>
  </si>
  <si>
    <t>Ce qui doit exister avant</t>
  </si>
  <si>
    <t>Objets ou capacités requis</t>
  </si>
  <si>
    <t>Remplacements explicitement tolérés</t>
  </si>
  <si>
    <t>Réalisable, bloqué ou inconnu</t>
  </si>
  <si>
    <t>Fondamental, relationnel, aboutissement ou non classé</t>
  </si>
  <si>
    <t>Conséquence et vraisemblance</t>
  </si>
  <si>
    <t>Information ou réduction de risque attendue</t>
  </si>
  <si>
    <t>Cadence utile</t>
  </si>
  <si>
    <t>Effort humain réellement évité</t>
  </si>
  <si>
    <t>Investissement de création</t>
  </si>
  <si>
    <t>Coût durable</t>
  </si>
  <si>
    <t>Charge et variabilité attendues</t>
  </si>
  <si>
    <t>Temps avant information utile</t>
  </si>
  <si>
    <t>Automatisations rendues possibles</t>
  </si>
  <si>
    <t>Hypothèses de retour</t>
  </si>
  <si>
    <t>Qualité des estimations et exclusions</t>
  </si>
  <si>
    <t>Position révisable</t>
  </si>
  <si>
    <t>Automatiser, différer, investiguer ou ne pas automatiser</t>
  </si>
  <si>
    <t>Modèle illustratif distinct de la pyramide. Montre comment justifier et réévaluer une Validation volontairement humaine sans la présenter comme un échec d’automatisation.</t>
  </si>
  <si>
    <t>Raison du maintien manuel</t>
  </si>
  <si>
    <t>Compétences / perspectives</t>
  </si>
  <si>
    <t>Variabilité utile</t>
  </si>
  <si>
    <t>Coût</t>
  </si>
  <si>
    <t>Risques</t>
  </si>
  <si>
    <t>Preuves attendues</t>
  </si>
  <si>
    <t>Date ou signal de réévaluation</t>
  </si>
  <si>
    <t>Déclencheur d’automatisation</t>
  </si>
  <si>
    <t>Pourquoi valider</t>
  </si>
  <si>
    <t>Jugement, exploration, interaction, coût ou contrainte justifiant le mode humain</t>
  </si>
  <si>
    <t>Compétences nécessaires</t>
  </si>
  <si>
    <t>Ce que l’humain adapte ou découvre</t>
  </si>
  <si>
    <t>Contribution recherchée</t>
  </si>
  <si>
    <t>Effort contextualisé</t>
  </si>
  <si>
    <t>Risques du mode manuel et de son omission</t>
  </si>
  <si>
    <t>Traces et artefacts requis</t>
  </si>
  <si>
    <t>Quand reconsidérer</t>
  </si>
  <si>
    <t>Condition rendant l’automatisation pertinente</t>
  </si>
  <si>
    <t>Conserver manuelle, hybride, investiguer ou retirer</t>
  </si>
  <si>
    <t>Crédit et limites</t>
  </si>
  <si>
    <t>Modèle illustratif. Montre comment qualifier l’IA comme cible, contributeur, instrument ou évaluateur sans la considérer automatiquement comme oracle, preuve ou autorité.</t>
  </si>
  <si>
    <t>Usage / résultat utile</t>
  </si>
  <si>
    <t>Rôle de l’IA</t>
  </si>
  <si>
    <t>Cible / processus</t>
  </si>
  <si>
    <t>Modèle / fournisseur / version</t>
  </si>
  <si>
    <t>Prompts / instructions</t>
  </si>
  <si>
    <t>Sources / ancrage</t>
  </si>
  <si>
    <t>Données</t>
  </si>
  <si>
    <t>RAG / mémoire</t>
  </si>
  <si>
    <t>Outils / permissions</t>
  </si>
  <si>
    <t>Autonomie</t>
  </si>
  <si>
    <t>Références d’évaluation</t>
  </si>
  <si>
    <t>Évaluateurs</t>
  </si>
  <si>
    <t>Métriques / seuils</t>
  </si>
  <si>
    <t>Faux positifs / négatifs</t>
  </si>
  <si>
    <t>Supervision / recours</t>
  </si>
  <si>
    <t>Sécurité / confidentialité</t>
  </si>
  <si>
    <t>Dérive / requalification</t>
  </si>
  <si>
    <t>Suivi CARE</t>
  </si>
  <si>
    <t>Intention et résultat attendu</t>
  </si>
  <si>
    <t>Cible, contributeur de réalisation, instrument ou évaluateur</t>
  </si>
  <si>
    <t>Étape ou objet concerné</t>
  </si>
  <si>
    <t>Occurrence exacte utilisée</t>
  </si>
  <si>
    <t>Instructions versionnées</t>
  </si>
  <si>
    <t>Connaissances autorisées et soutien attendu</t>
  </si>
  <si>
    <t>Catégories, provenance et protection</t>
  </si>
  <si>
    <t>Index, mémoire et persistance</t>
  </si>
  <si>
    <t>Accès, effets et restrictions</t>
  </si>
  <si>
    <t>Niveau d’initiative permis</t>
  </si>
  <si>
    <t>Attentes et jeux d’évaluation</t>
  </si>
  <si>
    <t>Humains, règles ou modèles qualifiés</t>
  </si>
  <si>
    <t>Mesures et tolérances</t>
  </si>
  <si>
    <t>Erreurs de qualification à suivre</t>
  </si>
  <si>
    <t>Responsabilité, intervention et contestation</t>
  </si>
  <si>
    <t>Menaces, données protégées et garde-fous</t>
  </si>
  <si>
    <t>Coûts directs et indirects</t>
  </si>
  <si>
    <t>Événements imposant une nouvelle qualification</t>
  </si>
  <si>
    <t>Runs, traces, résultats et décisions</t>
  </si>
  <si>
    <t>Crédit et inconnues</t>
  </si>
  <si>
    <t>Effets réels, incidents et apprentissages</t>
  </si>
  <si>
    <t>Modèle illustratif. Montre comment distribuer la Validation dans les six phases sans la réduire à une campagne finale ni rendre la trajectoire rigide.</t>
  </si>
  <si>
    <t>Intention / résultat utile</t>
  </si>
  <si>
    <t>Risques / inconnues</t>
  </si>
  <si>
    <t>Questions de Validation</t>
  </si>
  <si>
    <t>Spécifications</t>
  </si>
  <si>
    <t>Modèles produit</t>
  </si>
  <si>
    <t>Prévention</t>
  </si>
  <si>
    <t>Investigations / toolbox</t>
  </si>
  <si>
    <t>Techniques / instruments</t>
  </si>
  <si>
    <t>Responsabilités</t>
  </si>
  <si>
    <t>Feedback / délai</t>
  </si>
  <si>
    <t>Apprentissages / changements</t>
  </si>
  <si>
    <t>Lien CARE</t>
  </si>
  <si>
    <t>Couverture / limites</t>
  </si>
  <si>
    <t>Éliciter, Définir, Planifier, Implémenter, Diffuser ou Confirmer</t>
  </si>
  <si>
    <t>Ce que cette phase doit rendre possible</t>
  </si>
  <si>
    <t>Ce qui pourrait empêcher ou changer le résultat</t>
  </si>
  <si>
    <t>Ce qu’il faut apprendre ou confirmer</t>
  </si>
  <si>
    <t>Attentes claires et vérifiables</t>
  </si>
  <si>
    <t>Représentations utiles</t>
  </si>
  <si>
    <t>Réduction précoce des défauts et ambiguïtés</t>
  </si>
  <si>
    <t>Questions, chartes et outils</t>
  </si>
  <si>
    <t>Comment observer ou éprouver</t>
  </si>
  <si>
    <t>Qui contribue et décide</t>
  </si>
  <si>
    <t>Artefacts soutenant les affirmations</t>
  </si>
  <si>
    <t>Quand l’information doit revenir</t>
  </si>
  <si>
    <t>Révision des intentions, modèles, plans ou réalisations</t>
  </si>
  <si>
    <t>Observation durable des effets</t>
  </si>
  <si>
    <t>Applicable, connu, actuel et inconnu</t>
  </si>
  <si>
    <t>Référentiels facultatifs des modèles illustratifs</t>
  </si>
  <si>
    <t>Listes contrôlées proposées pour une éventuelle adaptation locale. Elles n’ajoutent aucune obligation à la version initiale du registre maître.</t>
  </si>
  <si>
    <t>Réalisabilité automatisation</t>
  </si>
  <si>
    <t>Décision automatisation</t>
  </si>
  <si>
    <t>Décision manuelle</t>
  </si>
  <si>
    <t>Rôle IA</t>
  </si>
  <si>
    <t>Autonomie IA</t>
  </si>
  <si>
    <t>Phase ToTAL</t>
  </si>
  <si>
    <t>Niveau de confiance</t>
  </si>
  <si>
    <t>Qualification générale</t>
  </si>
  <si>
    <t>Réalisable</t>
  </si>
  <si>
    <t>Fondamental</t>
  </si>
  <si>
    <t>Automatiser</t>
  </si>
  <si>
    <t>Conserver manuelle</t>
  </si>
  <si>
    <t>Aucune</t>
  </si>
  <si>
    <t>Bloqué</t>
  </si>
  <si>
    <t>Relationnel</t>
  </si>
  <si>
    <t>Différer</t>
  </si>
  <si>
    <t>Hybride</t>
  </si>
  <si>
    <t>Actif à définir et configurer</t>
  </si>
  <si>
    <t>Assistée</t>
  </si>
  <si>
    <t>Faible</t>
  </si>
  <si>
    <t>Aboutissement</t>
  </si>
  <si>
    <t>Investiguer</t>
  </si>
  <si>
    <t>Contributeur de réalisation</t>
  </si>
  <si>
    <t>Supervisée</t>
  </si>
  <si>
    <t>Modérée</t>
  </si>
  <si>
    <t>Écart</t>
  </si>
  <si>
    <t>Non classé</t>
  </si>
  <si>
    <t>Ne pas automatiser</t>
  </si>
  <si>
    <t>Retirer</t>
  </si>
  <si>
    <t>Instrument de Validation</t>
  </si>
  <si>
    <t>Bornée</t>
  </si>
  <si>
    <t>Élevée</t>
  </si>
  <si>
    <t>Dérive</t>
  </si>
  <si>
    <t>Évaluateur</t>
  </si>
  <si>
    <t>À investiguer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</si>
</sst>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8"/>
      <color rgb="FFFFFFFF"/>
      <name val="Calibri"/>
    </font>
    <font>
      <b/>
      <sz val="11"/>
      <color rgb="FFFFFFFF"/>
      <name val="Calibri"/>
    </font>
    <font>
      <i/>
      <sz val="11"/>
      <color rgb="FF595959"/>
      <name val="Calibri"/>
    </font>
    <font>
      <b/>
      <sz val="11"/>
      <name val="Calibri"/>
    </font>
    <font>
      <b/>
      <sz val="14"/>
      <color rgb="FFFFFFFF"/>
      <name val="Calibri"/>
    </font>
    <font>
      <sz val="11"/>
      <color rgb="FF375623"/>
      <name val="Calibri"/>
    </font>
    <font>
      <sz val="11"/>
      <color rgb="FF9C0006"/>
      <name val="Calibri"/>
    </font>
    <font>
      <b/>
      <sz val="16"/>
      <color rgb="FFFFFFFF"/>
      <name val="Calibri"/>
    </font>
    <font>
      <i/>
      <sz val="11"/>
      <color rgb="FF404040"/>
      <name val="Calibri"/>
    </font>
    <font>
      <i/>
      <sz val="11"/>
      <color rgb="FF666666"/>
      <name val="Calibri"/>
    </font>
    <font>
      <sz val="11"/>
      <color rgb="FF0000FF"/>
      <name val="Calibri"/>
    </font>
    <font>
      <sz val="11"/>
      <color rgb="FF000000"/>
      <name val="Calibri"/>
    </font>
    <font>
      <b/>
      <sz val="22"/>
      <color rgb="FFFFFFFF"/>
      <name val="Aptos Display"/>
    </font>
    <font>
      <i/>
      <sz val="11"/>
      <color rgb="FF1F1F1F"/>
      <name val="Aptos"/>
    </font>
    <font>
      <b/>
      <sz val="11"/>
      <color rgb="FF1F4E78"/>
      <name val="Calibri"/>
    </font>
    <font>
      <b/>
      <sz val="11"/>
      <color rgb="FF375623"/>
      <name val="Calibri"/>
    </font>
    <font>
      <sz val="12"/>
      <color theme="10"/>
      <name val="Calibri"/>
      <family val="2"/>
      <scheme val="minor"/>
    </font>
    <font>
      <b/>
      <sz val="18"/>
      <color rgb="FFFFFFFF"/>
      <name val="Aptos Display"/>
    </font>
  </fonts>
  <fills count="16">
    <fill>
      <patternFill patternType="none"/>
    </fill>
    <fill>
      <patternFill patternType="gray125"/>
    </fill>
    <fill>
      <patternFill patternType="solid">
        <fgColor rgb="FF17365D"/>
      </patternFill>
    </fill>
    <fill>
      <patternFill patternType="solid">
        <fgColor rgb="FFEAF2F8"/>
      </patternFill>
    </fill>
    <fill>
      <patternFill patternType="solid">
        <fgColor rgb="FFF7FBFE"/>
      </patternFill>
    </fill>
    <fill>
      <patternFill patternType="solid">
        <fgColor rgb="FFE7E6E6"/>
      </patternFill>
    </fill>
    <fill>
      <patternFill patternType="solid">
        <fgColor rgb="FFDDEBF7"/>
      </patternFill>
    </fill>
    <fill>
      <patternFill patternType="solid">
        <fgColor rgb="FF1F4E78"/>
      </patternFill>
    </fill>
    <fill>
      <patternFill patternType="solid">
        <fgColor rgb="FFD9EAF7"/>
      </patternFill>
    </fill>
    <fill>
      <patternFill patternType="solid">
        <fgColor rgb="FF70AD47"/>
      </patternFill>
    </fill>
    <fill>
      <patternFill patternType="solid">
        <fgColor rgb="FFFFFFFF"/>
      </patternFill>
    </fill>
    <fill>
      <patternFill patternType="solid">
        <fgColor rgb="FFE2F0D9"/>
      </patternFill>
    </fill>
    <fill>
      <patternFill patternType="solid">
        <fgColor rgb="FF5B9BD5"/>
      </patternFill>
    </fill>
    <fill>
      <patternFill patternType="solid">
        <fgColor rgb="FFEAF3F8"/>
      </patternFill>
    </fill>
    <fill>
      <patternFill patternType="solid">
        <fgColor rgb="FFF4B183"/>
      </patternFill>
    </fill>
    <fill>
      <patternFill patternType="solid">
        <fgColor rgb="FFFCE4D6"/>
      </patternFill>
    </fill>
  </fills>
  <borders count="4">
    <border>
      <left/>
      <right/>
      <top/>
      <bottom/>
      <diagonal/>
    </border>
    <border>
      <left/>
      <right/>
      <top/>
      <bottom style="hair">
        <color rgb="FFD9E1F2"/>
      </bottom>
      <diagonal/>
    </border>
    <border>
      <left/>
      <right/>
      <top/>
      <bottom style="thin">
        <color rgb="FFA6A6A6"/>
      </bottom>
      <diagonal/>
    </border>
    <border>
      <left/>
      <right/>
      <top/>
      <bottom style="thin">
        <color rgb="FFB7B7B7"/>
      </bottom>
      <diagonal/>
    </border>
  </borders>
  <cellStyleXfs count="2">
    <xf numFmtId="0" fontId="0" fillId="0" borderId="0"/>
    <xf numFmtId="0" fontId="17" fillId="0" borderId="0"/>
  </cellStyleXfs>
  <cellXfs count="59">
    <xf numFmtId="0" fontId="0" fillId="0" borderId="0" xfId="0"/>
    <xf numFmtId="0" fontId="0" fillId="0" borderId="0" xfId="0" applyAlignment="1">
      <alignment vertical="top" wrapText="1"/>
    </xf>
    <xf numFmtId="0" fontId="0" fillId="0" borderId="0" xfId="0" applyAlignment="1">
      <alignment horizontal="center" vertical="top"/>
    </xf>
    <xf numFmtId="0" fontId="2" fillId="2" borderId="0" xfId="0" applyFont="1" applyFill="1"/>
    <xf numFmtId="0" fontId="2" fillId="2" borderId="0" xfId="0" applyFont="1" applyFill="1" applyAlignment="1">
      <alignment horizontal="center" vertical="top"/>
    </xf>
    <xf numFmtId="0" fontId="2" fillId="2" borderId="0" xfId="0" applyFont="1" applyFill="1" applyAlignment="1">
      <alignment wrapText="1"/>
    </xf>
    <xf numFmtId="0" fontId="2" fillId="2" borderId="0" xfId="0" applyFont="1" applyFill="1" applyAlignment="1">
      <alignment vertical="center" wrapText="1"/>
    </xf>
    <xf numFmtId="0" fontId="0" fillId="4" borderId="1" xfId="0" applyFill="1" applyBorder="1" applyAlignment="1">
      <alignment vertical="top" wrapText="1"/>
    </xf>
    <xf numFmtId="0" fontId="10" fillId="4" borderId="1" xfId="0" applyFont="1" applyFill="1" applyBorder="1" applyAlignment="1">
      <alignment vertical="top" wrapText="1"/>
    </xf>
    <xf numFmtId="0" fontId="0" fillId="4" borderId="0" xfId="0" applyFill="1" applyAlignment="1">
      <alignment vertical="top" wrapText="1"/>
    </xf>
    <xf numFmtId="0" fontId="12" fillId="4" borderId="0" xfId="0" applyFont="1" applyFill="1" applyAlignment="1">
      <alignment vertical="top" wrapText="1"/>
    </xf>
    <xf numFmtId="0" fontId="11" fillId="6" borderId="0" xfId="0" applyFont="1" applyFill="1" applyAlignment="1">
      <alignment vertical="top" wrapText="1"/>
    </xf>
    <xf numFmtId="0" fontId="0" fillId="5" borderId="0" xfId="0" applyFill="1" applyAlignment="1">
      <alignment wrapText="1"/>
    </xf>
    <xf numFmtId="0" fontId="16" fillId="11" borderId="0" xfId="0" applyFont="1" applyFill="1" applyAlignment="1">
      <alignment vertical="top" wrapText="1"/>
    </xf>
    <xf numFmtId="0" fontId="17" fillId="0" borderId="0" xfId="1" applyAlignment="1">
      <alignment vertical="top" wrapText="1"/>
    </xf>
    <xf numFmtId="0" fontId="2" fillId="2" borderId="0" xfId="0" applyFont="1" applyFill="1" applyAlignment="1">
      <alignment vertical="top" wrapText="1"/>
    </xf>
    <xf numFmtId="0" fontId="13" fillId="7" borderId="0" xfId="0" applyFont="1" applyFill="1" applyAlignment="1">
      <alignment horizontal="left" vertical="top" wrapText="1"/>
    </xf>
    <xf numFmtId="0" fontId="0" fillId="15" borderId="0" xfId="0" applyFill="1" applyAlignment="1">
      <alignment vertical="top" wrapText="1"/>
    </xf>
    <xf numFmtId="0" fontId="14" fillId="8" borderId="0" xfId="0" applyFont="1" applyFill="1" applyAlignment="1">
      <alignment vertical="top" wrapText="1"/>
    </xf>
    <xf numFmtId="0" fontId="0" fillId="8" borderId="0" xfId="0" applyFill="1" applyAlignment="1">
      <alignment vertical="top" wrapText="1"/>
    </xf>
    <xf numFmtId="0" fontId="18" fillId="7" borderId="0" xfId="0" applyFont="1" applyFill="1" applyAlignment="1">
      <alignment vertical="top" wrapText="1"/>
    </xf>
    <xf numFmtId="0" fontId="1" fillId="2" borderId="0" xfId="0" applyFont="1" applyFill="1" applyAlignment="1">
      <alignment vertical="top" wrapText="1"/>
    </xf>
    <xf numFmtId="0" fontId="3" fillId="5" borderId="0" xfId="0" applyFont="1" applyFill="1" applyAlignment="1">
      <alignment vertical="top" wrapText="1"/>
    </xf>
    <xf numFmtId="0" fontId="0" fillId="5" borderId="0" xfId="0" applyFill="1" applyAlignment="1">
      <alignment wrapText="1"/>
    </xf>
    <xf numFmtId="0" fontId="0" fillId="0" borderId="0" xfId="0" applyAlignment="1">
      <alignment horizontal="center" vertical="top"/>
    </xf>
    <xf numFmtId="0" fontId="0" fillId="5" borderId="0" xfId="0" applyFill="1" applyAlignment="1">
      <alignment vertical="center" wrapText="1"/>
    </xf>
    <xf numFmtId="0" fontId="3" fillId="5" borderId="0" xfId="0" applyFont="1" applyFill="1" applyAlignment="1">
      <alignment vertical="center" wrapText="1"/>
    </xf>
    <xf numFmtId="0" fontId="1" fillId="2" borderId="0" xfId="0" applyFont="1" applyFill="1" applyAlignment="1">
      <alignment vertical="center"/>
    </xf>
    <xf numFmtId="0" fontId="9" fillId="3" borderId="0" xfId="0" applyFont="1" applyFill="1" applyAlignment="1">
      <alignment vertical="top" wrapText="1"/>
    </xf>
    <xf numFmtId="0" fontId="0" fillId="3" borderId="0" xfId="0" applyFill="1" applyAlignment="1">
      <alignment wrapText="1"/>
    </xf>
    <xf numFmtId="0" fontId="0" fillId="0" borderId="0" xfId="0" applyAlignment="1"/>
    <xf numFmtId="0" fontId="2" fillId="9" borderId="0" xfId="0" applyFont="1" applyFill="1" applyAlignment="1">
      <alignment horizontal="center" vertical="top" wrapText="1"/>
    </xf>
    <xf numFmtId="0" fontId="15" fillId="10" borderId="3" xfId="0" applyFont="1" applyFill="1" applyBorder="1" applyAlignment="1">
      <alignment vertical="top" wrapText="1"/>
    </xf>
    <xf numFmtId="0" fontId="16" fillId="11" borderId="3" xfId="0" applyFont="1" applyFill="1" applyBorder="1" applyAlignment="1">
      <alignment vertical="top" wrapText="1"/>
    </xf>
    <xf numFmtId="0" fontId="0" fillId="10" borderId="3" xfId="0" applyFill="1" applyBorder="1" applyAlignment="1">
      <alignment vertical="top" wrapText="1"/>
    </xf>
    <xf numFmtId="0" fontId="2" fillId="7" borderId="0" xfId="0" applyFont="1" applyFill="1" applyAlignment="1">
      <alignment vertical="top" wrapText="1"/>
    </xf>
    <xf numFmtId="0" fontId="2" fillId="12" borderId="0" xfId="0" applyFont="1" applyFill="1" applyAlignment="1">
      <alignment vertical="top" wrapText="1"/>
    </xf>
    <xf numFmtId="0" fontId="15" fillId="13" borderId="3" xfId="0" applyFont="1" applyFill="1" applyBorder="1" applyAlignment="1">
      <alignment vertical="top" wrapText="1"/>
    </xf>
    <xf numFmtId="0" fontId="0" fillId="13" borderId="3" xfId="0" applyFill="1" applyBorder="1" applyAlignment="1">
      <alignment vertical="top" wrapText="1"/>
    </xf>
    <xf numFmtId="0" fontId="15" fillId="0" borderId="3" xfId="0" applyFont="1" applyBorder="1" applyAlignment="1">
      <alignment vertical="top" wrapText="1"/>
    </xf>
    <xf numFmtId="0" fontId="0" fillId="0" borderId="3" xfId="0" applyBorder="1" applyAlignment="1">
      <alignment vertical="top" wrapText="1"/>
    </xf>
    <xf numFmtId="0" fontId="0" fillId="0" borderId="3" xfId="0" applyBorder="1" applyAlignment="1">
      <alignment vertical="top" wrapText="1"/>
    </xf>
    <xf numFmtId="0" fontId="0" fillId="0" borderId="3" xfId="0" applyBorder="1" applyAlignment="1"/>
    <xf numFmtId="0" fontId="2" fillId="14" borderId="0" xfId="0" applyFont="1" applyFill="1" applyAlignment="1">
      <alignment vertical="top" wrapText="1"/>
    </xf>
    <xf numFmtId="0" fontId="1" fillId="2" borderId="0" xfId="0" applyFont="1" applyFill="1" applyAlignment="1"/>
    <xf numFmtId="0" fontId="6" fillId="11" borderId="0" xfId="0" applyFont="1" applyFill="1" applyAlignment="1">
      <alignment vertical="top" wrapText="1"/>
    </xf>
    <xf numFmtId="0" fontId="7" fillId="15" borderId="0" xfId="0" applyFont="1" applyFill="1" applyAlignment="1">
      <alignment vertical="top" wrapText="1"/>
    </xf>
    <xf numFmtId="0" fontId="4" fillId="15" borderId="0" xfId="0" applyFont="1" applyFill="1" applyAlignment="1">
      <alignment vertical="top" wrapText="1"/>
    </xf>
    <xf numFmtId="0" fontId="5" fillId="7" borderId="0" xfId="0" applyFont="1" applyFill="1" applyAlignment="1"/>
    <xf numFmtId="0" fontId="0" fillId="8" borderId="0" xfId="0" applyFill="1" applyAlignment="1">
      <alignment wrapText="1"/>
    </xf>
    <xf numFmtId="0" fontId="2" fillId="7" borderId="0" xfId="0" applyFont="1" applyFill="1" applyAlignment="1">
      <alignment wrapText="1"/>
    </xf>
    <xf numFmtId="0" fontId="0" fillId="11" borderId="0" xfId="0" applyFill="1" applyAlignment="1">
      <alignment vertical="top" wrapText="1"/>
    </xf>
    <xf numFmtId="0" fontId="8" fillId="7" borderId="0" xfId="0" applyFont="1" applyFill="1" applyAlignment="1">
      <alignment vertical="center"/>
    </xf>
    <xf numFmtId="0" fontId="2" fillId="7" borderId="3" xfId="0" applyFont="1" applyFill="1" applyBorder="1" applyAlignment="1">
      <alignment vertical="center" wrapText="1"/>
    </xf>
    <xf numFmtId="0" fontId="0" fillId="10" borderId="1" xfId="0" applyFill="1" applyBorder="1" applyAlignment="1">
      <alignment vertical="top" wrapText="1"/>
    </xf>
    <xf numFmtId="0" fontId="8" fillId="7" borderId="0" xfId="0" applyFont="1" applyFill="1" applyAlignment="1"/>
    <xf numFmtId="0" fontId="0" fillId="10" borderId="0" xfId="0" applyFill="1" applyAlignment="1">
      <alignment vertical="top" wrapText="1"/>
    </xf>
    <xf numFmtId="0" fontId="12" fillId="10" borderId="0" xfId="0" applyFont="1" applyFill="1" applyAlignment="1">
      <alignment vertical="top" wrapText="1"/>
    </xf>
    <xf numFmtId="0" fontId="2" fillId="7" borderId="2" xfId="0" applyFont="1" applyFill="1" applyBorder="1" applyAlignment="1">
      <alignment vertical="center" wrapText="1"/>
    </xf>
  </cellXfs>
  <cellStyles count="2">
    <cellStyle name="Lien hypertexte" xfId="1" builtinId="8"/>
    <cellStyle name="Normal" xfId="0" builtinId="0"/>
  </cellStyles>
  <dxfs count="1">
    <dxf>
      <alignment horizontal="center" vertical="top"/>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LisezMoi" displayName="tblLisezMoi" ref="A4:D11">
  <autoFilter ref="A4:D11" xr:uid="{00000000-0009-0000-0100-000001000000}"/>
  <tableColumns count="4">
    <tableColumn id="1" xr3:uid="{00000000-0010-0000-0000-000001000000}" name="Élément"/>
    <tableColumn id="2" xr3:uid="{00000000-0010-0000-0000-000002000000}" name="Décision"/>
    <tableColumn id="3" xr3:uid="{00000000-0010-0000-0000-000003000000}" name="Conséquence"/>
    <tableColumn id="4" xr3:uid="{00000000-0010-0000-0000-000004000000}" name="Prochaine éta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PilotagePrimaire" displayName="tblPilotagePrimaire" ref="A4:C15">
  <autoFilter ref="A4:C15" xr:uid="{00000000-0009-0000-0100-000002000000}"/>
  <tableColumns count="3">
    <tableColumn id="1" xr3:uid="{00000000-0010-0000-0100-000001000000}" name="Élément"/>
    <tableColumn id="2" xr3:uid="{00000000-0010-0000-0100-000002000000}" name="Valeur / décision"/>
    <tableColumn id="3" xr3:uid="{00000000-0010-0000-0100-000003000000}" name="Interprét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RegistreExpressions" displayName="tblRegistreExpressions" ref="B4:K310">
  <autoFilter ref="B4:K310" xr:uid="{00000000-0009-0000-0100-000003000000}"/>
  <tableColumns count="10">
    <tableColumn id="1" xr3:uid="{00000000-0010-0000-0200-000001000000}" name="ID"/>
    <tableColumn id="3" xr3:uid="{00000000-0010-0000-0200-000003000000}" name="Expression normalisée"/>
    <tableColumn id="4" xr3:uid="{00000000-0010-0000-0200-000004000000}" name="Occurrences"/>
    <tableColumn id="5" xr3:uid="{00000000-0010-0000-0200-000005000000}" name="Coordonnée principale"/>
    <tableColumn id="6" xr3:uid="{00000000-0010-0000-0200-000006000000}" name="État"/>
    <tableColumn id="7" xr3:uid="{00000000-0010-0000-0200-000007000000}" name="Accomplissement" dataDxfId="0"/>
    <tableColumn id="8" xr3:uid="{00000000-0010-0000-0200-000008000000}" name="Réconciliation ToTAL"/>
    <tableColumn id="9" xr3:uid="{00000000-0010-0000-0200-000009000000}" name="Prochaine action"/>
    <tableColumn id="10" xr3:uid="{00000000-0010-0000-0200-00000A000000}" name="Trajectoire ToTAL"/>
    <tableColumn id="11" xr3:uid="{00000000-0010-0000-0200-00000B000000}" name="Documentation attend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ReconciliationSource" displayName="tblReconciliationSource" ref="A4:I315">
  <autoFilter ref="A4:I315" xr:uid="{00000000-0009-0000-0100-000004000000}"/>
  <tableColumns count="9">
    <tableColumn id="1" xr3:uid="{00000000-0010-0000-0300-000001000000}" name="Occurrence source"/>
    <tableColumn id="2" xr3:uid="{00000000-0010-0000-0300-000002000000}" name="Expression source"/>
    <tableColumn id="3" xr3:uid="{00000000-0010-0000-0300-000003000000}" name="ID primaire"/>
    <tableColumn id="4" xr3:uid="{00000000-0010-0000-0300-000004000000}" name="Expression normalisée"/>
    <tableColumn id="5" xr3:uid="{00000000-0010-0000-0300-000005000000}" name="Occurrences totales"/>
    <tableColumn id="6" xr3:uid="{00000000-0010-0000-0300-000006000000}" name="État"/>
    <tableColumn id="7" xr3:uid="{00000000-0010-0000-0300-000007000000}" name="Accomplissement"/>
    <tableColumn id="8" xr3:uid="{00000000-0010-0000-0300-000008000000}" name="Résultat rapprochement"/>
    <tableColumn id="9" xr3:uid="{00000000-0010-0000-0300-000009000000}" name="No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AuditIntegrite" displayName="tblAuditIntegrite" ref="A4:E31">
  <autoFilter ref="A4:E31" xr:uid="{00000000-0009-0000-0100-000005000000}"/>
  <tableColumns count="5">
    <tableColumn id="1" xr3:uid="{00000000-0010-0000-0400-000001000000}" name="Contrôle"/>
    <tableColumn id="2" xr3:uid="{00000000-0010-0000-0400-000002000000}" name="Valeur attendue"/>
    <tableColumn id="3" xr3:uid="{00000000-0010-0000-0400-000003000000}" name="Valeur observée"/>
    <tableColumn id="4" xr3:uid="{00000000-0010-0000-0400-000004000000}" name="Résultat"/>
    <tableColumn id="5" xr3:uid="{00000000-0010-0000-0400-000005000000}" name="Action / garde-fou"/>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Etats" displayName="tblEtats" ref="A4:C10">
  <autoFilter ref="A4:C10" xr:uid="{00000000-0009-0000-0100-000006000000}"/>
  <tableColumns count="3">
    <tableColumn id="1" xr3:uid="{00000000-0010-0000-0500-000001000000}" name="ID"/>
    <tableColumn id="2" xr3:uid="{00000000-0010-0000-0500-000002000000}" name="État"/>
    <tableColumn id="3" xr3:uid="{00000000-0010-0000-0500-000003000000}" name="Défini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AuditAccomplissements" displayName="tblAuditAccomplissements" ref="A4:J310">
  <autoFilter ref="A4:J310" xr:uid="{00000000-0009-0000-0100-000007000000}"/>
  <tableColumns count="10">
    <tableColumn id="1" xr3:uid="{00000000-0010-0000-0600-000001000000}" name="ID"/>
    <tableColumn id="2" xr3:uid="{00000000-0010-0000-0600-000002000000}" name="Expression"/>
    <tableColumn id="3" xr3:uid="{00000000-0010-0000-0600-000003000000}" name="État"/>
    <tableColumn id="4" xr3:uid="{00000000-0010-0000-0600-000004000000}" name="Accomplissement"/>
    <tableColumn id="5" xr3:uid="{00000000-0010-0000-0600-000005000000}" name="Définition spécifique"/>
    <tableColumn id="6" xr3:uid="{00000000-0010-0000-0600-000006000000}" name="Garde-fou spécifique"/>
    <tableColumn id="7" xr3:uid="{00000000-0010-0000-0600-000007000000}" name="Trajectoire"/>
    <tableColumn id="8" xr3:uid="{00000000-0010-0000-0600-000008000000}" name="Documentation"/>
    <tableColumn id="9" xr3:uid="{00000000-0010-0000-0600-000009000000}" name="Résultat audit"/>
    <tableColumn id="10" xr3:uid="{00000000-0010-0000-0600-00000A000000}" name="Anomali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Todo" displayName="tblTodo" ref="A4:E13">
  <autoFilter ref="A4:E13" xr:uid="{00000000-0009-0000-0100-000008000000}"/>
  <tableColumns count="5">
    <tableColumn id="1" xr3:uid="{00000000-0010-0000-0700-000001000000}" name="Ordre"/>
    <tableColumn id="2" xr3:uid="{00000000-0010-0000-0700-000002000000}" name="Chantier"/>
    <tableColumn id="3" xr3:uid="{00000000-0010-0000-0700-000003000000}" name="Question / contenu"/>
    <tableColumn id="4" xr3:uid="{00000000-0010-0000-0700-000004000000}" name="État"/>
    <tableColumn id="5" xr3:uid="{00000000-0010-0000-0700-000005000000}" name="Priorité"/>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Axiomes" displayName="tblAxiomes" ref="A4:E75">
  <autoFilter ref="A4:E75" xr:uid="{00000000-0009-0000-0100-000009000000}"/>
  <tableColumns count="5">
    <tableColumn id="1" xr3:uid="{00000000-0010-0000-0800-000001000000}" name="ID"/>
    <tableColumn id="2" xr3:uid="{00000000-0010-0000-0800-000002000000}" name="Axiome"/>
    <tableColumn id="3" xr3:uid="{00000000-0010-0000-0800-000003000000}" name="Formulation canonique"/>
    <tableColumn id="4" xr3:uid="{00000000-0010-0000-0800-000004000000}" name="Statut"/>
    <tableColumn id="5" xr3:uid="{00000000-0010-0000-0800-000005000000}" name="Concep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TermesCanoniques" displayName="tblTermesCanoniques" ref="A4:F111">
  <autoFilter ref="A4:F111" xr:uid="{00000000-0009-0000-0100-00000A000000}"/>
  <tableColumns count="6">
    <tableColumn id="1" xr3:uid="{00000000-0010-0000-0900-000001000000}" name="ID"/>
    <tableColumn id="2" xr3:uid="{00000000-0010-0000-0900-000002000000}" name="Terme"/>
    <tableColumn id="3" xr3:uid="{00000000-0010-0000-0900-000003000000}" name="Définition ToTAL"/>
    <tableColumn id="4" xr3:uid="{00000000-0010-0000-0900-000004000000}" name="Nature"/>
    <tableColumn id="5" xr3:uid="{00000000-0010-0000-0900-000005000000}" name="Collisions à éviter"/>
    <tableColumn id="6" xr3:uid="{00000000-0010-0000-0900-000006000000}" name="Statu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PhasesToTAL1" displayName="tblPhasesToTAL1" ref="A4:C10">
  <autoFilter ref="A4:C10" xr:uid="{00000000-0009-0000-0100-00000B000000}"/>
  <tableColumns count="3">
    <tableColumn id="1" xr3:uid="{00000000-0010-0000-0A00-000001000000}" name="ID"/>
    <tableColumn id="2" xr3:uid="{00000000-0010-0000-0A00-000002000000}" name="Phase"/>
    <tableColumn id="3" xr3:uid="{00000000-0010-0000-0A00-000003000000}" name="Finalité"/>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Documentationetmodel1" displayName="tblDocumentationetmodel1" ref="A4:C13">
  <autoFilter ref="A4:C13" xr:uid="{00000000-0009-0000-0100-00000C000000}"/>
  <tableColumns count="3">
    <tableColumn id="1" xr3:uid="{00000000-0010-0000-0B00-000001000000}" name="ID"/>
    <tableColumn id="2" xr3:uid="{00000000-0010-0000-0B00-000002000000}" name="Principe"/>
    <tableColumn id="3" xr3:uid="{00000000-0010-0000-0B00-000003000000}" name="Décisio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ContratValidation" displayName="tblContratValidation" ref="A4:E16">
  <autoFilter ref="A4:E16" xr:uid="{00000000-0009-0000-0100-00000D000000}"/>
  <tableColumns count="5">
    <tableColumn id="1" xr3:uid="{00000000-0010-0000-0C00-000001000000}" name="ID"/>
    <tableColumn id="2" xr3:uid="{00000000-0010-0000-0C00-000002000000}" name="Coordonnée"/>
    <tableColumn id="3" xr3:uid="{00000000-0010-0000-0C00-000003000000}" name="Question"/>
    <tableColumn id="4" xr3:uid="{00000000-0010-0000-0C00-000004000000}" name="Exemples"/>
    <tableColumn id="5" xr3:uid="{00000000-0010-0000-0C00-000005000000}" name="Exigenc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Relations" displayName="tblRelations" ref="A4:D139">
  <autoFilter ref="A4:D139" xr:uid="{00000000-0009-0000-0100-00000E000000}"/>
  <tableColumns count="4">
    <tableColumn id="1" xr3:uid="{00000000-0010-0000-0D00-000001000000}" name="ID"/>
    <tableColumn id="2" xr3:uid="{00000000-0010-0000-0D00-000002000000}" name="Sujet"/>
    <tableColumn id="3" xr3:uid="{00000000-0010-0000-0D00-000003000000}" name="Relation"/>
    <tableColumn id="4" xr3:uid="{00000000-0010-0000-0D00-000004000000}" name="Objet"/>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Constats" displayName="tblConstats" ref="A4:D14">
  <autoFilter ref="A4:D14" xr:uid="{00000000-0009-0000-0100-00000F000000}"/>
  <tableColumns count="4">
    <tableColumn id="1" xr3:uid="{00000000-0010-0000-0E00-000001000000}" name="ID"/>
    <tableColumn id="2" xr3:uid="{00000000-0010-0000-0E00-000002000000}" name="Titre"/>
    <tableColumn id="3" xr3:uid="{00000000-0010-0000-0E00-000003000000}" name="Formulation"/>
    <tableColumn id="4" xr3:uid="{00000000-0010-0000-0E00-000004000000}" name="Statut"/>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blContexteValidation" displayName="tblContexteValidation" ref="A4:D17">
  <autoFilter ref="A4:D17" xr:uid="{00000000-0009-0000-0100-000010000000}"/>
  <tableColumns count="4">
    <tableColumn id="1" xr3:uid="{00000000-0010-0000-0F00-000001000000}" name="ID"/>
    <tableColumn id="2" xr3:uid="{00000000-0010-0000-0F00-000002000000}" name="Expression"/>
    <tableColumn id="3" xr3:uid="{00000000-0010-0000-0F00-000003000000}" name="Nature"/>
    <tableColumn id="4" xr3:uid="{00000000-0010-0000-0F00-000004000000}" name="Décision ToTAL"/>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blChaineQualimetrique" displayName="tblChaineQualimetrique" ref="A4:C17">
  <autoFilter ref="A4:C17" xr:uid="{00000000-0009-0000-0100-000011000000}"/>
  <tableColumns count="3">
    <tableColumn id="1" xr3:uid="{00000000-0010-0000-1000-000001000000}" name="ID"/>
    <tableColumn id="2" xr3:uid="{00000000-0010-0000-1000-000002000000}" name="Élément"/>
    <tableColumn id="3" xr3:uid="{00000000-0010-0000-1000-000003000000}" name="Questio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blMetaMetriques" displayName="tblMetaMetriques" ref="A4:D20">
  <autoFilter ref="A4:D20" xr:uid="{00000000-0009-0000-0100-000012000000}"/>
  <tableColumns count="4">
    <tableColumn id="1" xr3:uid="{00000000-0010-0000-1100-000001000000}" name="ID"/>
    <tableColumn id="2" xr3:uid="{00000000-0010-0000-1100-000002000000}" name="Dimension"/>
    <tableColumn id="3" xr3:uid="{00000000-0010-0000-1100-000003000000}" name="Question fondamentale"/>
    <tableColumn id="4" xr3:uid="{00000000-0010-0000-1100-000004000000}" name="Exemple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blPrincipesMesure" displayName="tblPrincipesMesure" ref="A4:C14">
  <autoFilter ref="A4:C14" xr:uid="{00000000-0009-0000-0100-000013000000}"/>
  <tableColumns count="3">
    <tableColumn id="1" xr3:uid="{00000000-0010-0000-1200-000001000000}" name="ID"/>
    <tableColumn id="2" xr3:uid="{00000000-0010-0000-1200-000002000000}" name="Principe"/>
    <tableColumn id="3" xr3:uid="{00000000-0010-0000-1200-000003000000}" name="Décision ToTAL"/>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blTermesQualimetrie" displayName="tblTermesQualimetrie" ref="A4:C15">
  <autoFilter ref="A4:C15" xr:uid="{00000000-0009-0000-0100-000014000000}"/>
  <tableColumns count="3">
    <tableColumn id="1" xr3:uid="{00000000-0010-0000-1300-000001000000}" name="ID"/>
    <tableColumn id="2" xr3:uid="{00000000-0010-0000-1300-000002000000}" name="Terme"/>
    <tableColumn id="3" xr3:uid="{00000000-0010-0000-1300-000003000000}" name="Définition ToTAL"/>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blRelationsMetriques" displayName="tblRelationsMetriques" ref="A4:D23">
  <autoFilter ref="A4:D23" xr:uid="{00000000-0009-0000-0100-000015000000}"/>
  <tableColumns count="4">
    <tableColumn id="1" xr3:uid="{00000000-0010-0000-1400-000001000000}" name="ID"/>
    <tableColumn id="2" xr3:uid="{00000000-0010-0000-1400-000002000000}" name="Concept"/>
    <tableColumn id="3" xr3:uid="{00000000-0010-0000-1400-000003000000}" name="Rôle qualimétrique"/>
    <tableColumn id="4" xr3:uid="{00000000-0010-0000-1400-000004000000}" name="Vues candidate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blRegistreMetriques" displayName="tblRegistreMetriques" ref="A4:N129">
  <autoFilter ref="A4:N129" xr:uid="{00000000-0009-0000-0100-000016000000}"/>
  <tableColumns count="14">
    <tableColumn id="1" xr3:uid="{00000000-0010-0000-1500-000001000000}" name="ID"/>
    <tableColumn id="2" xr3:uid="{00000000-0010-0000-1500-000002000000}" name="Métrique / vue"/>
    <tableColumn id="3" xr3:uid="{00000000-0010-0000-1500-000003000000}" name="Famille"/>
    <tableColumn id="4" xr3:uid="{00000000-0010-0000-1500-000004000000}" name="Objet local"/>
    <tableColumn id="5" xr3:uid="{00000000-0010-0000-1500-000005000000}" name="Besoin d’information"/>
    <tableColumn id="6" xr3:uid="{00000000-0010-0000-1500-000006000000}" name="Formule / vue"/>
    <tableColumn id="7" xr3:uid="{00000000-0010-0000-1500-000007000000}" name="Unité"/>
    <tableColumn id="8" xr3:uid="{00000000-0010-0000-1500-000008000000}" name="Source"/>
    <tableColumn id="9" xr3:uid="{00000000-0010-0000-1500-000009000000}" name="Référence"/>
    <tableColumn id="10" xr3:uid="{00000000-0010-0000-1500-00000A000000}" name="Segmentations"/>
    <tableColumn id="11" xr3:uid="{00000000-0010-0000-1500-00000B000000}" name="Décisions éclairées"/>
    <tableColumn id="12" xr3:uid="{00000000-0010-0000-1500-00000C000000}" name="Limites"/>
    <tableColumn id="13" xr3:uid="{00000000-0010-0000-1500-00000D000000}" name="Statut"/>
    <tableColumn id="14" xr3:uid="{00000000-0010-0000-1500-00000E000000}" name="Prochaine actio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blConvergenceProduit" displayName="tblConvergenceProduit" ref="A4:D12">
  <autoFilter ref="A4:D12" xr:uid="{00000000-0009-0000-0100-000017000000}"/>
  <tableColumns count="4">
    <tableColumn id="1" xr3:uid="{00000000-0010-0000-1600-000001000000}" name="ID"/>
    <tableColumn id="2" xr3:uid="{00000000-0010-0000-1600-000002000000}" name="Objet"/>
    <tableColumn id="3" xr3:uid="{00000000-0010-0000-1600-000003000000}" name="Rôle"/>
    <tableColumn id="4" xr3:uid="{00000000-0010-0000-1600-000004000000}" name="Dimensions"/>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blGouvernance" displayName="tblGouvernance" ref="A4:C10">
  <autoFilter ref="A4:C10" xr:uid="{00000000-0009-0000-0100-000018000000}"/>
  <tableColumns count="3">
    <tableColumn id="1" xr3:uid="{00000000-0010-0000-1700-000001000000}" name="ID"/>
    <tableColumn id="2" xr3:uid="{00000000-0010-0000-1700-000002000000}" name="Principe"/>
    <tableColumn id="3" xr3:uid="{00000000-0010-0000-1700-000003000000}" name="Décisio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blPre" displayName="tblPre" ref="A4:D9">
  <autoFilter ref="A4:D9" xr:uid="{00000000-0009-0000-0100-000019000000}"/>
  <tableColumns count="4">
    <tableColumn id="1" xr3:uid="{00000000-0010-0000-1800-000001000000}" name="Ordre"/>
    <tableColumn id="2" xr3:uid="{00000000-0010-0000-1800-000002000000}" name="Préalable"/>
    <tableColumn id="3" xr3:uid="{00000000-0010-0000-1800-000003000000}" name="Contenu"/>
    <tableColumn id="4" xr3:uid="{00000000-0010-0000-1800-000004000000}" name="Éta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blCouvertureDetaillee" displayName="tblCouvertureDetaillee" ref="A4:H11">
  <autoFilter ref="A4:H11" xr:uid="{00000000-0009-0000-0100-00001A000000}"/>
  <tableColumns count="8">
    <tableColumn id="1" xr3:uid="{00000000-0010-0000-1900-000001000000}" name="ID"/>
    <tableColumn id="2" xr3:uid="{00000000-0010-0000-1900-000002000000}" name="État de couverture"/>
    <tableColumn id="3" xr3:uid="{00000000-0010-0000-1900-000003000000}" name="Question"/>
    <tableColumn id="4" xr3:uid="{00000000-0010-0000-1900-000004000000}" name="Condition d’attribution"/>
    <tableColumn id="5" xr3:uid="{00000000-0010-0000-1900-000005000000}" name="Preuve minimale"/>
    <tableColumn id="6" xr3:uid="{00000000-0010-0000-1900-000006000000}" name="Fraîcheur"/>
    <tableColumn id="7" xr3:uid="{00000000-0010-0000-1900-000007000000}" name="Confiance et limites"/>
    <tableColumn id="8" xr3:uid="{00000000-0010-0000-1900-000008000000}" name="Action permis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blQualificationMetriques" displayName="tblQualificationMetriques" ref="A4:H129">
  <autoFilter ref="A4:H129" xr:uid="{00000000-0009-0000-0100-00001B000000}"/>
  <tableColumns count="8">
    <tableColumn id="1" xr3:uid="{00000000-0010-0000-1A00-000001000000}" name="ID"/>
    <tableColumn id="2" xr3:uid="{00000000-0010-0000-1A00-000002000000}" name="Métrique / vue"/>
    <tableColumn id="3" xr3:uid="{00000000-0010-0000-1A00-000003000000}" name="Famille actuelle"/>
    <tableColumn id="4" xr3:uid="{00000000-0010-0000-1A00-000004000000}" name="Nature proposée"/>
    <tableColumn id="5" xr3:uid="{00000000-0010-0000-1A00-000005000000}" name="Disposition initiale"/>
    <tableColumn id="6" xr3:uid="{00000000-0010-0000-1A00-000006000000}" name="Cible / regroupement"/>
    <tableColumn id="7" xr3:uid="{00000000-0010-0000-1A00-000007000000}" name="Justification"/>
    <tableColumn id="8" xr3:uid="{00000000-0010-0000-1A00-000008000000}" name="Statut local requis"/>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blPortraitQualimetrique" displayName="tblPortraitQualimetrique" ref="A4:I10">
  <autoFilter ref="A4:I10" xr:uid="{00000000-0009-0000-0100-00001C000000}"/>
  <tableColumns count="9">
    <tableColumn id="1" xr3:uid="{00000000-0010-0000-1B00-000001000000}" name="ID"/>
    <tableColumn id="2" xr3:uid="{00000000-0010-0000-1B00-000002000000}" name="Dimension"/>
    <tableColumn id="3" xr3:uid="{00000000-0010-0000-1B00-000003000000}" name="Question directrice"/>
    <tableColumn id="4" xr3:uid="{00000000-0010-0000-1B00-000004000000}" name="Contributions candidates"/>
    <tableColumn id="5" xr3:uid="{00000000-0010-0000-1B00-000005000000}" name="Références attendues"/>
    <tableColumn id="6" xr3:uid="{00000000-0010-0000-1B00-000006000000}" name="Qualification courante"/>
    <tableColumn id="7" xr3:uid="{00000000-0010-0000-1B00-000007000000}" name="Confiance"/>
    <tableColumn id="8" xr3:uid="{00000000-0010-0000-1B00-000008000000}" name="Inconnues / limites"/>
    <tableColumn id="9" xr3:uid="{00000000-0010-0000-1B00-000009000000}" name="Décisions éclairées"/>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blInterfacesApplicatives" displayName="tblInterfacesApplicatives" ref="A4:G12">
  <autoFilter ref="A4:G12" xr:uid="{00000000-0009-0000-0100-00001D000000}"/>
  <tableColumns count="7">
    <tableColumn id="1" xr3:uid="{00000000-0010-0000-1C00-000001000000}" name="ID"/>
    <tableColumn id="2" xr3:uid="{00000000-0010-0000-1C00-000002000000}" name="Concept"/>
    <tableColumn id="3" xr3:uid="{00000000-0010-0000-1C00-000003000000}" name="Nature ToTAL"/>
    <tableColumn id="4" xr3:uid="{00000000-0010-0000-1C00-000004000000}" name="Définition de travail"/>
    <tableColumn id="5" xr3:uid="{00000000-0010-0000-1C00-000005000000}" name="À déclarer"/>
    <tableColumn id="6" xr3:uid="{00000000-0010-0000-1C00-000006000000}" name="Collisions à éviter"/>
    <tableColumn id="7" xr3:uid="{00000000-0010-0000-1C00-000007000000}" name="Sources de soutien"/>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blModelesOperationnels" displayName="tblModelesOperationnels" ref="A4:G9">
  <autoFilter ref="A4:G9" xr:uid="{00000000-0009-0000-0100-00001E000000}"/>
  <tableColumns count="7">
    <tableColumn id="1" xr3:uid="{00000000-0010-0000-1D00-000001000000}" name="ID"/>
    <tableColumn id="2" xr3:uid="{00000000-0010-0000-1D00-000002000000}" name="Registre / modèle"/>
    <tableColumn id="3" xr3:uid="{00000000-0010-0000-1D00-000003000000}" name="Finalité"/>
    <tableColumn id="4" xr3:uid="{00000000-0010-0000-1D00-000004000000}" name="Champs minimaux"/>
    <tableColumn id="5" xr3:uid="{00000000-0010-0000-1D00-000005000000}" name="Règle de décision"/>
    <tableColumn id="6" xr3:uid="{00000000-0010-0000-1D00-000006000000}" name="Hors périmètre"/>
    <tableColumn id="7" xr3:uid="{00000000-0010-0000-1D00-000007000000}" name="Ét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Termes canoniques'!A1" TargetMode="External"/><Relationship Id="rId2" Type="http://schemas.openxmlformats.org/officeDocument/2006/relationships/hyperlink" Target="#'Registre expressions'!A1" TargetMode="External"/><Relationship Id="rId1" Type="http://schemas.openxmlformats.org/officeDocument/2006/relationships/hyperlink" Target="#'Synth&#232;se r&#233;conciliations'!A1" TargetMode="External"/><Relationship Id="rId5" Type="http://schemas.openxmlformats.org/officeDocument/2006/relationships/hyperlink" Target="#'Mod&#232;les op&#233;rationnels'!A1" TargetMode="External"/><Relationship Id="rId4" Type="http://schemas.openxmlformats.org/officeDocument/2006/relationships/hyperlink" Target="#'Contrat Validation'!A1"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0.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D25"/>
  <sheetViews>
    <sheetView showGridLines="0" tabSelected="1" workbookViewId="0">
      <pane ySplit="6" topLeftCell="A7" activePane="bottomLeft" state="frozen"/>
      <selection pane="bottomLeft"/>
    </sheetView>
  </sheetViews>
  <sheetFormatPr defaultRowHeight="15"/>
  <cols>
    <col min="1" max="1" width="24" customWidth="1"/>
    <col min="2" max="2" width="38" customWidth="1"/>
    <col min="3" max="3" width="56" customWidth="1"/>
    <col min="4" max="4" width="40" customWidth="1"/>
  </cols>
  <sheetData>
    <row r="1" spans="1:4" ht="33.950000000000003" customHeight="1">
      <c r="A1" s="16" t="s">
        <v>0</v>
      </c>
      <c r="B1" s="30"/>
      <c r="C1" s="30"/>
      <c r="D1" s="30"/>
    </row>
    <row r="2" spans="1:4" ht="30" customHeight="1">
      <c r="A2" s="18" t="s">
        <v>1</v>
      </c>
      <c r="B2" s="30"/>
      <c r="C2" s="30"/>
      <c r="D2" s="30"/>
    </row>
    <row r="4" spans="1:4">
      <c r="A4" s="31" t="s">
        <v>2</v>
      </c>
      <c r="B4" s="30"/>
      <c r="C4" s="30"/>
      <c r="D4" s="30"/>
    </row>
    <row r="5" spans="1:4" ht="48" customHeight="1">
      <c r="A5" s="32" t="s">
        <v>3</v>
      </c>
      <c r="B5" s="33" t="s">
        <v>4</v>
      </c>
      <c r="C5" s="34" t="s">
        <v>5</v>
      </c>
      <c r="D5" s="34" t="s">
        <v>6</v>
      </c>
    </row>
    <row r="6" spans="1:4" ht="48" customHeight="1">
      <c r="A6" s="32" t="s">
        <v>7</v>
      </c>
      <c r="B6" s="33" t="s">
        <v>8</v>
      </c>
      <c r="C6" s="34" t="s">
        <v>9</v>
      </c>
      <c r="D6" s="34" t="s">
        <v>10</v>
      </c>
    </row>
    <row r="7" spans="1:4" ht="48" customHeight="1">
      <c r="A7" s="32" t="s">
        <v>11</v>
      </c>
      <c r="B7" s="33" t="s">
        <v>12</v>
      </c>
      <c r="C7" s="34" t="s">
        <v>13</v>
      </c>
      <c r="D7" s="34" t="s">
        <v>14</v>
      </c>
    </row>
    <row r="9" spans="1:4">
      <c r="A9" s="35" t="s">
        <v>15</v>
      </c>
      <c r="B9" s="30"/>
      <c r="C9" s="30"/>
      <c r="D9" s="30"/>
    </row>
    <row r="10" spans="1:4">
      <c r="A10" s="36" t="s">
        <v>16</v>
      </c>
      <c r="B10" s="36" t="s">
        <v>17</v>
      </c>
      <c r="C10" s="36" t="s">
        <v>18</v>
      </c>
      <c r="D10" s="36" t="s">
        <v>19</v>
      </c>
    </row>
    <row r="11" spans="1:4" ht="54" customHeight="1">
      <c r="A11" s="37" t="s">
        <v>20</v>
      </c>
      <c r="B11" s="14" t="s">
        <v>21</v>
      </c>
      <c r="C11" s="38" t="s">
        <v>22</v>
      </c>
      <c r="D11" s="38" t="s">
        <v>23</v>
      </c>
    </row>
    <row r="12" spans="1:4" ht="54" customHeight="1">
      <c r="A12" s="39" t="s">
        <v>24</v>
      </c>
      <c r="B12" s="14" t="s">
        <v>25</v>
      </c>
      <c r="C12" s="40" t="s">
        <v>26</v>
      </c>
      <c r="D12" s="40" t="s">
        <v>27</v>
      </c>
    </row>
    <row r="13" spans="1:4" ht="54" customHeight="1">
      <c r="A13" s="37" t="s">
        <v>28</v>
      </c>
      <c r="B13" s="14" t="s">
        <v>29</v>
      </c>
      <c r="C13" s="38" t="s">
        <v>30</v>
      </c>
      <c r="D13" s="38" t="s">
        <v>31</v>
      </c>
    </row>
    <row r="14" spans="1:4" ht="54" customHeight="1">
      <c r="A14" s="39" t="s">
        <v>32</v>
      </c>
      <c r="B14" s="14" t="s">
        <v>33</v>
      </c>
      <c r="C14" s="40" t="s">
        <v>34</v>
      </c>
      <c r="D14" s="40" t="s">
        <v>35</v>
      </c>
    </row>
    <row r="15" spans="1:4" ht="54" customHeight="1">
      <c r="A15" s="37" t="s">
        <v>36</v>
      </c>
      <c r="B15" s="14" t="s">
        <v>37</v>
      </c>
      <c r="C15" s="38" t="s">
        <v>38</v>
      </c>
      <c r="D15" s="38" t="s">
        <v>39</v>
      </c>
    </row>
    <row r="17" spans="1:4">
      <c r="A17" s="35" t="s">
        <v>40</v>
      </c>
      <c r="B17" s="30"/>
      <c r="C17" s="30"/>
      <c r="D17" s="30"/>
    </row>
    <row r="18" spans="1:4" ht="33.950000000000003" customHeight="1">
      <c r="A18" s="39" t="s">
        <v>41</v>
      </c>
      <c r="B18" s="41" t="s">
        <v>42</v>
      </c>
      <c r="C18" s="42"/>
      <c r="D18" s="42"/>
    </row>
    <row r="19" spans="1:4" ht="33.950000000000003" customHeight="1">
      <c r="A19" s="39" t="s">
        <v>43</v>
      </c>
      <c r="B19" s="41" t="s">
        <v>44</v>
      </c>
      <c r="C19" s="42"/>
      <c r="D19" s="42"/>
    </row>
    <row r="20" spans="1:4" ht="33.950000000000003" customHeight="1">
      <c r="A20" s="39" t="s">
        <v>45</v>
      </c>
      <c r="B20" s="41" t="s">
        <v>46</v>
      </c>
      <c r="C20" s="42"/>
      <c r="D20" s="42"/>
    </row>
    <row r="21" spans="1:4" ht="33.950000000000003" customHeight="1">
      <c r="A21" s="39" t="s">
        <v>47</v>
      </c>
      <c r="B21" s="41" t="s">
        <v>48</v>
      </c>
      <c r="C21" s="42"/>
      <c r="D21" s="42"/>
    </row>
    <row r="23" spans="1:4">
      <c r="A23" s="43" t="s">
        <v>49</v>
      </c>
      <c r="B23" s="30"/>
      <c r="C23" s="30"/>
      <c r="D23" s="30"/>
    </row>
    <row r="24" spans="1:4">
      <c r="A24" s="17" t="s">
        <v>50</v>
      </c>
      <c r="B24" s="30"/>
      <c r="C24" s="30"/>
      <c r="D24" s="30"/>
    </row>
    <row r="25" spans="1:4">
      <c r="A25" s="30"/>
      <c r="B25" s="30"/>
      <c r="C25" s="30"/>
      <c r="D25" s="30"/>
    </row>
  </sheetData>
  <mergeCells count="11">
    <mergeCell ref="A24:D25"/>
    <mergeCell ref="A4:D4"/>
    <mergeCell ref="B18:D18"/>
    <mergeCell ref="B21:D21"/>
    <mergeCell ref="A2:D2"/>
    <mergeCell ref="B20:D20"/>
    <mergeCell ref="A1:D1"/>
    <mergeCell ref="A17:D17"/>
    <mergeCell ref="A9:D9"/>
    <mergeCell ref="B19:D19"/>
    <mergeCell ref="A23:D23"/>
  </mergeCells>
  <hyperlinks>
    <hyperlink ref="B11" r:id="rId1" xr:uid="{00000000-0004-0000-0000-000000000000}"/>
    <hyperlink ref="B12" r:id="rId2" xr:uid="{00000000-0004-0000-0000-000001000000}"/>
    <hyperlink ref="B13" r:id="rId3" xr:uid="{00000000-0004-0000-0000-000002000000}"/>
    <hyperlink ref="B14" r:id="rId4" xr:uid="{00000000-0004-0000-0000-000003000000}"/>
    <hyperlink ref="B15" r:id="rId5" xr:uid="{00000000-0004-0000-0000-000004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E18"/>
  <sheetViews>
    <sheetView showGridLines="0" workbookViewId="0">
      <pane ySplit="5" topLeftCell="A6" activePane="bottomLeft" state="frozen"/>
      <selection pane="bottomLeft"/>
    </sheetView>
  </sheetViews>
  <sheetFormatPr defaultRowHeight="15"/>
  <cols>
    <col min="1" max="1" width="28" customWidth="1"/>
    <col min="2" max="2" width="38" customWidth="1"/>
    <col min="3" max="3" width="48" customWidth="1"/>
    <col min="4" max="4" width="47" customWidth="1"/>
    <col min="5" max="5" width="52" customWidth="1"/>
  </cols>
  <sheetData>
    <row r="1" spans="1:5" ht="30" customHeight="1">
      <c r="A1" s="20" t="s">
        <v>51</v>
      </c>
      <c r="B1" s="30"/>
      <c r="C1" s="30"/>
      <c r="D1" s="30"/>
      <c r="E1" s="30"/>
    </row>
    <row r="2" spans="1:5">
      <c r="A2" s="19" t="s">
        <v>52</v>
      </c>
      <c r="B2" s="30"/>
      <c r="C2" s="30"/>
      <c r="D2" s="30"/>
      <c r="E2" s="30"/>
    </row>
    <row r="4" spans="1:5">
      <c r="A4" s="36" t="s">
        <v>53</v>
      </c>
      <c r="B4" s="36" t="s">
        <v>41</v>
      </c>
      <c r="C4" s="36" t="s">
        <v>54</v>
      </c>
      <c r="D4" s="36" t="s">
        <v>55</v>
      </c>
      <c r="E4" s="36" t="s">
        <v>56</v>
      </c>
    </row>
    <row r="5" spans="1:5" ht="62.1" customHeight="1">
      <c r="A5" s="37" t="s">
        <v>57</v>
      </c>
      <c r="B5" s="38" t="s">
        <v>58</v>
      </c>
      <c r="C5" s="38" t="s">
        <v>59</v>
      </c>
      <c r="D5" s="38" t="s">
        <v>60</v>
      </c>
      <c r="E5" s="38" t="s">
        <v>61</v>
      </c>
    </row>
    <row r="6" spans="1:5" ht="62.1" customHeight="1">
      <c r="A6" s="39" t="s">
        <v>62</v>
      </c>
      <c r="B6" s="40" t="s">
        <v>63</v>
      </c>
      <c r="C6" s="40" t="s">
        <v>64</v>
      </c>
      <c r="D6" s="40" t="s">
        <v>65</v>
      </c>
      <c r="E6" s="40" t="s">
        <v>66</v>
      </c>
    </row>
    <row r="7" spans="1:5" ht="62.1" customHeight="1">
      <c r="A7" s="37" t="s">
        <v>67</v>
      </c>
      <c r="B7" s="38" t="s">
        <v>68</v>
      </c>
      <c r="C7" s="38" t="s">
        <v>69</v>
      </c>
      <c r="D7" s="38" t="s">
        <v>70</v>
      </c>
      <c r="E7" s="38" t="s">
        <v>71</v>
      </c>
    </row>
    <row r="8" spans="1:5" ht="62.1" customHeight="1">
      <c r="A8" s="39" t="s">
        <v>72</v>
      </c>
      <c r="B8" s="40" t="s">
        <v>73</v>
      </c>
      <c r="C8" s="40" t="s">
        <v>74</v>
      </c>
      <c r="D8" s="40" t="s">
        <v>75</v>
      </c>
      <c r="E8" s="40" t="s">
        <v>76</v>
      </c>
    </row>
    <row r="9" spans="1:5" ht="62.1" customHeight="1">
      <c r="A9" s="37" t="s">
        <v>77</v>
      </c>
      <c r="B9" s="38" t="s">
        <v>78</v>
      </c>
      <c r="C9" s="38" t="s">
        <v>79</v>
      </c>
      <c r="D9" s="38" t="s">
        <v>80</v>
      </c>
      <c r="E9" s="38" t="s">
        <v>81</v>
      </c>
    </row>
    <row r="10" spans="1:5" ht="62.1" customHeight="1">
      <c r="A10" s="39" t="s">
        <v>82</v>
      </c>
      <c r="B10" s="40" t="s">
        <v>83</v>
      </c>
      <c r="C10" s="40" t="s">
        <v>84</v>
      </c>
      <c r="D10" s="40" t="s">
        <v>85</v>
      </c>
      <c r="E10" s="40" t="s">
        <v>86</v>
      </c>
    </row>
    <row r="11" spans="1:5" ht="62.1" customHeight="1">
      <c r="A11" s="37" t="s">
        <v>87</v>
      </c>
      <c r="B11" s="38" t="s">
        <v>88</v>
      </c>
      <c r="C11" s="38" t="s">
        <v>89</v>
      </c>
      <c r="D11" s="38" t="s">
        <v>90</v>
      </c>
      <c r="E11" s="38" t="s">
        <v>91</v>
      </c>
    </row>
    <row r="12" spans="1:5" ht="62.1" customHeight="1">
      <c r="A12" s="39" t="s">
        <v>92</v>
      </c>
      <c r="B12" s="40" t="s">
        <v>93</v>
      </c>
      <c r="C12" s="40" t="s">
        <v>94</v>
      </c>
      <c r="D12" s="40" t="s">
        <v>95</v>
      </c>
      <c r="E12" s="40" t="s">
        <v>96</v>
      </c>
    </row>
    <row r="13" spans="1:5" ht="62.1" customHeight="1">
      <c r="A13" s="37" t="s">
        <v>97</v>
      </c>
      <c r="B13" s="38" t="s">
        <v>98</v>
      </c>
      <c r="C13" s="38" t="s">
        <v>99</v>
      </c>
      <c r="D13" s="38" t="s">
        <v>100</v>
      </c>
      <c r="E13" s="38" t="s">
        <v>101</v>
      </c>
    </row>
    <row r="14" spans="1:5" ht="62.1" customHeight="1">
      <c r="A14" s="39" t="s">
        <v>102</v>
      </c>
      <c r="B14" s="40" t="s">
        <v>103</v>
      </c>
      <c r="C14" s="40" t="s">
        <v>104</v>
      </c>
      <c r="D14" s="40" t="s">
        <v>105</v>
      </c>
      <c r="E14" s="40" t="s">
        <v>106</v>
      </c>
    </row>
    <row r="15" spans="1:5" ht="62.1" customHeight="1">
      <c r="A15" s="37" t="s">
        <v>107</v>
      </c>
      <c r="B15" s="38" t="s">
        <v>108</v>
      </c>
      <c r="C15" s="38" t="s">
        <v>109</v>
      </c>
      <c r="D15" s="38" t="s">
        <v>110</v>
      </c>
      <c r="E15" s="38" t="s">
        <v>111</v>
      </c>
    </row>
    <row r="16" spans="1:5" ht="62.1" customHeight="1">
      <c r="A16" s="39" t="s">
        <v>112</v>
      </c>
      <c r="B16" s="40" t="s">
        <v>113</v>
      </c>
      <c r="C16" s="40" t="s">
        <v>114</v>
      </c>
      <c r="D16" s="40" t="s">
        <v>115</v>
      </c>
      <c r="E16" s="40" t="s">
        <v>116</v>
      </c>
    </row>
    <row r="17" spans="1:5" ht="62.1" customHeight="1">
      <c r="A17" s="37" t="s">
        <v>117</v>
      </c>
      <c r="B17" s="38" t="s">
        <v>118</v>
      </c>
      <c r="C17" s="38" t="s">
        <v>119</v>
      </c>
      <c r="D17" s="38" t="s">
        <v>120</v>
      </c>
      <c r="E17" s="38" t="s">
        <v>121</v>
      </c>
    </row>
    <row r="18" spans="1:5" ht="62.1" customHeight="1">
      <c r="A18" s="39" t="s">
        <v>122</v>
      </c>
      <c r="B18" s="40" t="s">
        <v>123</v>
      </c>
      <c r="C18" s="40" t="s">
        <v>124</v>
      </c>
      <c r="D18" s="40" t="s">
        <v>125</v>
      </c>
      <c r="E18" s="40" t="s">
        <v>126</v>
      </c>
    </row>
  </sheetData>
  <mergeCells count="2">
    <mergeCell ref="A2:E2"/>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showGridLines="0" workbookViewId="0">
      <pane ySplit="4" topLeftCell="A5" activePane="bottomLeft" state="frozen"/>
      <selection pane="bottomLeft"/>
    </sheetView>
  </sheetViews>
  <sheetFormatPr defaultRowHeight="15"/>
  <cols>
    <col min="1" max="1" width="28" customWidth="1"/>
    <col min="2" max="2" width="82" customWidth="1"/>
    <col min="3" max="3" width="88" customWidth="1"/>
    <col min="4" max="4" width="56" customWidth="1"/>
  </cols>
  <sheetData>
    <row r="1" spans="1:4">
      <c r="A1" s="21" t="s">
        <v>127</v>
      </c>
      <c r="B1" s="30"/>
      <c r="C1" s="30"/>
      <c r="D1" s="30"/>
    </row>
    <row r="2" spans="1:4" ht="54" customHeight="1">
      <c r="A2" s="22" t="s">
        <v>128</v>
      </c>
      <c r="B2" s="30"/>
      <c r="C2" s="30"/>
      <c r="D2" s="30"/>
    </row>
    <row r="4" spans="1:4">
      <c r="A4" s="15" t="s">
        <v>129</v>
      </c>
      <c r="B4" s="15" t="s">
        <v>130</v>
      </c>
      <c r="C4" s="15" t="s">
        <v>131</v>
      </c>
      <c r="D4" s="15" t="s">
        <v>132</v>
      </c>
    </row>
    <row r="5" spans="1:4" ht="54.95" customHeight="1">
      <c r="A5" s="1" t="s">
        <v>133</v>
      </c>
      <c r="B5" s="1" t="s">
        <v>134</v>
      </c>
      <c r="C5" s="1" t="s">
        <v>135</v>
      </c>
      <c r="D5" s="1" t="s">
        <v>136</v>
      </c>
    </row>
    <row r="6" spans="1:4" ht="54.95" customHeight="1">
      <c r="A6" s="1" t="s">
        <v>137</v>
      </c>
      <c r="B6" s="1" t="s">
        <v>138</v>
      </c>
      <c r="C6" s="1" t="s">
        <v>139</v>
      </c>
      <c r="D6" s="1" t="s">
        <v>140</v>
      </c>
    </row>
    <row r="7" spans="1:4" ht="54.95" customHeight="1">
      <c r="A7" s="1" t="s">
        <v>141</v>
      </c>
      <c r="B7" s="1" t="s">
        <v>142</v>
      </c>
      <c r="C7" s="1" t="s">
        <v>143</v>
      </c>
      <c r="D7" s="1" t="s">
        <v>144</v>
      </c>
    </row>
    <row r="8" spans="1:4" ht="54.95" customHeight="1">
      <c r="A8" s="1" t="s">
        <v>130</v>
      </c>
      <c r="B8" s="1" t="s">
        <v>145</v>
      </c>
      <c r="C8" s="1" t="s">
        <v>146</v>
      </c>
      <c r="D8" s="1" t="s">
        <v>147</v>
      </c>
    </row>
    <row r="9" spans="1:4" ht="54.95" customHeight="1">
      <c r="A9" s="1" t="s">
        <v>11</v>
      </c>
      <c r="B9" s="1" t="s">
        <v>148</v>
      </c>
      <c r="C9" s="1" t="s">
        <v>149</v>
      </c>
      <c r="D9" s="1" t="s">
        <v>150</v>
      </c>
    </row>
    <row r="10" spans="1:4" ht="54.95" customHeight="1">
      <c r="A10" s="1" t="s">
        <v>151</v>
      </c>
      <c r="B10" s="1" t="s">
        <v>152</v>
      </c>
      <c r="C10" s="1" t="s">
        <v>153</v>
      </c>
      <c r="D10" s="1" t="s">
        <v>154</v>
      </c>
    </row>
    <row r="11" spans="1:4" ht="54.95" customHeight="1">
      <c r="A11" s="1" t="s">
        <v>37</v>
      </c>
      <c r="B11" s="1" t="s">
        <v>155</v>
      </c>
      <c r="C11" s="1" t="s">
        <v>156</v>
      </c>
      <c r="D11" s="1" t="s">
        <v>157</v>
      </c>
    </row>
  </sheetData>
  <mergeCells count="2">
    <mergeCell ref="A1:D1"/>
    <mergeCell ref="A2:D2"/>
  </mergeCells>
  <pageMargins left="0.75" right="0.75" top="1" bottom="1" header="0.5" footer="0.5"/>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showGridLines="0" workbookViewId="0">
      <pane ySplit="4" topLeftCell="A5" activePane="bottomLeft" state="frozen"/>
      <selection pane="bottomLeft"/>
    </sheetView>
  </sheetViews>
  <sheetFormatPr defaultRowHeight="15"/>
  <sheetData>
    <row r="1" spans="1:3">
      <c r="A1" s="44" t="s">
        <v>158</v>
      </c>
      <c r="B1" s="30"/>
      <c r="C1" s="30"/>
    </row>
    <row r="2" spans="1:3">
      <c r="A2" s="23" t="s">
        <v>159</v>
      </c>
      <c r="B2" s="30"/>
      <c r="C2" s="30"/>
    </row>
    <row r="4" spans="1:3">
      <c r="A4" s="3" t="s">
        <v>129</v>
      </c>
      <c r="B4" s="3" t="s">
        <v>160</v>
      </c>
      <c r="C4" s="3" t="s">
        <v>161</v>
      </c>
    </row>
    <row r="5" spans="1:3">
      <c r="A5" s="1" t="s">
        <v>3</v>
      </c>
      <c r="B5" s="1" t="s">
        <v>162</v>
      </c>
      <c r="C5" s="1" t="s">
        <v>163</v>
      </c>
    </row>
    <row r="6" spans="1:3">
      <c r="A6" s="1" t="s">
        <v>164</v>
      </c>
      <c r="B6" s="1">
        <v>306</v>
      </c>
      <c r="C6" s="1" t="s">
        <v>165</v>
      </c>
    </row>
    <row r="7" spans="1:3">
      <c r="A7" s="1" t="s">
        <v>166</v>
      </c>
      <c r="B7" s="1">
        <v>290</v>
      </c>
      <c r="C7" s="1" t="s">
        <v>167</v>
      </c>
    </row>
    <row r="8" spans="1:3">
      <c r="A8" s="1" t="s">
        <v>168</v>
      </c>
      <c r="B8" s="1">
        <v>0</v>
      </c>
      <c r="C8" s="1" t="s">
        <v>169</v>
      </c>
    </row>
    <row r="9" spans="1:3">
      <c r="A9" s="1" t="s">
        <v>170</v>
      </c>
      <c r="B9" s="1">
        <v>0</v>
      </c>
      <c r="C9" s="1" t="s">
        <v>171</v>
      </c>
    </row>
    <row r="10" spans="1:3">
      <c r="A10" s="45" t="s">
        <v>172</v>
      </c>
      <c r="B10" s="45">
        <v>306</v>
      </c>
      <c r="C10" s="1" t="s">
        <v>173</v>
      </c>
    </row>
    <row r="11" spans="1:3">
      <c r="A11" s="46" t="s">
        <v>174</v>
      </c>
      <c r="B11" s="46">
        <v>0</v>
      </c>
      <c r="C11" s="1" t="s">
        <v>175</v>
      </c>
    </row>
    <row r="12" spans="1:3">
      <c r="A12" s="47" t="s">
        <v>176</v>
      </c>
      <c r="B12" s="1">
        <v>311</v>
      </c>
      <c r="C12" s="1" t="s">
        <v>177</v>
      </c>
    </row>
    <row r="13" spans="1:3">
      <c r="A13" s="47" t="s">
        <v>178</v>
      </c>
      <c r="B13" s="1">
        <v>5</v>
      </c>
      <c r="C13" s="1" t="s">
        <v>179</v>
      </c>
    </row>
    <row r="14" spans="1:3">
      <c r="A14" s="47" t="s">
        <v>180</v>
      </c>
      <c r="B14" s="1" t="s">
        <v>181</v>
      </c>
      <c r="C14" s="1" t="s">
        <v>182</v>
      </c>
    </row>
    <row r="15" spans="1:3">
      <c r="A15" s="47" t="s">
        <v>183</v>
      </c>
      <c r="B15" s="1">
        <v>0</v>
      </c>
      <c r="C15" s="1" t="s">
        <v>184</v>
      </c>
    </row>
  </sheetData>
  <mergeCells count="2">
    <mergeCell ref="A1:C1"/>
    <mergeCell ref="A2:C2"/>
  </mergeCells>
  <pageMargins left="0.75" right="0.75" top="1" bottom="1" header="0.5" footer="0.5"/>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10"/>
  <sheetViews>
    <sheetView showGridLines="0" workbookViewId="0">
      <pane xSplit="1" topLeftCell="B1" activePane="topRight" state="frozen"/>
      <selection pane="topRight" activeCell="A173" sqref="A173:A175"/>
    </sheetView>
  </sheetViews>
  <sheetFormatPr defaultRowHeight="15"/>
  <cols>
    <col min="1" max="1" width="27.140625" customWidth="1"/>
    <col min="2" max="2" width="7.85546875" bestFit="1" customWidth="1"/>
    <col min="3" max="3" width="27.5703125" bestFit="1" customWidth="1"/>
    <col min="4" max="4" width="14.42578125" bestFit="1" customWidth="1"/>
    <col min="5" max="5" width="41.85546875" bestFit="1" customWidth="1"/>
    <col min="6" max="6" width="22.5703125" bestFit="1" customWidth="1"/>
    <col min="7" max="7" width="19.28515625" style="2" bestFit="1" customWidth="1"/>
    <col min="8" max="8" width="254.85546875" bestFit="1" customWidth="1"/>
    <col min="9" max="9" width="254.28515625" bestFit="1" customWidth="1"/>
    <col min="10" max="10" width="61.140625" bestFit="1" customWidth="1"/>
    <col min="11" max="11" width="79" bestFit="1" customWidth="1"/>
  </cols>
  <sheetData>
    <row r="1" spans="1:11" ht="23.25" customHeight="1">
      <c r="B1" s="44" t="s">
        <v>185</v>
      </c>
      <c r="C1" s="30"/>
      <c r="D1" s="30"/>
      <c r="E1" s="30"/>
      <c r="F1" s="30"/>
      <c r="G1" s="24"/>
      <c r="H1" s="30"/>
      <c r="I1" s="30"/>
      <c r="J1" s="30"/>
    </row>
    <row r="2" spans="1:11">
      <c r="B2" s="25" t="s">
        <v>186</v>
      </c>
      <c r="C2" s="30"/>
      <c r="D2" s="30"/>
      <c r="E2" s="30"/>
      <c r="F2" s="30"/>
      <c r="G2" s="24"/>
      <c r="H2" s="30"/>
      <c r="I2" s="30"/>
      <c r="J2" s="30"/>
    </row>
    <row r="4" spans="1:11">
      <c r="A4" s="3" t="s">
        <v>187</v>
      </c>
      <c r="B4" s="3" t="s">
        <v>188</v>
      </c>
      <c r="C4" s="3" t="s">
        <v>189</v>
      </c>
      <c r="D4" s="3" t="s">
        <v>190</v>
      </c>
      <c r="E4" s="3" t="s">
        <v>191</v>
      </c>
      <c r="F4" s="3" t="s">
        <v>192</v>
      </c>
      <c r="G4" s="4" t="s">
        <v>193</v>
      </c>
      <c r="H4" s="3" t="s">
        <v>194</v>
      </c>
      <c r="I4" s="3" t="s">
        <v>195</v>
      </c>
      <c r="J4" s="3" t="s">
        <v>196</v>
      </c>
      <c r="K4" s="3" t="s">
        <v>197</v>
      </c>
    </row>
    <row r="5" spans="1:11" ht="30.75" customHeight="1">
      <c r="A5" s="1" t="s">
        <v>198</v>
      </c>
      <c r="B5" s="1" t="s">
        <v>199</v>
      </c>
      <c r="C5" s="1" t="s">
        <v>198</v>
      </c>
      <c r="D5" s="1">
        <v>2</v>
      </c>
      <c r="E5" s="1" t="s">
        <v>200</v>
      </c>
      <c r="F5" s="1" t="s">
        <v>201</v>
      </c>
      <c r="G5" s="45" t="s">
        <v>172</v>
      </c>
      <c r="H5" s="1" t="s">
        <v>202</v>
      </c>
      <c r="I5" s="1" t="s">
        <v>203</v>
      </c>
      <c r="J5" s="1" t="s">
        <v>204</v>
      </c>
      <c r="K5" s="1" t="s">
        <v>205</v>
      </c>
    </row>
    <row r="6" spans="1:11" ht="30.75" customHeight="1">
      <c r="A6" s="1" t="s">
        <v>206</v>
      </c>
      <c r="B6" s="1" t="s">
        <v>207</v>
      </c>
      <c r="C6" s="1" t="s">
        <v>206</v>
      </c>
      <c r="D6" s="1">
        <v>1</v>
      </c>
      <c r="E6" s="1" t="s">
        <v>208</v>
      </c>
      <c r="F6" s="1" t="s">
        <v>201</v>
      </c>
      <c r="G6" s="45" t="s">
        <v>172</v>
      </c>
      <c r="H6" s="1" t="s">
        <v>209</v>
      </c>
      <c r="I6" s="1" t="s">
        <v>210</v>
      </c>
      <c r="J6" s="1" t="s">
        <v>204</v>
      </c>
      <c r="K6" s="1" t="s">
        <v>205</v>
      </c>
    </row>
    <row r="7" spans="1:11" ht="30.75" customHeight="1">
      <c r="A7" s="1" t="s">
        <v>211</v>
      </c>
      <c r="B7" s="1" t="s">
        <v>212</v>
      </c>
      <c r="C7" s="1" t="s">
        <v>211</v>
      </c>
      <c r="D7" s="1">
        <v>1</v>
      </c>
      <c r="E7" s="1" t="s">
        <v>213</v>
      </c>
      <c r="F7" s="1" t="s">
        <v>201</v>
      </c>
      <c r="G7" s="45" t="s">
        <v>172</v>
      </c>
      <c r="H7" s="1" t="s">
        <v>214</v>
      </c>
      <c r="I7" s="1" t="s">
        <v>215</v>
      </c>
      <c r="J7" s="1" t="s">
        <v>204</v>
      </c>
      <c r="K7" s="1" t="s">
        <v>205</v>
      </c>
    </row>
    <row r="8" spans="1:11" ht="30.75" customHeight="1">
      <c r="A8" s="1" t="s">
        <v>216</v>
      </c>
      <c r="B8" s="1" t="s">
        <v>217</v>
      </c>
      <c r="C8" s="1" t="s">
        <v>216</v>
      </c>
      <c r="D8" s="1">
        <v>1</v>
      </c>
      <c r="E8" s="1" t="s">
        <v>218</v>
      </c>
      <c r="F8" s="1" t="s">
        <v>201</v>
      </c>
      <c r="G8" s="45" t="s">
        <v>172</v>
      </c>
      <c r="H8" s="1" t="s">
        <v>219</v>
      </c>
      <c r="I8" s="1" t="s">
        <v>220</v>
      </c>
      <c r="J8" s="1" t="s">
        <v>204</v>
      </c>
      <c r="K8" s="1" t="s">
        <v>205</v>
      </c>
    </row>
    <row r="9" spans="1:11" ht="30.75" customHeight="1">
      <c r="A9" s="1" t="s">
        <v>221</v>
      </c>
      <c r="B9" s="1" t="s">
        <v>222</v>
      </c>
      <c r="C9" s="1" t="s">
        <v>221</v>
      </c>
      <c r="D9" s="1">
        <v>2</v>
      </c>
      <c r="E9" s="1" t="s">
        <v>223</v>
      </c>
      <c r="F9" s="1" t="s">
        <v>201</v>
      </c>
      <c r="G9" s="45" t="s">
        <v>172</v>
      </c>
      <c r="H9" s="1" t="s">
        <v>224</v>
      </c>
      <c r="I9" s="1" t="s">
        <v>225</v>
      </c>
      <c r="J9" s="1" t="s">
        <v>204</v>
      </c>
      <c r="K9" s="1" t="s">
        <v>205</v>
      </c>
    </row>
    <row r="10" spans="1:11" ht="30.75" customHeight="1">
      <c r="A10" s="1" t="s">
        <v>226</v>
      </c>
      <c r="B10" s="1" t="s">
        <v>227</v>
      </c>
      <c r="C10" s="1" t="s">
        <v>226</v>
      </c>
      <c r="D10" s="1">
        <v>1</v>
      </c>
      <c r="E10" s="1" t="s">
        <v>228</v>
      </c>
      <c r="F10" s="1" t="s">
        <v>201</v>
      </c>
      <c r="G10" s="45" t="s">
        <v>172</v>
      </c>
      <c r="H10" s="1" t="s">
        <v>229</v>
      </c>
      <c r="I10" s="1" t="s">
        <v>230</v>
      </c>
      <c r="J10" s="1" t="s">
        <v>204</v>
      </c>
      <c r="K10" s="1" t="s">
        <v>205</v>
      </c>
    </row>
    <row r="11" spans="1:11" ht="30.75" customHeight="1">
      <c r="A11" s="1" t="s">
        <v>231</v>
      </c>
      <c r="B11" s="1" t="s">
        <v>232</v>
      </c>
      <c r="C11" s="1" t="s">
        <v>231</v>
      </c>
      <c r="D11" s="1">
        <v>1</v>
      </c>
      <c r="E11" s="1" t="s">
        <v>233</v>
      </c>
      <c r="F11" s="1" t="s">
        <v>201</v>
      </c>
      <c r="G11" s="45" t="s">
        <v>172</v>
      </c>
      <c r="H11" s="1" t="s">
        <v>234</v>
      </c>
      <c r="I11" s="1" t="s">
        <v>235</v>
      </c>
      <c r="J11" s="1" t="s">
        <v>204</v>
      </c>
      <c r="K11" s="1" t="s">
        <v>205</v>
      </c>
    </row>
    <row r="12" spans="1:11" ht="30.75" customHeight="1">
      <c r="A12" s="1" t="s">
        <v>236</v>
      </c>
      <c r="B12" s="1" t="s">
        <v>237</v>
      </c>
      <c r="C12" s="1" t="s">
        <v>236</v>
      </c>
      <c r="D12" s="1">
        <v>1</v>
      </c>
      <c r="E12" s="1" t="s">
        <v>238</v>
      </c>
      <c r="F12" s="1" t="s">
        <v>201</v>
      </c>
      <c r="G12" s="45" t="s">
        <v>172</v>
      </c>
      <c r="H12" s="1" t="s">
        <v>239</v>
      </c>
      <c r="I12" s="1" t="s">
        <v>240</v>
      </c>
      <c r="J12" s="1" t="s">
        <v>204</v>
      </c>
      <c r="K12" s="1" t="s">
        <v>205</v>
      </c>
    </row>
    <row r="13" spans="1:11" ht="30.75" customHeight="1">
      <c r="A13" s="1" t="s">
        <v>241</v>
      </c>
      <c r="B13" s="1" t="s">
        <v>242</v>
      </c>
      <c r="C13" s="1" t="s">
        <v>241</v>
      </c>
      <c r="D13" s="1">
        <v>1</v>
      </c>
      <c r="E13" s="1" t="s">
        <v>243</v>
      </c>
      <c r="F13" s="1" t="s">
        <v>201</v>
      </c>
      <c r="G13" s="45" t="s">
        <v>172</v>
      </c>
      <c r="H13" s="1" t="s">
        <v>244</v>
      </c>
      <c r="I13" s="1" t="s">
        <v>245</v>
      </c>
      <c r="J13" s="1" t="s">
        <v>204</v>
      </c>
      <c r="K13" s="1" t="s">
        <v>205</v>
      </c>
    </row>
    <row r="14" spans="1:11" ht="30.75" customHeight="1">
      <c r="A14" s="1" t="s">
        <v>246</v>
      </c>
      <c r="B14" s="1" t="s">
        <v>247</v>
      </c>
      <c r="C14" s="1" t="s">
        <v>246</v>
      </c>
      <c r="D14" s="1">
        <v>1</v>
      </c>
      <c r="E14" s="1" t="s">
        <v>243</v>
      </c>
      <c r="F14" s="1" t="s">
        <v>201</v>
      </c>
      <c r="G14" s="45" t="s">
        <v>172</v>
      </c>
      <c r="H14" s="1" t="s">
        <v>248</v>
      </c>
      <c r="I14" s="1" t="s">
        <v>249</v>
      </c>
      <c r="J14" s="1" t="s">
        <v>204</v>
      </c>
      <c r="K14" s="1" t="s">
        <v>205</v>
      </c>
    </row>
    <row r="15" spans="1:11" ht="30.75" customHeight="1">
      <c r="A15" s="1" t="s">
        <v>250</v>
      </c>
      <c r="B15" s="1" t="s">
        <v>251</v>
      </c>
      <c r="C15" s="1" t="s">
        <v>250</v>
      </c>
      <c r="D15" s="1">
        <v>1</v>
      </c>
      <c r="E15" s="1" t="s">
        <v>243</v>
      </c>
      <c r="F15" s="1" t="s">
        <v>201</v>
      </c>
      <c r="G15" s="45" t="s">
        <v>172</v>
      </c>
      <c r="H15" s="1" t="s">
        <v>252</v>
      </c>
      <c r="I15" s="1" t="s">
        <v>253</v>
      </c>
      <c r="J15" s="1" t="s">
        <v>204</v>
      </c>
      <c r="K15" s="1" t="s">
        <v>205</v>
      </c>
    </row>
    <row r="16" spans="1:11" ht="30.75" customHeight="1">
      <c r="A16" s="1" t="s">
        <v>254</v>
      </c>
      <c r="B16" s="1" t="s">
        <v>255</v>
      </c>
      <c r="C16" s="1" t="s">
        <v>254</v>
      </c>
      <c r="D16" s="1">
        <v>1</v>
      </c>
      <c r="E16" s="1" t="s">
        <v>256</v>
      </c>
      <c r="F16" s="1" t="s">
        <v>201</v>
      </c>
      <c r="G16" s="45" t="s">
        <v>172</v>
      </c>
      <c r="H16" s="1" t="s">
        <v>257</v>
      </c>
      <c r="I16" s="1" t="s">
        <v>258</v>
      </c>
      <c r="J16" s="1" t="s">
        <v>204</v>
      </c>
      <c r="K16" s="1" t="s">
        <v>205</v>
      </c>
    </row>
    <row r="17" spans="1:11" ht="30.75" customHeight="1">
      <c r="A17" s="1" t="s">
        <v>259</v>
      </c>
      <c r="B17" s="1" t="s">
        <v>260</v>
      </c>
      <c r="C17" s="1" t="s">
        <v>259</v>
      </c>
      <c r="D17" s="1">
        <v>1</v>
      </c>
      <c r="E17" s="1" t="s">
        <v>261</v>
      </c>
      <c r="F17" s="1" t="s">
        <v>201</v>
      </c>
      <c r="G17" s="45" t="s">
        <v>172</v>
      </c>
      <c r="H17" s="1" t="s">
        <v>262</v>
      </c>
      <c r="I17" s="1" t="s">
        <v>263</v>
      </c>
      <c r="J17" s="1" t="s">
        <v>204</v>
      </c>
      <c r="K17" s="1" t="s">
        <v>205</v>
      </c>
    </row>
    <row r="18" spans="1:11" ht="30.75" customHeight="1">
      <c r="A18" s="1" t="s">
        <v>264</v>
      </c>
      <c r="B18" s="1" t="s">
        <v>265</v>
      </c>
      <c r="C18" s="1" t="s">
        <v>264</v>
      </c>
      <c r="D18" s="1">
        <v>1</v>
      </c>
      <c r="E18" s="1" t="s">
        <v>266</v>
      </c>
      <c r="F18" s="1" t="s">
        <v>201</v>
      </c>
      <c r="G18" s="45" t="s">
        <v>172</v>
      </c>
      <c r="H18" s="1" t="s">
        <v>267</v>
      </c>
      <c r="I18" s="1" t="s">
        <v>268</v>
      </c>
      <c r="J18" s="1" t="s">
        <v>204</v>
      </c>
      <c r="K18" s="1" t="s">
        <v>205</v>
      </c>
    </row>
    <row r="19" spans="1:11" ht="30.75" customHeight="1">
      <c r="A19" s="1" t="s">
        <v>269</v>
      </c>
      <c r="B19" s="1" t="s">
        <v>270</v>
      </c>
      <c r="C19" s="1" t="s">
        <v>271</v>
      </c>
      <c r="D19" s="1">
        <v>1</v>
      </c>
      <c r="E19" s="1" t="s">
        <v>272</v>
      </c>
      <c r="F19" s="1" t="s">
        <v>201</v>
      </c>
      <c r="G19" s="45" t="s">
        <v>172</v>
      </c>
      <c r="H19" s="1" t="s">
        <v>273</v>
      </c>
      <c r="I19" s="1" t="s">
        <v>274</v>
      </c>
      <c r="J19" s="1" t="s">
        <v>204</v>
      </c>
      <c r="K19" s="1" t="s">
        <v>205</v>
      </c>
    </row>
    <row r="20" spans="1:11" ht="30.75" customHeight="1">
      <c r="A20" s="1" t="s">
        <v>275</v>
      </c>
      <c r="B20" s="1" t="s">
        <v>276</v>
      </c>
      <c r="C20" s="1" t="s">
        <v>277</v>
      </c>
      <c r="D20" s="1">
        <v>2</v>
      </c>
      <c r="E20" s="1" t="s">
        <v>278</v>
      </c>
      <c r="F20" s="1" t="s">
        <v>201</v>
      </c>
      <c r="G20" s="45" t="s">
        <v>172</v>
      </c>
      <c r="H20" s="1" t="s">
        <v>279</v>
      </c>
      <c r="I20" s="1" t="s">
        <v>280</v>
      </c>
      <c r="J20" s="1" t="s">
        <v>204</v>
      </c>
      <c r="K20" s="1" t="s">
        <v>205</v>
      </c>
    </row>
    <row r="21" spans="1:11" ht="30.75" customHeight="1">
      <c r="A21" s="1" t="s">
        <v>281</v>
      </c>
      <c r="B21" s="1" t="s">
        <v>282</v>
      </c>
      <c r="C21" s="1" t="s">
        <v>281</v>
      </c>
      <c r="D21" s="1">
        <v>1</v>
      </c>
      <c r="E21" s="1" t="s">
        <v>283</v>
      </c>
      <c r="F21" s="1" t="s">
        <v>201</v>
      </c>
      <c r="G21" s="45" t="s">
        <v>172</v>
      </c>
      <c r="H21" s="1" t="s">
        <v>284</v>
      </c>
      <c r="I21" s="1" t="s">
        <v>285</v>
      </c>
      <c r="J21" s="1" t="s">
        <v>204</v>
      </c>
      <c r="K21" s="1" t="s">
        <v>205</v>
      </c>
    </row>
    <row r="22" spans="1:11" ht="30.75" customHeight="1">
      <c r="A22" s="1" t="s">
        <v>286</v>
      </c>
      <c r="B22" s="1" t="s">
        <v>287</v>
      </c>
      <c r="C22" s="1" t="s">
        <v>286</v>
      </c>
      <c r="D22" s="1">
        <v>1</v>
      </c>
      <c r="E22" s="1" t="s">
        <v>288</v>
      </c>
      <c r="F22" s="1" t="s">
        <v>201</v>
      </c>
      <c r="G22" s="45" t="s">
        <v>172</v>
      </c>
      <c r="H22" s="1" t="s">
        <v>289</v>
      </c>
      <c r="I22" s="1" t="s">
        <v>290</v>
      </c>
      <c r="J22" s="1" t="s">
        <v>204</v>
      </c>
      <c r="K22" s="1" t="s">
        <v>205</v>
      </c>
    </row>
    <row r="23" spans="1:11" ht="30.75" customHeight="1">
      <c r="A23" s="1" t="s">
        <v>291</v>
      </c>
      <c r="B23" s="1" t="s">
        <v>292</v>
      </c>
      <c r="C23" s="1" t="s">
        <v>291</v>
      </c>
      <c r="D23" s="1">
        <v>1</v>
      </c>
      <c r="E23" s="1" t="s">
        <v>293</v>
      </c>
      <c r="F23" s="1" t="s">
        <v>201</v>
      </c>
      <c r="G23" s="45" t="s">
        <v>172</v>
      </c>
      <c r="H23" s="1" t="s">
        <v>294</v>
      </c>
      <c r="I23" s="1" t="s">
        <v>295</v>
      </c>
      <c r="J23" s="1" t="s">
        <v>204</v>
      </c>
      <c r="K23" s="1" t="s">
        <v>205</v>
      </c>
    </row>
    <row r="24" spans="1:11" ht="30.75" customHeight="1">
      <c r="A24" s="1" t="s">
        <v>296</v>
      </c>
      <c r="B24" s="1" t="s">
        <v>297</v>
      </c>
      <c r="C24" s="1" t="s">
        <v>296</v>
      </c>
      <c r="D24" s="1">
        <v>1</v>
      </c>
      <c r="E24" s="1" t="s">
        <v>298</v>
      </c>
      <c r="F24" s="1" t="s">
        <v>201</v>
      </c>
      <c r="G24" s="45" t="s">
        <v>172</v>
      </c>
      <c r="H24" s="1" t="s">
        <v>299</v>
      </c>
      <c r="I24" s="1" t="s">
        <v>300</v>
      </c>
      <c r="J24" s="1" t="s">
        <v>204</v>
      </c>
      <c r="K24" s="1" t="s">
        <v>205</v>
      </c>
    </row>
    <row r="25" spans="1:11" ht="60.75" customHeight="1">
      <c r="A25" s="1" t="s">
        <v>301</v>
      </c>
      <c r="B25" s="1" t="s">
        <v>302</v>
      </c>
      <c r="C25" s="1" t="s">
        <v>301</v>
      </c>
      <c r="D25" s="1">
        <v>1</v>
      </c>
      <c r="E25" s="1" t="s">
        <v>303</v>
      </c>
      <c r="F25" s="1" t="s">
        <v>201</v>
      </c>
      <c r="G25" s="45" t="s">
        <v>172</v>
      </c>
      <c r="H25" s="1" t="s">
        <v>304</v>
      </c>
      <c r="I25" s="1" t="s">
        <v>305</v>
      </c>
      <c r="J25" s="1" t="s">
        <v>204</v>
      </c>
      <c r="K25" s="1" t="s">
        <v>306</v>
      </c>
    </row>
    <row r="26" spans="1:11" ht="30.75" customHeight="1">
      <c r="A26" s="1" t="s">
        <v>307</v>
      </c>
      <c r="B26" s="1" t="s">
        <v>308</v>
      </c>
      <c r="C26" s="1" t="s">
        <v>307</v>
      </c>
      <c r="D26" s="1">
        <v>1</v>
      </c>
      <c r="E26" s="1" t="s">
        <v>309</v>
      </c>
      <c r="F26" s="1" t="s">
        <v>201</v>
      </c>
      <c r="G26" s="45" t="s">
        <v>172</v>
      </c>
      <c r="H26" s="1" t="s">
        <v>310</v>
      </c>
      <c r="I26" s="1" t="s">
        <v>311</v>
      </c>
      <c r="J26" s="1" t="s">
        <v>204</v>
      </c>
      <c r="K26" s="1" t="s">
        <v>205</v>
      </c>
    </row>
    <row r="27" spans="1:11" ht="30.75" customHeight="1">
      <c r="A27" s="1" t="s">
        <v>312</v>
      </c>
      <c r="B27" s="1" t="s">
        <v>313</v>
      </c>
      <c r="C27" s="1" t="s">
        <v>314</v>
      </c>
      <c r="D27" s="1">
        <v>1</v>
      </c>
      <c r="E27" s="1" t="s">
        <v>315</v>
      </c>
      <c r="F27" s="1" t="s">
        <v>201</v>
      </c>
      <c r="G27" s="45" t="s">
        <v>172</v>
      </c>
      <c r="H27" s="1" t="s">
        <v>316</v>
      </c>
      <c r="I27" s="1" t="s">
        <v>317</v>
      </c>
      <c r="J27" s="1" t="s">
        <v>204</v>
      </c>
      <c r="K27" s="1" t="s">
        <v>205</v>
      </c>
    </row>
    <row r="28" spans="1:11" ht="30.75" customHeight="1">
      <c r="A28" s="1" t="s">
        <v>318</v>
      </c>
      <c r="B28" s="1" t="s">
        <v>319</v>
      </c>
      <c r="C28" s="1" t="s">
        <v>320</v>
      </c>
      <c r="D28" s="1">
        <v>1</v>
      </c>
      <c r="E28" s="1" t="s">
        <v>321</v>
      </c>
      <c r="F28" s="1" t="s">
        <v>201</v>
      </c>
      <c r="G28" s="45" t="s">
        <v>172</v>
      </c>
      <c r="H28" s="1" t="s">
        <v>322</v>
      </c>
      <c r="I28" s="1" t="s">
        <v>323</v>
      </c>
      <c r="J28" s="1" t="s">
        <v>204</v>
      </c>
      <c r="K28" s="1" t="s">
        <v>205</v>
      </c>
    </row>
    <row r="29" spans="1:11" ht="30.75" customHeight="1">
      <c r="A29" s="1" t="s">
        <v>324</v>
      </c>
      <c r="B29" s="1" t="s">
        <v>325</v>
      </c>
      <c r="C29" s="1" t="s">
        <v>326</v>
      </c>
      <c r="D29" s="1">
        <v>1</v>
      </c>
      <c r="E29" s="1" t="s">
        <v>327</v>
      </c>
      <c r="F29" s="1" t="s">
        <v>201</v>
      </c>
      <c r="G29" s="45" t="s">
        <v>172</v>
      </c>
      <c r="H29" s="1" t="s">
        <v>328</v>
      </c>
      <c r="I29" s="1" t="s">
        <v>329</v>
      </c>
      <c r="J29" s="1" t="s">
        <v>204</v>
      </c>
      <c r="K29" s="1" t="s">
        <v>205</v>
      </c>
    </row>
    <row r="30" spans="1:11" ht="30.75" customHeight="1">
      <c r="A30" s="1" t="s">
        <v>330</v>
      </c>
      <c r="B30" s="1" t="s">
        <v>331</v>
      </c>
      <c r="C30" s="1" t="s">
        <v>330</v>
      </c>
      <c r="D30" s="1">
        <v>1</v>
      </c>
      <c r="E30" s="1" t="s">
        <v>332</v>
      </c>
      <c r="F30" s="1" t="s">
        <v>201</v>
      </c>
      <c r="G30" s="45" t="s">
        <v>172</v>
      </c>
      <c r="H30" s="1" t="s">
        <v>333</v>
      </c>
      <c r="I30" s="1" t="s">
        <v>334</v>
      </c>
      <c r="J30" s="1" t="s">
        <v>204</v>
      </c>
      <c r="K30" s="1" t="s">
        <v>205</v>
      </c>
    </row>
    <row r="31" spans="1:11" ht="45.75" customHeight="1">
      <c r="A31" s="1" t="s">
        <v>335</v>
      </c>
      <c r="B31" s="1" t="s">
        <v>336</v>
      </c>
      <c r="C31" s="1" t="s">
        <v>335</v>
      </c>
      <c r="D31" s="1">
        <v>1</v>
      </c>
      <c r="E31" s="1" t="s">
        <v>337</v>
      </c>
      <c r="F31" s="1" t="s">
        <v>201</v>
      </c>
      <c r="G31" s="45" t="s">
        <v>172</v>
      </c>
      <c r="H31" s="1" t="s">
        <v>338</v>
      </c>
      <c r="I31" s="1" t="s">
        <v>339</v>
      </c>
      <c r="J31" s="1" t="s">
        <v>204</v>
      </c>
      <c r="K31" s="1" t="s">
        <v>340</v>
      </c>
    </row>
    <row r="32" spans="1:11" ht="45.75" customHeight="1">
      <c r="A32" s="1" t="s">
        <v>341</v>
      </c>
      <c r="B32" s="1" t="s">
        <v>342</v>
      </c>
      <c r="C32" s="1" t="s">
        <v>341</v>
      </c>
      <c r="D32" s="1">
        <v>1</v>
      </c>
      <c r="E32" s="1" t="s">
        <v>343</v>
      </c>
      <c r="F32" s="1" t="s">
        <v>201</v>
      </c>
      <c r="G32" s="45" t="s">
        <v>172</v>
      </c>
      <c r="H32" s="1" t="s">
        <v>344</v>
      </c>
      <c r="I32" s="1" t="s">
        <v>345</v>
      </c>
      <c r="J32" s="1" t="s">
        <v>204</v>
      </c>
      <c r="K32" s="1" t="s">
        <v>346</v>
      </c>
    </row>
    <row r="33" spans="1:11" ht="30.75" customHeight="1">
      <c r="A33" s="1" t="s">
        <v>347</v>
      </c>
      <c r="B33" s="1" t="s">
        <v>348</v>
      </c>
      <c r="C33" s="1" t="s">
        <v>347</v>
      </c>
      <c r="D33" s="1">
        <v>1</v>
      </c>
      <c r="E33" s="1" t="s">
        <v>349</v>
      </c>
      <c r="F33" s="1" t="s">
        <v>201</v>
      </c>
      <c r="G33" s="45" t="s">
        <v>172</v>
      </c>
      <c r="H33" s="1" t="s">
        <v>350</v>
      </c>
      <c r="I33" s="1" t="s">
        <v>351</v>
      </c>
      <c r="J33" s="1" t="s">
        <v>204</v>
      </c>
      <c r="K33" s="1" t="s">
        <v>205</v>
      </c>
    </row>
    <row r="34" spans="1:11" ht="30.75" customHeight="1">
      <c r="A34" s="1" t="s">
        <v>352</v>
      </c>
      <c r="B34" s="1" t="s">
        <v>353</v>
      </c>
      <c r="C34" s="1" t="s">
        <v>352</v>
      </c>
      <c r="D34" s="1">
        <v>1</v>
      </c>
      <c r="E34" s="1" t="s">
        <v>354</v>
      </c>
      <c r="F34" s="1" t="s">
        <v>201</v>
      </c>
      <c r="G34" s="45" t="s">
        <v>172</v>
      </c>
      <c r="H34" s="1" t="s">
        <v>355</v>
      </c>
      <c r="I34" s="1" t="s">
        <v>356</v>
      </c>
      <c r="J34" s="1" t="s">
        <v>204</v>
      </c>
      <c r="K34" s="1" t="s">
        <v>357</v>
      </c>
    </row>
    <row r="35" spans="1:11" ht="30.75" customHeight="1">
      <c r="A35" s="1" t="s">
        <v>358</v>
      </c>
      <c r="B35" s="1" t="s">
        <v>359</v>
      </c>
      <c r="C35" s="1" t="s">
        <v>360</v>
      </c>
      <c r="D35" s="1">
        <v>1</v>
      </c>
      <c r="E35" s="1" t="s">
        <v>361</v>
      </c>
      <c r="F35" s="1" t="s">
        <v>201</v>
      </c>
      <c r="G35" s="45" t="s">
        <v>172</v>
      </c>
      <c r="H35" s="1" t="s">
        <v>362</v>
      </c>
      <c r="I35" s="1" t="s">
        <v>363</v>
      </c>
      <c r="J35" s="1" t="s">
        <v>204</v>
      </c>
      <c r="K35" s="1" t="s">
        <v>205</v>
      </c>
    </row>
    <row r="36" spans="1:11" ht="30.75" customHeight="1">
      <c r="A36" s="1" t="s">
        <v>364</v>
      </c>
      <c r="B36" s="1" t="s">
        <v>365</v>
      </c>
      <c r="C36" s="1" t="s">
        <v>364</v>
      </c>
      <c r="D36" s="1">
        <v>1</v>
      </c>
      <c r="E36" s="1" t="s">
        <v>366</v>
      </c>
      <c r="F36" s="1" t="s">
        <v>201</v>
      </c>
      <c r="G36" s="45" t="s">
        <v>172</v>
      </c>
      <c r="H36" s="1" t="s">
        <v>367</v>
      </c>
      <c r="I36" s="1" t="s">
        <v>368</v>
      </c>
      <c r="J36" s="1" t="s">
        <v>204</v>
      </c>
      <c r="K36" s="1" t="s">
        <v>205</v>
      </c>
    </row>
    <row r="37" spans="1:11" ht="30.75" customHeight="1">
      <c r="A37" s="1" t="s">
        <v>369</v>
      </c>
      <c r="B37" s="1" t="s">
        <v>370</v>
      </c>
      <c r="C37" s="1" t="s">
        <v>364</v>
      </c>
      <c r="D37" s="1">
        <v>1</v>
      </c>
      <c r="E37" s="1" t="s">
        <v>371</v>
      </c>
      <c r="F37" s="1" t="s">
        <v>372</v>
      </c>
      <c r="G37" s="45" t="s">
        <v>172</v>
      </c>
      <c r="H37" s="1" t="s">
        <v>373</v>
      </c>
      <c r="I37" s="1" t="s">
        <v>374</v>
      </c>
      <c r="J37" s="1" t="s">
        <v>204</v>
      </c>
      <c r="K37" s="1" t="s">
        <v>205</v>
      </c>
    </row>
    <row r="38" spans="1:11" ht="30.75" customHeight="1">
      <c r="A38" s="1" t="s">
        <v>375</v>
      </c>
      <c r="B38" s="1" t="s">
        <v>376</v>
      </c>
      <c r="C38" s="1" t="s">
        <v>375</v>
      </c>
      <c r="D38" s="1">
        <v>1</v>
      </c>
      <c r="E38" s="1" t="s">
        <v>377</v>
      </c>
      <c r="F38" s="1" t="s">
        <v>201</v>
      </c>
      <c r="G38" s="45" t="s">
        <v>172</v>
      </c>
      <c r="H38" s="1" t="s">
        <v>378</v>
      </c>
      <c r="I38" s="1" t="s">
        <v>379</v>
      </c>
      <c r="J38" s="1" t="s">
        <v>204</v>
      </c>
      <c r="K38" s="1" t="s">
        <v>205</v>
      </c>
    </row>
    <row r="39" spans="1:11" ht="30.75" customHeight="1">
      <c r="A39" s="1" t="s">
        <v>380</v>
      </c>
      <c r="B39" s="1" t="s">
        <v>381</v>
      </c>
      <c r="C39" s="1" t="s">
        <v>382</v>
      </c>
      <c r="D39" s="1">
        <v>1</v>
      </c>
      <c r="E39" s="1" t="s">
        <v>383</v>
      </c>
      <c r="F39" s="1" t="s">
        <v>201</v>
      </c>
      <c r="G39" s="45" t="s">
        <v>172</v>
      </c>
      <c r="H39" s="1" t="s">
        <v>384</v>
      </c>
      <c r="I39" s="1" t="s">
        <v>385</v>
      </c>
      <c r="J39" s="1" t="s">
        <v>204</v>
      </c>
      <c r="K39" s="1" t="s">
        <v>205</v>
      </c>
    </row>
    <row r="40" spans="1:11" ht="30.75" customHeight="1">
      <c r="A40" s="1" t="s">
        <v>386</v>
      </c>
      <c r="B40" s="1" t="s">
        <v>387</v>
      </c>
      <c r="C40" s="1" t="s">
        <v>386</v>
      </c>
      <c r="D40" s="1">
        <v>1</v>
      </c>
      <c r="E40" s="1" t="s">
        <v>388</v>
      </c>
      <c r="F40" s="1" t="s">
        <v>201</v>
      </c>
      <c r="G40" s="45" t="s">
        <v>172</v>
      </c>
      <c r="H40" s="1" t="s">
        <v>389</v>
      </c>
      <c r="I40" s="1" t="s">
        <v>390</v>
      </c>
      <c r="J40" s="1" t="s">
        <v>204</v>
      </c>
      <c r="K40" s="1" t="s">
        <v>205</v>
      </c>
    </row>
    <row r="41" spans="1:11" ht="30.75" customHeight="1">
      <c r="A41" s="1" t="s">
        <v>391</v>
      </c>
      <c r="B41" s="1" t="s">
        <v>392</v>
      </c>
      <c r="C41" s="1" t="s">
        <v>391</v>
      </c>
      <c r="D41" s="1">
        <v>1</v>
      </c>
      <c r="E41" s="1" t="s">
        <v>393</v>
      </c>
      <c r="F41" s="1" t="s">
        <v>201</v>
      </c>
      <c r="G41" s="45" t="s">
        <v>172</v>
      </c>
      <c r="H41" s="1" t="s">
        <v>394</v>
      </c>
      <c r="I41" s="1" t="s">
        <v>395</v>
      </c>
      <c r="J41" s="1" t="s">
        <v>204</v>
      </c>
      <c r="K41" s="1" t="s">
        <v>205</v>
      </c>
    </row>
    <row r="42" spans="1:11" ht="30.75" customHeight="1">
      <c r="A42" s="1" t="s">
        <v>396</v>
      </c>
      <c r="B42" s="1" t="s">
        <v>397</v>
      </c>
      <c r="C42" s="1" t="s">
        <v>396</v>
      </c>
      <c r="D42" s="1">
        <v>1</v>
      </c>
      <c r="E42" s="1" t="s">
        <v>398</v>
      </c>
      <c r="F42" s="1" t="s">
        <v>201</v>
      </c>
      <c r="G42" s="45" t="s">
        <v>172</v>
      </c>
      <c r="H42" s="1" t="s">
        <v>399</v>
      </c>
      <c r="I42" s="1" t="s">
        <v>400</v>
      </c>
      <c r="J42" s="1" t="s">
        <v>204</v>
      </c>
      <c r="K42" s="1" t="s">
        <v>205</v>
      </c>
    </row>
    <row r="43" spans="1:11" ht="30.75" customHeight="1">
      <c r="A43" s="1" t="s">
        <v>401</v>
      </c>
      <c r="B43" s="1" t="s">
        <v>402</v>
      </c>
      <c r="C43" s="1" t="s">
        <v>401</v>
      </c>
      <c r="D43" s="1">
        <v>1</v>
      </c>
      <c r="E43" s="1" t="s">
        <v>403</v>
      </c>
      <c r="F43" s="1" t="s">
        <v>201</v>
      </c>
      <c r="G43" s="45" t="s">
        <v>172</v>
      </c>
      <c r="H43" s="1" t="s">
        <v>404</v>
      </c>
      <c r="I43" s="1" t="s">
        <v>405</v>
      </c>
      <c r="J43" s="1" t="s">
        <v>204</v>
      </c>
      <c r="K43" s="1" t="s">
        <v>205</v>
      </c>
    </row>
    <row r="44" spans="1:11" ht="30.75" customHeight="1">
      <c r="A44" s="1" t="s">
        <v>406</v>
      </c>
      <c r="B44" s="1" t="s">
        <v>407</v>
      </c>
      <c r="C44" s="1" t="s">
        <v>401</v>
      </c>
      <c r="D44" s="1">
        <v>1</v>
      </c>
      <c r="E44" s="1" t="s">
        <v>408</v>
      </c>
      <c r="F44" s="1" t="s">
        <v>201</v>
      </c>
      <c r="G44" s="45" t="s">
        <v>172</v>
      </c>
      <c r="H44" s="1" t="s">
        <v>409</v>
      </c>
      <c r="I44" s="1" t="s">
        <v>410</v>
      </c>
      <c r="J44" s="1" t="s">
        <v>204</v>
      </c>
      <c r="K44" s="1" t="s">
        <v>205</v>
      </c>
    </row>
    <row r="45" spans="1:11" ht="30.75" customHeight="1">
      <c r="A45" s="1" t="s">
        <v>411</v>
      </c>
      <c r="B45" s="1" t="s">
        <v>412</v>
      </c>
      <c r="C45" s="1" t="s">
        <v>411</v>
      </c>
      <c r="D45" s="1">
        <v>1</v>
      </c>
      <c r="E45" s="1" t="s">
        <v>413</v>
      </c>
      <c r="F45" s="1" t="s">
        <v>201</v>
      </c>
      <c r="G45" s="45" t="s">
        <v>172</v>
      </c>
      <c r="H45" s="1" t="s">
        <v>414</v>
      </c>
      <c r="I45" s="1" t="s">
        <v>415</v>
      </c>
      <c r="J45" s="1" t="s">
        <v>204</v>
      </c>
      <c r="K45" s="1" t="s">
        <v>205</v>
      </c>
    </row>
    <row r="46" spans="1:11" ht="30.75" customHeight="1">
      <c r="A46" s="1" t="s">
        <v>416</v>
      </c>
      <c r="B46" s="1" t="s">
        <v>417</v>
      </c>
      <c r="C46" s="1" t="s">
        <v>416</v>
      </c>
      <c r="D46" s="1">
        <v>1</v>
      </c>
      <c r="E46" s="1" t="s">
        <v>418</v>
      </c>
      <c r="F46" s="1" t="s">
        <v>201</v>
      </c>
      <c r="G46" s="45" t="s">
        <v>172</v>
      </c>
      <c r="H46" s="1" t="s">
        <v>419</v>
      </c>
      <c r="I46" s="1" t="s">
        <v>420</v>
      </c>
      <c r="J46" s="1" t="s">
        <v>204</v>
      </c>
      <c r="K46" s="1" t="s">
        <v>205</v>
      </c>
    </row>
    <row r="47" spans="1:11" ht="30.75" customHeight="1">
      <c r="A47" s="1" t="s">
        <v>421</v>
      </c>
      <c r="B47" s="1" t="s">
        <v>422</v>
      </c>
      <c r="C47" s="1" t="s">
        <v>421</v>
      </c>
      <c r="D47" s="1">
        <v>1</v>
      </c>
      <c r="E47" s="1" t="s">
        <v>423</v>
      </c>
      <c r="F47" s="1" t="s">
        <v>201</v>
      </c>
      <c r="G47" s="45" t="s">
        <v>172</v>
      </c>
      <c r="H47" s="1" t="s">
        <v>424</v>
      </c>
      <c r="I47" s="1" t="s">
        <v>425</v>
      </c>
      <c r="J47" s="1" t="s">
        <v>204</v>
      </c>
      <c r="K47" s="1" t="s">
        <v>205</v>
      </c>
    </row>
    <row r="48" spans="1:11" ht="30.75" customHeight="1">
      <c r="A48" s="1" t="s">
        <v>426</v>
      </c>
      <c r="B48" s="1" t="s">
        <v>427</v>
      </c>
      <c r="C48" s="1" t="s">
        <v>428</v>
      </c>
      <c r="D48" s="1">
        <v>1</v>
      </c>
      <c r="E48" s="1" t="s">
        <v>429</v>
      </c>
      <c r="F48" s="1" t="s">
        <v>201</v>
      </c>
      <c r="G48" s="45" t="s">
        <v>172</v>
      </c>
      <c r="H48" s="1" t="s">
        <v>430</v>
      </c>
      <c r="I48" s="1" t="s">
        <v>431</v>
      </c>
      <c r="J48" s="1" t="s">
        <v>204</v>
      </c>
      <c r="K48" s="1" t="s">
        <v>205</v>
      </c>
    </row>
    <row r="49" spans="1:11" ht="30.75" customHeight="1">
      <c r="A49" s="1" t="s">
        <v>432</v>
      </c>
      <c r="B49" s="1" t="s">
        <v>433</v>
      </c>
      <c r="C49" s="1" t="s">
        <v>432</v>
      </c>
      <c r="D49" s="1">
        <v>1</v>
      </c>
      <c r="E49" s="1" t="s">
        <v>434</v>
      </c>
      <c r="F49" s="1" t="s">
        <v>201</v>
      </c>
      <c r="G49" s="45" t="s">
        <v>172</v>
      </c>
      <c r="H49" s="1" t="s">
        <v>435</v>
      </c>
      <c r="I49" s="1" t="s">
        <v>436</v>
      </c>
      <c r="J49" s="1" t="s">
        <v>204</v>
      </c>
      <c r="K49" s="1" t="s">
        <v>437</v>
      </c>
    </row>
    <row r="50" spans="1:11" ht="30.75" customHeight="1">
      <c r="A50" s="1" t="s">
        <v>438</v>
      </c>
      <c r="B50" s="1" t="s">
        <v>439</v>
      </c>
      <c r="C50" s="1" t="s">
        <v>438</v>
      </c>
      <c r="D50" s="1">
        <v>1</v>
      </c>
      <c r="E50" s="1" t="s">
        <v>440</v>
      </c>
      <c r="F50" s="1" t="s">
        <v>201</v>
      </c>
      <c r="G50" s="45" t="s">
        <v>172</v>
      </c>
      <c r="H50" s="1" t="s">
        <v>441</v>
      </c>
      <c r="I50" s="1" t="s">
        <v>442</v>
      </c>
      <c r="J50" s="1" t="s">
        <v>204</v>
      </c>
      <c r="K50" s="1" t="s">
        <v>443</v>
      </c>
    </row>
    <row r="51" spans="1:11" ht="30.75" customHeight="1">
      <c r="A51" s="1" t="s">
        <v>444</v>
      </c>
      <c r="B51" s="1" t="s">
        <v>445</v>
      </c>
      <c r="C51" s="1" t="s">
        <v>446</v>
      </c>
      <c r="D51" s="1">
        <v>1</v>
      </c>
      <c r="E51" s="1" t="s">
        <v>447</v>
      </c>
      <c r="F51" s="1" t="s">
        <v>201</v>
      </c>
      <c r="G51" s="45" t="s">
        <v>172</v>
      </c>
      <c r="H51" s="1" t="s">
        <v>448</v>
      </c>
      <c r="I51" s="1" t="s">
        <v>449</v>
      </c>
      <c r="J51" s="1" t="s">
        <v>204</v>
      </c>
      <c r="K51" s="1" t="s">
        <v>450</v>
      </c>
    </row>
    <row r="52" spans="1:11" ht="30.75" customHeight="1">
      <c r="A52" s="1" t="s">
        <v>451</v>
      </c>
      <c r="B52" s="1" t="s">
        <v>452</v>
      </c>
      <c r="C52" s="1" t="s">
        <v>453</v>
      </c>
      <c r="D52" s="1">
        <v>1</v>
      </c>
      <c r="E52" s="1" t="s">
        <v>454</v>
      </c>
      <c r="F52" s="1" t="s">
        <v>372</v>
      </c>
      <c r="G52" s="45" t="s">
        <v>172</v>
      </c>
      <c r="H52" s="1" t="s">
        <v>455</v>
      </c>
      <c r="I52" s="1" t="s">
        <v>456</v>
      </c>
      <c r="J52" s="1" t="s">
        <v>204</v>
      </c>
      <c r="K52" s="1" t="s">
        <v>457</v>
      </c>
    </row>
    <row r="53" spans="1:11" ht="76.5" customHeight="1">
      <c r="A53" s="1" t="s">
        <v>458</v>
      </c>
      <c r="B53" s="1" t="s">
        <v>459</v>
      </c>
      <c r="C53" s="1" t="s">
        <v>458</v>
      </c>
      <c r="D53" s="1">
        <v>1</v>
      </c>
      <c r="E53" s="1" t="s">
        <v>460</v>
      </c>
      <c r="F53" s="1" t="s">
        <v>201</v>
      </c>
      <c r="G53" s="45" t="s">
        <v>172</v>
      </c>
      <c r="H53" s="1" t="s">
        <v>461</v>
      </c>
      <c r="I53" s="1" t="s">
        <v>462</v>
      </c>
      <c r="J53" s="1" t="s">
        <v>204</v>
      </c>
      <c r="K53" s="1" t="s">
        <v>463</v>
      </c>
    </row>
    <row r="54" spans="1:11" ht="30.75" customHeight="1">
      <c r="A54" s="1" t="s">
        <v>464</v>
      </c>
      <c r="B54" s="1" t="s">
        <v>465</v>
      </c>
      <c r="C54" s="1" t="s">
        <v>464</v>
      </c>
      <c r="D54" s="1">
        <v>1</v>
      </c>
      <c r="E54" s="1" t="s">
        <v>466</v>
      </c>
      <c r="F54" s="1" t="s">
        <v>201</v>
      </c>
      <c r="G54" s="45" t="s">
        <v>172</v>
      </c>
      <c r="H54" s="1" t="s">
        <v>467</v>
      </c>
      <c r="I54" s="1" t="s">
        <v>468</v>
      </c>
      <c r="J54" s="1" t="s">
        <v>204</v>
      </c>
      <c r="K54" s="1" t="s">
        <v>205</v>
      </c>
    </row>
    <row r="55" spans="1:11" ht="45.75" customHeight="1">
      <c r="A55" s="1" t="s">
        <v>469</v>
      </c>
      <c r="B55" s="1" t="s">
        <v>470</v>
      </c>
      <c r="C55" s="1" t="s">
        <v>469</v>
      </c>
      <c r="D55" s="1">
        <v>1</v>
      </c>
      <c r="E55" s="1" t="s">
        <v>471</v>
      </c>
      <c r="F55" s="1" t="s">
        <v>201</v>
      </c>
      <c r="G55" s="45" t="s">
        <v>172</v>
      </c>
      <c r="H55" s="1" t="s">
        <v>472</v>
      </c>
      <c r="I55" s="1" t="s">
        <v>473</v>
      </c>
      <c r="J55" s="1" t="s">
        <v>204</v>
      </c>
      <c r="K55" s="1" t="s">
        <v>474</v>
      </c>
    </row>
    <row r="56" spans="1:11" ht="30.75" customHeight="1">
      <c r="A56" s="1" t="s">
        <v>475</v>
      </c>
      <c r="B56" s="1" t="s">
        <v>476</v>
      </c>
      <c r="C56" s="1" t="s">
        <v>475</v>
      </c>
      <c r="D56" s="1">
        <v>1</v>
      </c>
      <c r="E56" s="1" t="s">
        <v>477</v>
      </c>
      <c r="F56" s="1" t="s">
        <v>201</v>
      </c>
      <c r="G56" s="45" t="s">
        <v>172</v>
      </c>
      <c r="H56" s="1" t="s">
        <v>478</v>
      </c>
      <c r="I56" s="1" t="s">
        <v>479</v>
      </c>
      <c r="J56" s="1" t="s">
        <v>204</v>
      </c>
      <c r="K56" s="1" t="s">
        <v>205</v>
      </c>
    </row>
    <row r="57" spans="1:11" ht="30.75" customHeight="1">
      <c r="A57" s="1" t="s">
        <v>480</v>
      </c>
      <c r="B57" s="1" t="s">
        <v>481</v>
      </c>
      <c r="C57" s="1" t="s">
        <v>482</v>
      </c>
      <c r="D57" s="1">
        <v>1</v>
      </c>
      <c r="E57" s="1" t="s">
        <v>483</v>
      </c>
      <c r="F57" s="1" t="s">
        <v>201</v>
      </c>
      <c r="G57" s="45" t="s">
        <v>172</v>
      </c>
      <c r="H57" s="1" t="s">
        <v>484</v>
      </c>
      <c r="I57" s="1" t="s">
        <v>485</v>
      </c>
      <c r="J57" s="1" t="s">
        <v>204</v>
      </c>
      <c r="K57" s="1" t="s">
        <v>205</v>
      </c>
    </row>
    <row r="58" spans="1:11" ht="30.75" customHeight="1">
      <c r="A58" s="1" t="s">
        <v>486</v>
      </c>
      <c r="B58" s="1" t="s">
        <v>487</v>
      </c>
      <c r="C58" s="1" t="s">
        <v>486</v>
      </c>
      <c r="D58" s="1">
        <v>1</v>
      </c>
      <c r="E58" s="1" t="s">
        <v>488</v>
      </c>
      <c r="F58" s="1" t="s">
        <v>201</v>
      </c>
      <c r="G58" s="45" t="s">
        <v>172</v>
      </c>
      <c r="H58" s="1" t="s">
        <v>489</v>
      </c>
      <c r="I58" s="1" t="s">
        <v>490</v>
      </c>
      <c r="J58" s="1" t="s">
        <v>204</v>
      </c>
      <c r="K58" s="1" t="s">
        <v>205</v>
      </c>
    </row>
    <row r="59" spans="1:11" ht="76.5" customHeight="1">
      <c r="A59" s="1" t="s">
        <v>491</v>
      </c>
      <c r="B59" s="1" t="s">
        <v>492</v>
      </c>
      <c r="C59" s="1" t="s">
        <v>491</v>
      </c>
      <c r="D59" s="1">
        <v>1</v>
      </c>
      <c r="E59" s="1" t="s">
        <v>493</v>
      </c>
      <c r="F59" s="1" t="s">
        <v>201</v>
      </c>
      <c r="G59" s="45" t="s">
        <v>172</v>
      </c>
      <c r="H59" s="1" t="s">
        <v>494</v>
      </c>
      <c r="I59" s="1" t="s">
        <v>495</v>
      </c>
      <c r="J59" s="1" t="s">
        <v>204</v>
      </c>
      <c r="K59" s="1" t="s">
        <v>496</v>
      </c>
    </row>
    <row r="60" spans="1:11" ht="30.75" customHeight="1">
      <c r="A60" s="1" t="s">
        <v>497</v>
      </c>
      <c r="B60" s="1" t="s">
        <v>498</v>
      </c>
      <c r="C60" s="1" t="s">
        <v>497</v>
      </c>
      <c r="D60" s="1">
        <v>1</v>
      </c>
      <c r="E60" s="1" t="s">
        <v>499</v>
      </c>
      <c r="F60" s="1" t="s">
        <v>201</v>
      </c>
      <c r="G60" s="45" t="s">
        <v>172</v>
      </c>
      <c r="H60" s="1" t="s">
        <v>500</v>
      </c>
      <c r="I60" s="1" t="s">
        <v>501</v>
      </c>
      <c r="J60" s="1" t="s">
        <v>204</v>
      </c>
      <c r="K60" s="1" t="s">
        <v>502</v>
      </c>
    </row>
    <row r="61" spans="1:11" ht="30.75" customHeight="1">
      <c r="A61" s="1" t="s">
        <v>503</v>
      </c>
      <c r="B61" s="1" t="s">
        <v>504</v>
      </c>
      <c r="C61" s="1" t="s">
        <v>503</v>
      </c>
      <c r="D61" s="1">
        <v>1</v>
      </c>
      <c r="E61" s="1" t="s">
        <v>505</v>
      </c>
      <c r="F61" s="1" t="s">
        <v>201</v>
      </c>
      <c r="G61" s="45" t="s">
        <v>172</v>
      </c>
      <c r="H61" s="1" t="s">
        <v>506</v>
      </c>
      <c r="I61" s="1" t="s">
        <v>507</v>
      </c>
      <c r="J61" s="1" t="s">
        <v>204</v>
      </c>
      <c r="K61" s="1" t="s">
        <v>508</v>
      </c>
    </row>
    <row r="62" spans="1:11" ht="30.75" customHeight="1">
      <c r="A62" s="1" t="s">
        <v>509</v>
      </c>
      <c r="B62" s="1" t="s">
        <v>510</v>
      </c>
      <c r="C62" s="1" t="s">
        <v>509</v>
      </c>
      <c r="D62" s="1">
        <v>1</v>
      </c>
      <c r="E62" s="1" t="s">
        <v>511</v>
      </c>
      <c r="F62" s="1" t="s">
        <v>201</v>
      </c>
      <c r="G62" s="45" t="s">
        <v>172</v>
      </c>
      <c r="H62" s="1" t="s">
        <v>512</v>
      </c>
      <c r="I62" s="1" t="s">
        <v>513</v>
      </c>
      <c r="J62" s="1" t="s">
        <v>204</v>
      </c>
      <c r="K62" s="1" t="s">
        <v>205</v>
      </c>
    </row>
    <row r="63" spans="1:11" ht="30.75" customHeight="1">
      <c r="A63" s="1" t="s">
        <v>514</v>
      </c>
      <c r="B63" s="1" t="s">
        <v>515</v>
      </c>
      <c r="C63" s="1" t="s">
        <v>514</v>
      </c>
      <c r="D63" s="1">
        <v>1</v>
      </c>
      <c r="E63" s="1" t="s">
        <v>516</v>
      </c>
      <c r="F63" s="1" t="s">
        <v>201</v>
      </c>
      <c r="G63" s="45" t="s">
        <v>172</v>
      </c>
      <c r="H63" s="1" t="s">
        <v>517</v>
      </c>
      <c r="I63" s="1" t="s">
        <v>518</v>
      </c>
      <c r="J63" s="1" t="s">
        <v>204</v>
      </c>
      <c r="K63" s="1" t="s">
        <v>205</v>
      </c>
    </row>
    <row r="64" spans="1:11" ht="60.75" customHeight="1">
      <c r="A64" s="1" t="s">
        <v>519</v>
      </c>
      <c r="B64" s="1" t="s">
        <v>520</v>
      </c>
      <c r="C64" s="1" t="s">
        <v>519</v>
      </c>
      <c r="D64" s="1">
        <v>1</v>
      </c>
      <c r="E64" s="1" t="s">
        <v>521</v>
      </c>
      <c r="F64" s="1" t="s">
        <v>201</v>
      </c>
      <c r="G64" s="45" t="s">
        <v>172</v>
      </c>
      <c r="H64" s="1" t="s">
        <v>522</v>
      </c>
      <c r="I64" s="1" t="s">
        <v>523</v>
      </c>
      <c r="J64" s="1" t="s">
        <v>204</v>
      </c>
      <c r="K64" s="1" t="s">
        <v>524</v>
      </c>
    </row>
    <row r="65" spans="1:11" ht="30.75" customHeight="1">
      <c r="A65" s="1" t="s">
        <v>525</v>
      </c>
      <c r="B65" s="1" t="s">
        <v>526</v>
      </c>
      <c r="C65" s="1" t="s">
        <v>527</v>
      </c>
      <c r="D65" s="1">
        <v>1</v>
      </c>
      <c r="E65" s="1" t="s">
        <v>528</v>
      </c>
      <c r="F65" s="1" t="s">
        <v>201</v>
      </c>
      <c r="G65" s="45" t="s">
        <v>172</v>
      </c>
      <c r="H65" s="1" t="s">
        <v>529</v>
      </c>
      <c r="I65" s="1" t="s">
        <v>530</v>
      </c>
      <c r="J65" s="1" t="s">
        <v>204</v>
      </c>
      <c r="K65" s="1" t="s">
        <v>531</v>
      </c>
    </row>
    <row r="66" spans="1:11" ht="30.75" customHeight="1">
      <c r="A66" s="1" t="s">
        <v>532</v>
      </c>
      <c r="B66" s="1" t="s">
        <v>533</v>
      </c>
      <c r="C66" s="1" t="s">
        <v>534</v>
      </c>
      <c r="D66" s="1">
        <v>1</v>
      </c>
      <c r="E66" s="1" t="s">
        <v>535</v>
      </c>
      <c r="F66" s="1" t="s">
        <v>201</v>
      </c>
      <c r="G66" s="45" t="s">
        <v>172</v>
      </c>
      <c r="H66" s="1" t="s">
        <v>536</v>
      </c>
      <c r="I66" s="1" t="s">
        <v>537</v>
      </c>
      <c r="J66" s="1" t="s">
        <v>204</v>
      </c>
      <c r="K66" s="1" t="s">
        <v>538</v>
      </c>
    </row>
    <row r="67" spans="1:11" ht="30.75" customHeight="1">
      <c r="A67" s="1" t="s">
        <v>539</v>
      </c>
      <c r="B67" s="1" t="s">
        <v>540</v>
      </c>
      <c r="C67" s="1" t="s">
        <v>539</v>
      </c>
      <c r="D67" s="1">
        <v>1</v>
      </c>
      <c r="E67" s="1" t="s">
        <v>541</v>
      </c>
      <c r="F67" s="1" t="s">
        <v>201</v>
      </c>
      <c r="G67" s="45" t="s">
        <v>172</v>
      </c>
      <c r="H67" s="1" t="s">
        <v>542</v>
      </c>
      <c r="I67" s="1" t="s">
        <v>543</v>
      </c>
      <c r="J67" s="1" t="s">
        <v>204</v>
      </c>
      <c r="K67" s="1" t="s">
        <v>544</v>
      </c>
    </row>
    <row r="68" spans="1:11" ht="30.75" customHeight="1">
      <c r="A68" s="1" t="s">
        <v>545</v>
      </c>
      <c r="B68" s="1" t="s">
        <v>546</v>
      </c>
      <c r="C68" s="1" t="s">
        <v>545</v>
      </c>
      <c r="D68" s="1">
        <v>1</v>
      </c>
      <c r="E68" s="1" t="s">
        <v>547</v>
      </c>
      <c r="F68" s="1" t="s">
        <v>201</v>
      </c>
      <c r="G68" s="45" t="s">
        <v>172</v>
      </c>
      <c r="H68" s="1" t="s">
        <v>548</v>
      </c>
      <c r="I68" s="1" t="s">
        <v>549</v>
      </c>
      <c r="J68" s="1" t="s">
        <v>204</v>
      </c>
      <c r="K68" s="1" t="s">
        <v>550</v>
      </c>
    </row>
    <row r="69" spans="1:11" ht="30.75" customHeight="1">
      <c r="A69" s="1" t="s">
        <v>551</v>
      </c>
      <c r="B69" s="1" t="s">
        <v>552</v>
      </c>
      <c r="C69" s="1" t="s">
        <v>553</v>
      </c>
      <c r="D69" s="1">
        <v>1</v>
      </c>
      <c r="E69" s="1" t="s">
        <v>554</v>
      </c>
      <c r="F69" s="1" t="s">
        <v>201</v>
      </c>
      <c r="G69" s="45" t="s">
        <v>172</v>
      </c>
      <c r="H69" s="1" t="s">
        <v>555</v>
      </c>
      <c r="I69" s="1" t="s">
        <v>556</v>
      </c>
      <c r="J69" s="1" t="s">
        <v>204</v>
      </c>
      <c r="K69" s="1" t="s">
        <v>557</v>
      </c>
    </row>
    <row r="70" spans="1:11" ht="60.75" customHeight="1">
      <c r="A70" s="1" t="s">
        <v>558</v>
      </c>
      <c r="B70" s="1" t="s">
        <v>559</v>
      </c>
      <c r="C70" s="1" t="s">
        <v>558</v>
      </c>
      <c r="D70" s="1">
        <v>1</v>
      </c>
      <c r="E70" s="1" t="s">
        <v>560</v>
      </c>
      <c r="F70" s="1" t="s">
        <v>201</v>
      </c>
      <c r="G70" s="45" t="s">
        <v>172</v>
      </c>
      <c r="H70" s="1" t="s">
        <v>561</v>
      </c>
      <c r="I70" s="1" t="s">
        <v>562</v>
      </c>
      <c r="J70" s="1" t="s">
        <v>204</v>
      </c>
      <c r="K70" s="1" t="s">
        <v>563</v>
      </c>
    </row>
    <row r="71" spans="1:11" ht="30.75" customHeight="1">
      <c r="A71" s="1" t="s">
        <v>564</v>
      </c>
      <c r="B71" s="1" t="s">
        <v>565</v>
      </c>
      <c r="C71" s="1" t="s">
        <v>564</v>
      </c>
      <c r="D71" s="1">
        <v>1</v>
      </c>
      <c r="E71" s="1" t="s">
        <v>566</v>
      </c>
      <c r="F71" s="1" t="s">
        <v>567</v>
      </c>
      <c r="G71" s="45" t="s">
        <v>172</v>
      </c>
      <c r="H71" s="1" t="s">
        <v>568</v>
      </c>
      <c r="I71" s="1" t="s">
        <v>569</v>
      </c>
      <c r="J71" s="1" t="s">
        <v>204</v>
      </c>
      <c r="K71" s="1" t="s">
        <v>570</v>
      </c>
    </row>
    <row r="72" spans="1:11" ht="30.75" customHeight="1">
      <c r="A72" s="1" t="s">
        <v>571</v>
      </c>
      <c r="B72" s="1" t="s">
        <v>572</v>
      </c>
      <c r="C72" s="1" t="s">
        <v>571</v>
      </c>
      <c r="D72" s="1">
        <v>1</v>
      </c>
      <c r="E72" s="1" t="s">
        <v>573</v>
      </c>
      <c r="F72" s="1" t="s">
        <v>201</v>
      </c>
      <c r="G72" s="45" t="s">
        <v>172</v>
      </c>
      <c r="H72" s="1" t="s">
        <v>574</v>
      </c>
      <c r="I72" s="1" t="s">
        <v>575</v>
      </c>
      <c r="J72" s="1" t="s">
        <v>204</v>
      </c>
      <c r="K72" s="1" t="s">
        <v>576</v>
      </c>
    </row>
    <row r="73" spans="1:11" ht="30.75" customHeight="1">
      <c r="A73" s="1" t="s">
        <v>577</v>
      </c>
      <c r="B73" s="1" t="s">
        <v>578</v>
      </c>
      <c r="C73" s="1" t="s">
        <v>579</v>
      </c>
      <c r="D73" s="1">
        <v>1</v>
      </c>
      <c r="E73" s="1" t="s">
        <v>580</v>
      </c>
      <c r="F73" s="1" t="s">
        <v>201</v>
      </c>
      <c r="G73" s="45" t="s">
        <v>172</v>
      </c>
      <c r="H73" s="1" t="s">
        <v>581</v>
      </c>
      <c r="I73" s="1" t="s">
        <v>582</v>
      </c>
      <c r="J73" s="1" t="s">
        <v>204</v>
      </c>
      <c r="K73" s="1" t="s">
        <v>205</v>
      </c>
    </row>
    <row r="74" spans="1:11" ht="30.75" customHeight="1">
      <c r="A74" s="1" t="s">
        <v>583</v>
      </c>
      <c r="B74" s="1" t="s">
        <v>584</v>
      </c>
      <c r="C74" s="1" t="s">
        <v>583</v>
      </c>
      <c r="D74" s="1">
        <v>1</v>
      </c>
      <c r="E74" s="1" t="s">
        <v>580</v>
      </c>
      <c r="F74" s="1" t="s">
        <v>201</v>
      </c>
      <c r="G74" s="45" t="s">
        <v>172</v>
      </c>
      <c r="H74" s="1" t="s">
        <v>585</v>
      </c>
      <c r="I74" s="1" t="s">
        <v>586</v>
      </c>
      <c r="J74" s="1" t="s">
        <v>204</v>
      </c>
      <c r="K74" s="1" t="s">
        <v>205</v>
      </c>
    </row>
    <row r="75" spans="1:11" ht="30.75" customHeight="1">
      <c r="A75" s="1" t="s">
        <v>587</v>
      </c>
      <c r="B75" s="1" t="s">
        <v>588</v>
      </c>
      <c r="C75" s="1" t="s">
        <v>587</v>
      </c>
      <c r="D75" s="1">
        <v>1</v>
      </c>
      <c r="E75" s="1" t="s">
        <v>589</v>
      </c>
      <c r="F75" s="1" t="s">
        <v>201</v>
      </c>
      <c r="G75" s="45" t="s">
        <v>172</v>
      </c>
      <c r="H75" s="1" t="s">
        <v>590</v>
      </c>
      <c r="I75" s="1" t="s">
        <v>591</v>
      </c>
      <c r="J75" s="1" t="s">
        <v>204</v>
      </c>
      <c r="K75" s="1" t="s">
        <v>205</v>
      </c>
    </row>
    <row r="76" spans="1:11" ht="30.75" customHeight="1">
      <c r="A76" s="1" t="s">
        <v>592</v>
      </c>
      <c r="B76" s="1" t="s">
        <v>593</v>
      </c>
      <c r="C76" s="1" t="s">
        <v>594</v>
      </c>
      <c r="D76" s="1">
        <v>1</v>
      </c>
      <c r="E76" s="1" t="s">
        <v>595</v>
      </c>
      <c r="F76" s="1" t="s">
        <v>201</v>
      </c>
      <c r="G76" s="45" t="s">
        <v>172</v>
      </c>
      <c r="H76" s="1" t="s">
        <v>596</v>
      </c>
      <c r="I76" s="1" t="s">
        <v>597</v>
      </c>
      <c r="J76" s="1" t="s">
        <v>204</v>
      </c>
      <c r="K76" s="1" t="s">
        <v>205</v>
      </c>
    </row>
    <row r="77" spans="1:11" ht="30.75" customHeight="1">
      <c r="A77" s="1" t="s">
        <v>598</v>
      </c>
      <c r="B77" s="1" t="s">
        <v>599</v>
      </c>
      <c r="C77" s="1" t="s">
        <v>600</v>
      </c>
      <c r="D77" s="1">
        <v>1</v>
      </c>
      <c r="E77" s="1" t="s">
        <v>601</v>
      </c>
      <c r="F77" s="1" t="s">
        <v>201</v>
      </c>
      <c r="G77" s="45" t="s">
        <v>172</v>
      </c>
      <c r="H77" s="1" t="s">
        <v>602</v>
      </c>
      <c r="I77" s="1" t="s">
        <v>530</v>
      </c>
      <c r="J77" s="1" t="s">
        <v>204</v>
      </c>
      <c r="K77" s="1" t="s">
        <v>531</v>
      </c>
    </row>
    <row r="78" spans="1:11" ht="30.75" customHeight="1">
      <c r="A78" s="1" t="s">
        <v>603</v>
      </c>
      <c r="B78" s="1" t="s">
        <v>604</v>
      </c>
      <c r="C78" s="1" t="s">
        <v>605</v>
      </c>
      <c r="D78" s="1">
        <v>1</v>
      </c>
      <c r="E78" s="1" t="s">
        <v>606</v>
      </c>
      <c r="F78" s="1" t="s">
        <v>201</v>
      </c>
      <c r="G78" s="45" t="s">
        <v>172</v>
      </c>
      <c r="H78" s="1" t="s">
        <v>607</v>
      </c>
      <c r="I78" s="1" t="s">
        <v>530</v>
      </c>
      <c r="J78" s="1" t="s">
        <v>204</v>
      </c>
      <c r="K78" s="1" t="s">
        <v>531</v>
      </c>
    </row>
    <row r="79" spans="1:11" ht="60.75" customHeight="1">
      <c r="A79" s="1" t="s">
        <v>608</v>
      </c>
      <c r="B79" s="1" t="s">
        <v>609</v>
      </c>
      <c r="C79" s="1" t="s">
        <v>610</v>
      </c>
      <c r="D79" s="1">
        <v>1</v>
      </c>
      <c r="E79" s="1" t="s">
        <v>611</v>
      </c>
      <c r="F79" s="1" t="s">
        <v>372</v>
      </c>
      <c r="G79" s="45" t="s">
        <v>172</v>
      </c>
      <c r="H79" s="1" t="s">
        <v>612</v>
      </c>
      <c r="I79" s="1" t="s">
        <v>613</v>
      </c>
      <c r="J79" s="1" t="s">
        <v>204</v>
      </c>
      <c r="K79" s="1" t="s">
        <v>614</v>
      </c>
    </row>
    <row r="80" spans="1:11" ht="30.75" customHeight="1">
      <c r="A80" s="1" t="s">
        <v>615</v>
      </c>
      <c r="B80" s="1" t="s">
        <v>616</v>
      </c>
      <c r="C80" s="1" t="s">
        <v>617</v>
      </c>
      <c r="D80" s="1">
        <v>1</v>
      </c>
      <c r="E80" s="1" t="s">
        <v>618</v>
      </c>
      <c r="F80" s="1" t="s">
        <v>201</v>
      </c>
      <c r="G80" s="45" t="s">
        <v>172</v>
      </c>
      <c r="H80" s="1" t="s">
        <v>619</v>
      </c>
      <c r="I80" s="1" t="s">
        <v>530</v>
      </c>
      <c r="J80" s="1" t="s">
        <v>204</v>
      </c>
      <c r="K80" s="1" t="s">
        <v>531</v>
      </c>
    </row>
    <row r="81" spans="1:11" ht="30.75" customHeight="1">
      <c r="A81" s="1" t="s">
        <v>620</v>
      </c>
      <c r="B81" s="1" t="s">
        <v>621</v>
      </c>
      <c r="C81" s="1" t="s">
        <v>620</v>
      </c>
      <c r="D81" s="1">
        <v>1</v>
      </c>
      <c r="E81" s="1" t="s">
        <v>622</v>
      </c>
      <c r="F81" s="1" t="s">
        <v>201</v>
      </c>
      <c r="G81" s="45" t="s">
        <v>172</v>
      </c>
      <c r="H81" s="1" t="s">
        <v>623</v>
      </c>
      <c r="I81" s="1" t="s">
        <v>624</v>
      </c>
      <c r="J81" s="1" t="s">
        <v>204</v>
      </c>
      <c r="K81" s="1" t="s">
        <v>625</v>
      </c>
    </row>
    <row r="82" spans="1:11" ht="30.75" customHeight="1">
      <c r="A82" s="1" t="s">
        <v>626</v>
      </c>
      <c r="B82" s="1" t="s">
        <v>627</v>
      </c>
      <c r="C82" s="1" t="s">
        <v>626</v>
      </c>
      <c r="D82" s="1">
        <v>1</v>
      </c>
      <c r="E82" s="1" t="s">
        <v>628</v>
      </c>
      <c r="F82" s="1" t="s">
        <v>201</v>
      </c>
      <c r="G82" s="45" t="s">
        <v>172</v>
      </c>
      <c r="H82" s="1" t="s">
        <v>629</v>
      </c>
      <c r="I82" s="1" t="s">
        <v>630</v>
      </c>
      <c r="J82" s="1" t="s">
        <v>204</v>
      </c>
      <c r="K82" s="1" t="s">
        <v>625</v>
      </c>
    </row>
    <row r="83" spans="1:11" ht="30.75" customHeight="1">
      <c r="A83" s="1" t="s">
        <v>631</v>
      </c>
      <c r="B83" s="1" t="s">
        <v>632</v>
      </c>
      <c r="C83" s="1" t="s">
        <v>631</v>
      </c>
      <c r="D83" s="1">
        <v>1</v>
      </c>
      <c r="E83" s="1" t="s">
        <v>633</v>
      </c>
      <c r="F83" s="1" t="s">
        <v>201</v>
      </c>
      <c r="G83" s="45" t="s">
        <v>172</v>
      </c>
      <c r="H83" s="1" t="s">
        <v>634</v>
      </c>
      <c r="I83" s="1" t="s">
        <v>635</v>
      </c>
      <c r="J83" s="1" t="s">
        <v>204</v>
      </c>
      <c r="K83" s="1" t="s">
        <v>205</v>
      </c>
    </row>
    <row r="84" spans="1:11" ht="30.75" customHeight="1">
      <c r="A84" s="1" t="s">
        <v>636</v>
      </c>
      <c r="B84" s="1" t="s">
        <v>637</v>
      </c>
      <c r="C84" s="1" t="s">
        <v>638</v>
      </c>
      <c r="D84" s="1">
        <v>1</v>
      </c>
      <c r="E84" s="1" t="s">
        <v>639</v>
      </c>
      <c r="F84" s="1" t="s">
        <v>201</v>
      </c>
      <c r="G84" s="45" t="s">
        <v>172</v>
      </c>
      <c r="H84" s="1" t="s">
        <v>640</v>
      </c>
      <c r="I84" s="1" t="s">
        <v>641</v>
      </c>
      <c r="J84" s="1" t="s">
        <v>204</v>
      </c>
      <c r="K84" s="1" t="s">
        <v>642</v>
      </c>
    </row>
    <row r="85" spans="1:11" ht="30.75" customHeight="1">
      <c r="A85" s="1" t="s">
        <v>643</v>
      </c>
      <c r="B85" s="1" t="s">
        <v>644</v>
      </c>
      <c r="C85" s="1" t="s">
        <v>643</v>
      </c>
      <c r="D85" s="1">
        <v>1</v>
      </c>
      <c r="E85" s="1" t="s">
        <v>645</v>
      </c>
      <c r="F85" s="1" t="s">
        <v>201</v>
      </c>
      <c r="G85" s="45" t="s">
        <v>172</v>
      </c>
      <c r="H85" s="1" t="s">
        <v>646</v>
      </c>
      <c r="I85" s="1" t="s">
        <v>647</v>
      </c>
      <c r="J85" s="1" t="s">
        <v>204</v>
      </c>
      <c r="K85" s="1" t="s">
        <v>205</v>
      </c>
    </row>
    <row r="86" spans="1:11" ht="30.75" customHeight="1">
      <c r="A86" s="1" t="s">
        <v>648</v>
      </c>
      <c r="B86" s="1" t="s">
        <v>649</v>
      </c>
      <c r="C86" s="1" t="s">
        <v>650</v>
      </c>
      <c r="D86" s="1">
        <v>1</v>
      </c>
      <c r="E86" s="1" t="s">
        <v>651</v>
      </c>
      <c r="F86" s="1" t="s">
        <v>201</v>
      </c>
      <c r="G86" s="45" t="s">
        <v>172</v>
      </c>
      <c r="H86" s="1" t="s">
        <v>652</v>
      </c>
      <c r="I86" s="1" t="s">
        <v>530</v>
      </c>
      <c r="J86" s="1" t="s">
        <v>204</v>
      </c>
      <c r="K86" s="1" t="s">
        <v>531</v>
      </c>
    </row>
    <row r="87" spans="1:11" ht="30.75" customHeight="1">
      <c r="A87" s="1" t="s">
        <v>653</v>
      </c>
      <c r="B87" s="1" t="s">
        <v>654</v>
      </c>
      <c r="C87" s="1" t="s">
        <v>655</v>
      </c>
      <c r="D87" s="1">
        <v>1</v>
      </c>
      <c r="E87" s="1" t="s">
        <v>656</v>
      </c>
      <c r="F87" s="1" t="s">
        <v>201</v>
      </c>
      <c r="G87" s="45" t="s">
        <v>172</v>
      </c>
      <c r="H87" s="1" t="s">
        <v>657</v>
      </c>
      <c r="I87" s="1" t="s">
        <v>658</v>
      </c>
      <c r="J87" s="1" t="s">
        <v>204</v>
      </c>
      <c r="K87" s="1" t="s">
        <v>205</v>
      </c>
    </row>
    <row r="88" spans="1:11" ht="30.75" customHeight="1">
      <c r="A88" s="1" t="s">
        <v>659</v>
      </c>
      <c r="B88" s="1" t="s">
        <v>660</v>
      </c>
      <c r="C88" s="1" t="s">
        <v>661</v>
      </c>
      <c r="D88" s="1">
        <v>1</v>
      </c>
      <c r="E88" s="1" t="s">
        <v>662</v>
      </c>
      <c r="F88" s="1" t="s">
        <v>201</v>
      </c>
      <c r="G88" s="45" t="s">
        <v>172</v>
      </c>
      <c r="H88" s="1" t="s">
        <v>663</v>
      </c>
      <c r="I88" s="1" t="s">
        <v>664</v>
      </c>
      <c r="J88" s="1" t="s">
        <v>204</v>
      </c>
      <c r="K88" s="1" t="s">
        <v>205</v>
      </c>
    </row>
    <row r="89" spans="1:11" ht="30.75" customHeight="1">
      <c r="A89" s="1" t="s">
        <v>665</v>
      </c>
      <c r="B89" s="1" t="s">
        <v>666</v>
      </c>
      <c r="C89" s="1" t="s">
        <v>667</v>
      </c>
      <c r="D89" s="1">
        <v>1</v>
      </c>
      <c r="E89" s="1" t="s">
        <v>668</v>
      </c>
      <c r="F89" s="1" t="s">
        <v>201</v>
      </c>
      <c r="G89" s="45" t="s">
        <v>172</v>
      </c>
      <c r="H89" s="1" t="s">
        <v>669</v>
      </c>
      <c r="I89" s="1" t="s">
        <v>530</v>
      </c>
      <c r="J89" s="1" t="s">
        <v>204</v>
      </c>
      <c r="K89" s="1" t="s">
        <v>531</v>
      </c>
    </row>
    <row r="90" spans="1:11" ht="30.75" customHeight="1">
      <c r="A90" s="1" t="s">
        <v>670</v>
      </c>
      <c r="B90" s="1" t="s">
        <v>671</v>
      </c>
      <c r="C90" s="1" t="s">
        <v>672</v>
      </c>
      <c r="D90" s="1">
        <v>1</v>
      </c>
      <c r="E90" s="1" t="s">
        <v>673</v>
      </c>
      <c r="F90" s="1" t="s">
        <v>201</v>
      </c>
      <c r="G90" s="45" t="s">
        <v>172</v>
      </c>
      <c r="H90" s="1" t="s">
        <v>674</v>
      </c>
      <c r="I90" s="1" t="s">
        <v>675</v>
      </c>
      <c r="J90" s="1" t="s">
        <v>204</v>
      </c>
      <c r="K90" s="1" t="s">
        <v>205</v>
      </c>
    </row>
    <row r="91" spans="1:11" ht="30.75" customHeight="1">
      <c r="A91" s="1" t="s">
        <v>676</v>
      </c>
      <c r="B91" s="1" t="s">
        <v>677</v>
      </c>
      <c r="C91" s="1" t="s">
        <v>678</v>
      </c>
      <c r="D91" s="1">
        <v>1</v>
      </c>
      <c r="E91" s="1" t="s">
        <v>679</v>
      </c>
      <c r="F91" s="1" t="s">
        <v>201</v>
      </c>
      <c r="G91" s="45" t="s">
        <v>172</v>
      </c>
      <c r="H91" s="1" t="s">
        <v>680</v>
      </c>
      <c r="I91" s="1" t="s">
        <v>681</v>
      </c>
      <c r="J91" s="1" t="s">
        <v>204</v>
      </c>
      <c r="K91" s="1" t="s">
        <v>682</v>
      </c>
    </row>
    <row r="92" spans="1:11" ht="30.75" customHeight="1">
      <c r="A92" s="1" t="s">
        <v>683</v>
      </c>
      <c r="B92" s="1" t="s">
        <v>684</v>
      </c>
      <c r="C92" s="1" t="s">
        <v>670</v>
      </c>
      <c r="D92" s="1">
        <v>1</v>
      </c>
      <c r="E92" s="1" t="s">
        <v>685</v>
      </c>
      <c r="F92" s="1" t="s">
        <v>372</v>
      </c>
      <c r="G92" s="45" t="s">
        <v>172</v>
      </c>
      <c r="H92" s="1" t="s">
        <v>686</v>
      </c>
      <c r="I92" s="1" t="s">
        <v>687</v>
      </c>
      <c r="J92" s="1" t="s">
        <v>204</v>
      </c>
      <c r="K92" s="1" t="s">
        <v>205</v>
      </c>
    </row>
    <row r="93" spans="1:11" ht="30.75" customHeight="1">
      <c r="A93" s="1" t="s">
        <v>688</v>
      </c>
      <c r="B93" s="1" t="s">
        <v>689</v>
      </c>
      <c r="C93" s="1" t="s">
        <v>690</v>
      </c>
      <c r="D93" s="1">
        <v>1</v>
      </c>
      <c r="E93" s="1" t="s">
        <v>691</v>
      </c>
      <c r="F93" s="1" t="s">
        <v>201</v>
      </c>
      <c r="G93" s="45" t="s">
        <v>172</v>
      </c>
      <c r="H93" s="1" t="s">
        <v>692</v>
      </c>
      <c r="I93" s="1" t="s">
        <v>530</v>
      </c>
      <c r="J93" s="1" t="s">
        <v>204</v>
      </c>
      <c r="K93" s="1" t="s">
        <v>531</v>
      </c>
    </row>
    <row r="94" spans="1:11" ht="30.75" customHeight="1">
      <c r="A94" s="1" t="s">
        <v>693</v>
      </c>
      <c r="B94" s="1" t="s">
        <v>694</v>
      </c>
      <c r="C94" s="1" t="s">
        <v>695</v>
      </c>
      <c r="D94" s="1">
        <v>1</v>
      </c>
      <c r="E94" s="1" t="s">
        <v>696</v>
      </c>
      <c r="F94" s="1" t="s">
        <v>201</v>
      </c>
      <c r="G94" s="45" t="s">
        <v>172</v>
      </c>
      <c r="H94" s="1" t="s">
        <v>697</v>
      </c>
      <c r="I94" s="1" t="s">
        <v>530</v>
      </c>
      <c r="J94" s="1" t="s">
        <v>204</v>
      </c>
      <c r="K94" s="1" t="s">
        <v>531</v>
      </c>
    </row>
    <row r="95" spans="1:11" ht="30.75" customHeight="1">
      <c r="A95" s="1" t="s">
        <v>698</v>
      </c>
      <c r="B95" s="1" t="s">
        <v>699</v>
      </c>
      <c r="C95" s="1" t="s">
        <v>700</v>
      </c>
      <c r="D95" s="1">
        <v>1</v>
      </c>
      <c r="E95" s="1" t="s">
        <v>701</v>
      </c>
      <c r="F95" s="1" t="s">
        <v>201</v>
      </c>
      <c r="G95" s="45" t="s">
        <v>172</v>
      </c>
      <c r="H95" s="1" t="s">
        <v>702</v>
      </c>
      <c r="I95" s="1" t="s">
        <v>530</v>
      </c>
      <c r="J95" s="1" t="s">
        <v>204</v>
      </c>
      <c r="K95" s="1" t="s">
        <v>531</v>
      </c>
    </row>
    <row r="96" spans="1:11" ht="30.75" customHeight="1">
      <c r="A96" s="1" t="s">
        <v>703</v>
      </c>
      <c r="B96" s="1" t="s">
        <v>704</v>
      </c>
      <c r="C96" s="1" t="s">
        <v>705</v>
      </c>
      <c r="D96" s="1">
        <v>1</v>
      </c>
      <c r="E96" s="1" t="s">
        <v>706</v>
      </c>
      <c r="F96" s="1" t="s">
        <v>201</v>
      </c>
      <c r="G96" s="45" t="s">
        <v>172</v>
      </c>
      <c r="H96" s="1" t="s">
        <v>707</v>
      </c>
      <c r="I96" s="1" t="s">
        <v>530</v>
      </c>
      <c r="J96" s="1" t="s">
        <v>204</v>
      </c>
      <c r="K96" s="1" t="s">
        <v>531</v>
      </c>
    </row>
    <row r="97" spans="1:11" ht="30.75" customHeight="1">
      <c r="A97" s="1" t="s">
        <v>708</v>
      </c>
      <c r="B97" s="1" t="s">
        <v>709</v>
      </c>
      <c r="C97" s="1" t="s">
        <v>710</v>
      </c>
      <c r="D97" s="1">
        <v>1</v>
      </c>
      <c r="E97" s="1" t="s">
        <v>711</v>
      </c>
      <c r="F97" s="1" t="s">
        <v>201</v>
      </c>
      <c r="G97" s="45" t="s">
        <v>172</v>
      </c>
      <c r="H97" s="1" t="s">
        <v>712</v>
      </c>
      <c r="I97" s="1" t="s">
        <v>530</v>
      </c>
      <c r="J97" s="1" t="s">
        <v>204</v>
      </c>
      <c r="K97" s="1" t="s">
        <v>531</v>
      </c>
    </row>
    <row r="98" spans="1:11" ht="30.75" customHeight="1">
      <c r="A98" s="1" t="s">
        <v>713</v>
      </c>
      <c r="B98" s="1" t="s">
        <v>714</v>
      </c>
      <c r="C98" s="1" t="s">
        <v>715</v>
      </c>
      <c r="D98" s="1">
        <v>1</v>
      </c>
      <c r="E98" s="1" t="s">
        <v>716</v>
      </c>
      <c r="F98" s="1" t="s">
        <v>201</v>
      </c>
      <c r="G98" s="45" t="s">
        <v>172</v>
      </c>
      <c r="H98" s="1" t="s">
        <v>717</v>
      </c>
      <c r="I98" s="1" t="s">
        <v>530</v>
      </c>
      <c r="J98" s="1" t="s">
        <v>204</v>
      </c>
      <c r="K98" s="1" t="s">
        <v>531</v>
      </c>
    </row>
    <row r="99" spans="1:11" ht="30.75" customHeight="1">
      <c r="A99" s="1" t="s">
        <v>718</v>
      </c>
      <c r="B99" s="1" t="s">
        <v>719</v>
      </c>
      <c r="C99" s="1" t="s">
        <v>720</v>
      </c>
      <c r="D99" s="1">
        <v>1</v>
      </c>
      <c r="E99" s="1" t="s">
        <v>721</v>
      </c>
      <c r="F99" s="1" t="s">
        <v>201</v>
      </c>
      <c r="G99" s="45" t="s">
        <v>172</v>
      </c>
      <c r="H99" s="1" t="s">
        <v>722</v>
      </c>
      <c r="I99" s="1" t="s">
        <v>723</v>
      </c>
      <c r="J99" s="1" t="s">
        <v>204</v>
      </c>
      <c r="K99" s="1" t="s">
        <v>205</v>
      </c>
    </row>
    <row r="100" spans="1:11" ht="30.75" customHeight="1">
      <c r="A100" s="1" t="s">
        <v>724</v>
      </c>
      <c r="B100" s="1" t="s">
        <v>725</v>
      </c>
      <c r="C100" s="1" t="s">
        <v>726</v>
      </c>
      <c r="D100" s="1">
        <v>1</v>
      </c>
      <c r="E100" s="1" t="s">
        <v>727</v>
      </c>
      <c r="F100" s="1" t="s">
        <v>201</v>
      </c>
      <c r="G100" s="45" t="s">
        <v>172</v>
      </c>
      <c r="H100" s="1" t="s">
        <v>728</v>
      </c>
      <c r="I100" s="1" t="s">
        <v>729</v>
      </c>
      <c r="J100" s="1" t="s">
        <v>204</v>
      </c>
      <c r="K100" s="1" t="s">
        <v>730</v>
      </c>
    </row>
    <row r="101" spans="1:11" ht="30.75" customHeight="1">
      <c r="A101" s="1" t="s">
        <v>731</v>
      </c>
      <c r="B101" s="1" t="s">
        <v>732</v>
      </c>
      <c r="C101" s="1" t="s">
        <v>733</v>
      </c>
      <c r="D101" s="1">
        <v>1</v>
      </c>
      <c r="E101" s="1" t="s">
        <v>734</v>
      </c>
      <c r="F101" s="1" t="s">
        <v>201</v>
      </c>
      <c r="G101" s="45" t="s">
        <v>172</v>
      </c>
      <c r="H101" s="1" t="s">
        <v>735</v>
      </c>
      <c r="I101" s="1" t="s">
        <v>736</v>
      </c>
      <c r="J101" s="1" t="s">
        <v>204</v>
      </c>
      <c r="K101" s="1" t="s">
        <v>737</v>
      </c>
    </row>
    <row r="102" spans="1:11" ht="30.75" customHeight="1">
      <c r="A102" s="1" t="s">
        <v>738</v>
      </c>
      <c r="B102" s="1" t="s">
        <v>739</v>
      </c>
      <c r="C102" s="1" t="s">
        <v>740</v>
      </c>
      <c r="D102" s="1">
        <v>1</v>
      </c>
      <c r="E102" s="1" t="s">
        <v>741</v>
      </c>
      <c r="F102" s="1" t="s">
        <v>201</v>
      </c>
      <c r="G102" s="45" t="s">
        <v>172</v>
      </c>
      <c r="H102" s="1" t="s">
        <v>742</v>
      </c>
      <c r="I102" s="1" t="s">
        <v>743</v>
      </c>
      <c r="J102" s="1" t="s">
        <v>204</v>
      </c>
      <c r="K102" s="1" t="s">
        <v>744</v>
      </c>
    </row>
    <row r="103" spans="1:11" ht="30.75" customHeight="1">
      <c r="A103" s="1" t="s">
        <v>745</v>
      </c>
      <c r="B103" s="1" t="s">
        <v>746</v>
      </c>
      <c r="C103" s="1" t="s">
        <v>747</v>
      </c>
      <c r="D103" s="1">
        <v>1</v>
      </c>
      <c r="E103" s="1" t="s">
        <v>748</v>
      </c>
      <c r="F103" s="1" t="s">
        <v>201</v>
      </c>
      <c r="G103" s="45" t="s">
        <v>172</v>
      </c>
      <c r="H103" s="1" t="s">
        <v>749</v>
      </c>
      <c r="I103" s="1" t="s">
        <v>750</v>
      </c>
      <c r="J103" s="1" t="s">
        <v>204</v>
      </c>
      <c r="K103" s="1" t="s">
        <v>751</v>
      </c>
    </row>
    <row r="104" spans="1:11" ht="30.75" customHeight="1">
      <c r="A104" s="1" t="s">
        <v>752</v>
      </c>
      <c r="B104" s="1" t="s">
        <v>753</v>
      </c>
      <c r="C104" s="1" t="s">
        <v>754</v>
      </c>
      <c r="D104" s="1">
        <v>2</v>
      </c>
      <c r="E104" s="1" t="s">
        <v>755</v>
      </c>
      <c r="F104" s="1" t="s">
        <v>201</v>
      </c>
      <c r="G104" s="45" t="s">
        <v>172</v>
      </c>
      <c r="H104" s="1" t="s">
        <v>756</v>
      </c>
      <c r="I104" s="1" t="s">
        <v>757</v>
      </c>
      <c r="J104" s="1" t="s">
        <v>204</v>
      </c>
      <c r="K104" s="1" t="s">
        <v>758</v>
      </c>
    </row>
    <row r="105" spans="1:11" ht="30.75" customHeight="1">
      <c r="A105" s="1" t="s">
        <v>759</v>
      </c>
      <c r="B105" s="1" t="s">
        <v>760</v>
      </c>
      <c r="C105" s="1" t="s">
        <v>761</v>
      </c>
      <c r="D105" s="1">
        <v>1</v>
      </c>
      <c r="E105" s="1" t="s">
        <v>762</v>
      </c>
      <c r="F105" s="1" t="s">
        <v>201</v>
      </c>
      <c r="G105" s="45" t="s">
        <v>172</v>
      </c>
      <c r="H105" s="1" t="s">
        <v>763</v>
      </c>
      <c r="I105" s="1" t="s">
        <v>764</v>
      </c>
      <c r="J105" s="1" t="s">
        <v>204</v>
      </c>
      <c r="K105" s="1" t="s">
        <v>205</v>
      </c>
    </row>
    <row r="106" spans="1:11" ht="30.75" customHeight="1">
      <c r="A106" s="1" t="s">
        <v>765</v>
      </c>
      <c r="B106" s="1" t="s">
        <v>766</v>
      </c>
      <c r="C106" s="1" t="s">
        <v>767</v>
      </c>
      <c r="D106" s="1">
        <v>1</v>
      </c>
      <c r="E106" s="1" t="s">
        <v>768</v>
      </c>
      <c r="F106" s="1" t="s">
        <v>201</v>
      </c>
      <c r="G106" s="45" t="s">
        <v>172</v>
      </c>
      <c r="H106" s="1" t="s">
        <v>769</v>
      </c>
      <c r="I106" s="1" t="s">
        <v>770</v>
      </c>
      <c r="J106" s="1" t="s">
        <v>204</v>
      </c>
      <c r="K106" s="1" t="s">
        <v>205</v>
      </c>
    </row>
    <row r="107" spans="1:11" ht="30.75" customHeight="1">
      <c r="A107" s="1" t="s">
        <v>771</v>
      </c>
      <c r="B107" s="1" t="s">
        <v>772</v>
      </c>
      <c r="C107" s="1" t="s">
        <v>773</v>
      </c>
      <c r="D107" s="1">
        <v>1</v>
      </c>
      <c r="E107" s="1" t="s">
        <v>774</v>
      </c>
      <c r="F107" s="1" t="s">
        <v>201</v>
      </c>
      <c r="G107" s="45" t="s">
        <v>172</v>
      </c>
      <c r="H107" s="1" t="s">
        <v>775</v>
      </c>
      <c r="I107" s="1" t="s">
        <v>776</v>
      </c>
      <c r="J107" s="1" t="s">
        <v>204</v>
      </c>
      <c r="K107" s="1" t="s">
        <v>205</v>
      </c>
    </row>
    <row r="108" spans="1:11" ht="30.75" customHeight="1">
      <c r="A108" s="1" t="s">
        <v>777</v>
      </c>
      <c r="B108" s="1" t="s">
        <v>778</v>
      </c>
      <c r="C108" s="1" t="s">
        <v>779</v>
      </c>
      <c r="D108" s="1">
        <v>1</v>
      </c>
      <c r="E108" s="1" t="s">
        <v>780</v>
      </c>
      <c r="F108" s="1" t="s">
        <v>201</v>
      </c>
      <c r="G108" s="45" t="s">
        <v>172</v>
      </c>
      <c r="H108" s="1" t="s">
        <v>781</v>
      </c>
      <c r="I108" s="1" t="s">
        <v>782</v>
      </c>
      <c r="J108" s="1" t="s">
        <v>204</v>
      </c>
      <c r="K108" s="1" t="s">
        <v>205</v>
      </c>
    </row>
    <row r="109" spans="1:11" ht="30.75" customHeight="1">
      <c r="A109" s="1" t="s">
        <v>783</v>
      </c>
      <c r="B109" s="1" t="s">
        <v>784</v>
      </c>
      <c r="C109" s="1" t="s">
        <v>785</v>
      </c>
      <c r="D109" s="1">
        <v>1</v>
      </c>
      <c r="E109" s="1" t="s">
        <v>786</v>
      </c>
      <c r="F109" s="1" t="s">
        <v>201</v>
      </c>
      <c r="G109" s="45" t="s">
        <v>172</v>
      </c>
      <c r="H109" s="1" t="s">
        <v>787</v>
      </c>
      <c r="I109" s="1" t="s">
        <v>788</v>
      </c>
      <c r="J109" s="1" t="s">
        <v>204</v>
      </c>
      <c r="K109" s="1" t="s">
        <v>205</v>
      </c>
    </row>
    <row r="110" spans="1:11" ht="30.75" customHeight="1">
      <c r="A110" s="1" t="s">
        <v>789</v>
      </c>
      <c r="B110" s="1" t="s">
        <v>790</v>
      </c>
      <c r="C110" s="1" t="s">
        <v>791</v>
      </c>
      <c r="D110" s="1">
        <v>1</v>
      </c>
      <c r="E110" s="1" t="s">
        <v>792</v>
      </c>
      <c r="F110" s="1" t="s">
        <v>372</v>
      </c>
      <c r="G110" s="45" t="s">
        <v>172</v>
      </c>
      <c r="H110" s="1" t="s">
        <v>793</v>
      </c>
      <c r="I110" s="1" t="s">
        <v>794</v>
      </c>
      <c r="J110" s="1" t="s">
        <v>204</v>
      </c>
      <c r="K110" s="1" t="s">
        <v>795</v>
      </c>
    </row>
    <row r="111" spans="1:11" ht="30.75" customHeight="1">
      <c r="A111" s="1" t="s">
        <v>796</v>
      </c>
      <c r="B111" s="1" t="s">
        <v>797</v>
      </c>
      <c r="C111" s="1" t="s">
        <v>798</v>
      </c>
      <c r="D111" s="1">
        <v>1</v>
      </c>
      <c r="E111" s="1" t="s">
        <v>799</v>
      </c>
      <c r="F111" s="1" t="s">
        <v>201</v>
      </c>
      <c r="G111" s="45" t="s">
        <v>172</v>
      </c>
      <c r="H111" s="1" t="s">
        <v>800</v>
      </c>
      <c r="I111" s="1" t="s">
        <v>801</v>
      </c>
      <c r="J111" s="1" t="s">
        <v>204</v>
      </c>
      <c r="K111" s="1" t="s">
        <v>802</v>
      </c>
    </row>
    <row r="112" spans="1:11" ht="30.75" customHeight="1">
      <c r="A112" s="1" t="s">
        <v>803</v>
      </c>
      <c r="B112" s="1" t="s">
        <v>804</v>
      </c>
      <c r="C112" s="1" t="s">
        <v>805</v>
      </c>
      <c r="D112" s="1">
        <v>1</v>
      </c>
      <c r="E112" s="1" t="s">
        <v>806</v>
      </c>
      <c r="F112" s="1" t="s">
        <v>201</v>
      </c>
      <c r="G112" s="45" t="s">
        <v>172</v>
      </c>
      <c r="H112" s="1" t="s">
        <v>807</v>
      </c>
      <c r="I112" s="1" t="s">
        <v>530</v>
      </c>
      <c r="J112" s="1" t="s">
        <v>204</v>
      </c>
      <c r="K112" s="1" t="s">
        <v>531</v>
      </c>
    </row>
    <row r="113" spans="1:11" ht="30.75" customHeight="1">
      <c r="A113" s="1" t="s">
        <v>808</v>
      </c>
      <c r="B113" s="1" t="s">
        <v>809</v>
      </c>
      <c r="C113" s="1" t="s">
        <v>810</v>
      </c>
      <c r="D113" s="1">
        <v>1</v>
      </c>
      <c r="E113" s="1" t="s">
        <v>811</v>
      </c>
      <c r="F113" s="1" t="s">
        <v>201</v>
      </c>
      <c r="G113" s="45" t="s">
        <v>172</v>
      </c>
      <c r="H113" s="1" t="s">
        <v>812</v>
      </c>
      <c r="I113" s="1" t="s">
        <v>813</v>
      </c>
      <c r="J113" s="1" t="s">
        <v>204</v>
      </c>
      <c r="K113" s="1" t="s">
        <v>814</v>
      </c>
    </row>
    <row r="114" spans="1:11" ht="30.75" customHeight="1">
      <c r="A114" s="1" t="s">
        <v>815</v>
      </c>
      <c r="B114" s="1" t="s">
        <v>816</v>
      </c>
      <c r="C114" s="1" t="s">
        <v>817</v>
      </c>
      <c r="D114" s="1">
        <v>2</v>
      </c>
      <c r="E114" s="1" t="s">
        <v>818</v>
      </c>
      <c r="F114" s="1" t="s">
        <v>201</v>
      </c>
      <c r="G114" s="45" t="s">
        <v>172</v>
      </c>
      <c r="H114" s="1" t="s">
        <v>819</v>
      </c>
      <c r="I114" s="1" t="s">
        <v>820</v>
      </c>
      <c r="J114" s="1" t="s">
        <v>204</v>
      </c>
      <c r="K114" s="1" t="s">
        <v>821</v>
      </c>
    </row>
    <row r="115" spans="1:11" ht="30.75" customHeight="1">
      <c r="A115" s="1" t="s">
        <v>822</v>
      </c>
      <c r="B115" s="1" t="s">
        <v>823</v>
      </c>
      <c r="C115" s="1" t="s">
        <v>824</v>
      </c>
      <c r="D115" s="1">
        <v>1</v>
      </c>
      <c r="E115" s="1" t="s">
        <v>825</v>
      </c>
      <c r="F115" s="1" t="s">
        <v>201</v>
      </c>
      <c r="G115" s="45" t="s">
        <v>172</v>
      </c>
      <c r="H115" s="1" t="s">
        <v>826</v>
      </c>
      <c r="I115" s="1" t="s">
        <v>827</v>
      </c>
      <c r="J115" s="1" t="s">
        <v>204</v>
      </c>
      <c r="K115" s="1" t="s">
        <v>828</v>
      </c>
    </row>
    <row r="116" spans="1:11" ht="30.75" customHeight="1">
      <c r="A116" s="1" t="s">
        <v>829</v>
      </c>
      <c r="B116" s="1" t="s">
        <v>830</v>
      </c>
      <c r="C116" s="1" t="s">
        <v>831</v>
      </c>
      <c r="D116" s="1">
        <v>1</v>
      </c>
      <c r="E116" s="1" t="s">
        <v>832</v>
      </c>
      <c r="F116" s="1" t="s">
        <v>201</v>
      </c>
      <c r="G116" s="45" t="s">
        <v>172</v>
      </c>
      <c r="H116" s="1" t="s">
        <v>833</v>
      </c>
      <c r="I116" s="1" t="s">
        <v>834</v>
      </c>
      <c r="J116" s="1" t="s">
        <v>204</v>
      </c>
      <c r="K116" s="1" t="s">
        <v>835</v>
      </c>
    </row>
    <row r="117" spans="1:11" ht="30.75" customHeight="1">
      <c r="A117" s="1" t="s">
        <v>836</v>
      </c>
      <c r="B117" s="1" t="s">
        <v>837</v>
      </c>
      <c r="C117" s="1" t="s">
        <v>836</v>
      </c>
      <c r="D117" s="1">
        <v>1</v>
      </c>
      <c r="E117" s="1" t="s">
        <v>838</v>
      </c>
      <c r="F117" s="1" t="s">
        <v>201</v>
      </c>
      <c r="G117" s="45" t="s">
        <v>172</v>
      </c>
      <c r="H117" s="1" t="s">
        <v>839</v>
      </c>
      <c r="I117" s="1" t="s">
        <v>840</v>
      </c>
      <c r="J117" s="1" t="s">
        <v>204</v>
      </c>
      <c r="K117" s="1" t="s">
        <v>841</v>
      </c>
    </row>
    <row r="118" spans="1:11" ht="30.75" customHeight="1">
      <c r="A118" s="1" t="s">
        <v>842</v>
      </c>
      <c r="B118" s="1" t="s">
        <v>843</v>
      </c>
      <c r="C118" s="1" t="s">
        <v>842</v>
      </c>
      <c r="D118" s="1">
        <v>1</v>
      </c>
      <c r="E118" s="1" t="s">
        <v>844</v>
      </c>
      <c r="F118" s="1" t="s">
        <v>567</v>
      </c>
      <c r="G118" s="45" t="s">
        <v>172</v>
      </c>
      <c r="H118" s="1" t="s">
        <v>845</v>
      </c>
      <c r="I118" s="1" t="s">
        <v>846</v>
      </c>
      <c r="J118" s="1" t="s">
        <v>204</v>
      </c>
      <c r="K118" s="1" t="s">
        <v>847</v>
      </c>
    </row>
    <row r="119" spans="1:11" ht="30.75" customHeight="1">
      <c r="A119" s="1" t="s">
        <v>848</v>
      </c>
      <c r="B119" s="1" t="s">
        <v>849</v>
      </c>
      <c r="C119" s="1" t="s">
        <v>848</v>
      </c>
      <c r="D119" s="1">
        <v>1</v>
      </c>
      <c r="E119" s="1" t="s">
        <v>850</v>
      </c>
      <c r="F119" s="1" t="s">
        <v>201</v>
      </c>
      <c r="G119" s="45" t="s">
        <v>172</v>
      </c>
      <c r="H119" s="1" t="s">
        <v>851</v>
      </c>
      <c r="I119" s="1" t="s">
        <v>852</v>
      </c>
      <c r="J119" s="1" t="s">
        <v>204</v>
      </c>
      <c r="K119" s="1" t="s">
        <v>853</v>
      </c>
    </row>
    <row r="120" spans="1:11" ht="30.75" customHeight="1">
      <c r="A120" s="1" t="s">
        <v>854</v>
      </c>
      <c r="B120" s="1" t="s">
        <v>855</v>
      </c>
      <c r="C120" s="1" t="s">
        <v>854</v>
      </c>
      <c r="D120" s="1">
        <v>1</v>
      </c>
      <c r="E120" s="1" t="s">
        <v>856</v>
      </c>
      <c r="F120" s="1" t="s">
        <v>201</v>
      </c>
      <c r="G120" s="45" t="s">
        <v>172</v>
      </c>
      <c r="H120" s="1" t="s">
        <v>857</v>
      </c>
      <c r="I120" s="1" t="s">
        <v>858</v>
      </c>
      <c r="J120" s="1" t="s">
        <v>204</v>
      </c>
      <c r="K120" s="1" t="s">
        <v>859</v>
      </c>
    </row>
    <row r="121" spans="1:11" ht="30.75" customHeight="1">
      <c r="A121" s="1" t="s">
        <v>860</v>
      </c>
      <c r="B121" s="1" t="s">
        <v>861</v>
      </c>
      <c r="C121" s="1" t="s">
        <v>862</v>
      </c>
      <c r="D121" s="1">
        <v>1</v>
      </c>
      <c r="E121" s="1" t="s">
        <v>863</v>
      </c>
      <c r="F121" s="1" t="s">
        <v>201</v>
      </c>
      <c r="G121" s="45" t="s">
        <v>172</v>
      </c>
      <c r="H121" s="1" t="s">
        <v>864</v>
      </c>
      <c r="I121" s="1" t="s">
        <v>865</v>
      </c>
      <c r="J121" s="1" t="s">
        <v>204</v>
      </c>
      <c r="K121" s="1" t="s">
        <v>866</v>
      </c>
    </row>
    <row r="122" spans="1:11" ht="30.75" customHeight="1">
      <c r="A122" s="1" t="s">
        <v>867</v>
      </c>
      <c r="B122" s="1" t="s">
        <v>868</v>
      </c>
      <c r="C122" s="1" t="s">
        <v>869</v>
      </c>
      <c r="D122" s="1">
        <v>1</v>
      </c>
      <c r="E122" s="1" t="s">
        <v>870</v>
      </c>
      <c r="F122" s="1" t="s">
        <v>201</v>
      </c>
      <c r="G122" s="45" t="s">
        <v>172</v>
      </c>
      <c r="H122" s="1" t="s">
        <v>871</v>
      </c>
      <c r="I122" s="1" t="s">
        <v>872</v>
      </c>
      <c r="J122" s="1" t="s">
        <v>204</v>
      </c>
      <c r="K122" s="1" t="s">
        <v>873</v>
      </c>
    </row>
    <row r="123" spans="1:11" ht="30.75" customHeight="1">
      <c r="A123" s="1" t="s">
        <v>874</v>
      </c>
      <c r="B123" s="1" t="s">
        <v>875</v>
      </c>
      <c r="C123" s="1" t="s">
        <v>874</v>
      </c>
      <c r="D123" s="1">
        <v>1</v>
      </c>
      <c r="E123" s="1" t="s">
        <v>876</v>
      </c>
      <c r="F123" s="1" t="s">
        <v>201</v>
      </c>
      <c r="G123" s="45" t="s">
        <v>172</v>
      </c>
      <c r="H123" s="1" t="s">
        <v>877</v>
      </c>
      <c r="I123" s="1" t="s">
        <v>878</v>
      </c>
      <c r="J123" s="1" t="s">
        <v>204</v>
      </c>
      <c r="K123" s="1" t="s">
        <v>625</v>
      </c>
    </row>
    <row r="124" spans="1:11" ht="30.75" customHeight="1">
      <c r="A124" s="1" t="s">
        <v>879</v>
      </c>
      <c r="B124" s="1" t="s">
        <v>880</v>
      </c>
      <c r="C124" s="1" t="s">
        <v>879</v>
      </c>
      <c r="D124" s="1">
        <v>1</v>
      </c>
      <c r="E124" s="1" t="s">
        <v>881</v>
      </c>
      <c r="F124" s="1" t="s">
        <v>201</v>
      </c>
      <c r="G124" s="45" t="s">
        <v>172</v>
      </c>
      <c r="H124" s="1" t="s">
        <v>882</v>
      </c>
      <c r="I124" s="1" t="s">
        <v>883</v>
      </c>
      <c r="J124" s="1" t="s">
        <v>204</v>
      </c>
      <c r="K124" s="1" t="s">
        <v>884</v>
      </c>
    </row>
    <row r="125" spans="1:11" ht="30.75" customHeight="1">
      <c r="A125" s="1" t="s">
        <v>885</v>
      </c>
      <c r="B125" s="1" t="s">
        <v>886</v>
      </c>
      <c r="C125" s="1" t="s">
        <v>885</v>
      </c>
      <c r="D125" s="1">
        <v>1</v>
      </c>
      <c r="E125" s="1" t="s">
        <v>887</v>
      </c>
      <c r="F125" s="1" t="s">
        <v>201</v>
      </c>
      <c r="G125" s="45" t="s">
        <v>172</v>
      </c>
      <c r="H125" s="1" t="s">
        <v>888</v>
      </c>
      <c r="I125" s="1" t="s">
        <v>889</v>
      </c>
      <c r="J125" s="1" t="s">
        <v>204</v>
      </c>
      <c r="K125" s="1" t="s">
        <v>890</v>
      </c>
    </row>
    <row r="126" spans="1:11" ht="30.75" customHeight="1">
      <c r="A126" s="1" t="s">
        <v>891</v>
      </c>
      <c r="B126" s="1" t="s">
        <v>892</v>
      </c>
      <c r="C126" s="1" t="s">
        <v>893</v>
      </c>
      <c r="D126" s="1">
        <v>1</v>
      </c>
      <c r="E126" s="1" t="s">
        <v>894</v>
      </c>
      <c r="F126" s="1" t="s">
        <v>201</v>
      </c>
      <c r="G126" s="45" t="s">
        <v>172</v>
      </c>
      <c r="H126" s="1" t="s">
        <v>895</v>
      </c>
      <c r="I126" s="1" t="s">
        <v>896</v>
      </c>
      <c r="J126" s="1" t="s">
        <v>204</v>
      </c>
      <c r="K126" s="1" t="s">
        <v>897</v>
      </c>
    </row>
    <row r="127" spans="1:11" ht="30.75" customHeight="1">
      <c r="A127" s="1" t="s">
        <v>898</v>
      </c>
      <c r="B127" s="1" t="s">
        <v>899</v>
      </c>
      <c r="C127" s="1" t="s">
        <v>900</v>
      </c>
      <c r="D127" s="1">
        <v>1</v>
      </c>
      <c r="E127" s="1" t="s">
        <v>901</v>
      </c>
      <c r="F127" s="1" t="s">
        <v>201</v>
      </c>
      <c r="G127" s="45" t="s">
        <v>172</v>
      </c>
      <c r="H127" s="1" t="s">
        <v>902</v>
      </c>
      <c r="I127" s="1" t="s">
        <v>903</v>
      </c>
      <c r="J127" s="1" t="s">
        <v>204</v>
      </c>
      <c r="K127" s="1" t="s">
        <v>904</v>
      </c>
    </row>
    <row r="128" spans="1:11" ht="30.75" customHeight="1">
      <c r="A128" s="1" t="s">
        <v>905</v>
      </c>
      <c r="B128" s="1" t="s">
        <v>906</v>
      </c>
      <c r="C128" s="1" t="s">
        <v>907</v>
      </c>
      <c r="D128" s="1">
        <v>1</v>
      </c>
      <c r="E128" s="1" t="s">
        <v>908</v>
      </c>
      <c r="F128" s="1" t="s">
        <v>201</v>
      </c>
      <c r="G128" s="45" t="s">
        <v>172</v>
      </c>
      <c r="H128" s="1" t="s">
        <v>909</v>
      </c>
      <c r="I128" s="1" t="s">
        <v>910</v>
      </c>
      <c r="J128" s="1" t="s">
        <v>204</v>
      </c>
      <c r="K128" s="1" t="s">
        <v>625</v>
      </c>
    </row>
    <row r="129" spans="1:11" ht="30.75" customHeight="1">
      <c r="A129" s="1" t="s">
        <v>911</v>
      </c>
      <c r="B129" s="1" t="s">
        <v>912</v>
      </c>
      <c r="C129" s="1" t="s">
        <v>913</v>
      </c>
      <c r="D129" s="1">
        <v>1</v>
      </c>
      <c r="E129" s="1" t="s">
        <v>914</v>
      </c>
      <c r="F129" s="1" t="s">
        <v>201</v>
      </c>
      <c r="G129" s="45" t="s">
        <v>172</v>
      </c>
      <c r="H129" s="1" t="s">
        <v>915</v>
      </c>
      <c r="I129" s="1" t="s">
        <v>916</v>
      </c>
      <c r="J129" s="1" t="s">
        <v>204</v>
      </c>
      <c r="K129" s="1" t="s">
        <v>917</v>
      </c>
    </row>
    <row r="130" spans="1:11" ht="30.75" customHeight="1">
      <c r="A130" s="1" t="s">
        <v>918</v>
      </c>
      <c r="B130" s="1" t="s">
        <v>919</v>
      </c>
      <c r="C130" s="1" t="s">
        <v>254</v>
      </c>
      <c r="D130" s="1">
        <v>1</v>
      </c>
      <c r="E130" s="1" t="s">
        <v>920</v>
      </c>
      <c r="F130" s="1" t="s">
        <v>372</v>
      </c>
      <c r="G130" s="45" t="s">
        <v>172</v>
      </c>
      <c r="H130" s="1" t="s">
        <v>921</v>
      </c>
      <c r="I130" s="1" t="s">
        <v>922</v>
      </c>
      <c r="J130" s="1" t="s">
        <v>204</v>
      </c>
      <c r="K130" s="1" t="s">
        <v>923</v>
      </c>
    </row>
    <row r="131" spans="1:11" ht="30.75" customHeight="1">
      <c r="A131" s="1" t="s">
        <v>924</v>
      </c>
      <c r="B131" s="1" t="s">
        <v>925</v>
      </c>
      <c r="C131" s="1" t="s">
        <v>926</v>
      </c>
      <c r="D131" s="1">
        <v>1</v>
      </c>
      <c r="E131" s="1" t="s">
        <v>927</v>
      </c>
      <c r="F131" s="1" t="s">
        <v>201</v>
      </c>
      <c r="G131" s="45" t="s">
        <v>172</v>
      </c>
      <c r="H131" s="1" t="s">
        <v>928</v>
      </c>
      <c r="I131" s="1" t="s">
        <v>929</v>
      </c>
      <c r="J131" s="1" t="s">
        <v>204</v>
      </c>
      <c r="K131" s="1" t="s">
        <v>205</v>
      </c>
    </row>
    <row r="132" spans="1:11" ht="30.75" customHeight="1">
      <c r="A132" s="1" t="s">
        <v>930</v>
      </c>
      <c r="B132" s="1" t="s">
        <v>931</v>
      </c>
      <c r="C132" s="1" t="s">
        <v>932</v>
      </c>
      <c r="D132" s="1">
        <v>1</v>
      </c>
      <c r="E132" s="1" t="s">
        <v>933</v>
      </c>
      <c r="F132" s="1" t="s">
        <v>201</v>
      </c>
      <c r="G132" s="45" t="s">
        <v>172</v>
      </c>
      <c r="H132" s="1" t="s">
        <v>934</v>
      </c>
      <c r="I132" s="1" t="s">
        <v>935</v>
      </c>
      <c r="J132" s="1" t="s">
        <v>204</v>
      </c>
      <c r="K132" s="1" t="s">
        <v>936</v>
      </c>
    </row>
    <row r="133" spans="1:11" ht="30.75" customHeight="1">
      <c r="A133" s="1" t="s">
        <v>937</v>
      </c>
      <c r="B133" s="1" t="s">
        <v>938</v>
      </c>
      <c r="C133" s="1" t="s">
        <v>939</v>
      </c>
      <c r="D133" s="1">
        <v>1</v>
      </c>
      <c r="E133" s="1" t="s">
        <v>940</v>
      </c>
      <c r="F133" s="1" t="s">
        <v>201</v>
      </c>
      <c r="G133" s="45" t="s">
        <v>172</v>
      </c>
      <c r="H133" s="1" t="s">
        <v>941</v>
      </c>
      <c r="I133" s="1" t="s">
        <v>942</v>
      </c>
      <c r="J133" s="1" t="s">
        <v>204</v>
      </c>
      <c r="K133" s="1" t="s">
        <v>943</v>
      </c>
    </row>
    <row r="134" spans="1:11" ht="30.75" customHeight="1">
      <c r="A134" s="1" t="s">
        <v>944</v>
      </c>
      <c r="B134" s="1" t="s">
        <v>945</v>
      </c>
      <c r="C134" s="1" t="s">
        <v>946</v>
      </c>
      <c r="D134" s="1">
        <v>1</v>
      </c>
      <c r="E134" s="1" t="s">
        <v>947</v>
      </c>
      <c r="F134" s="1" t="s">
        <v>201</v>
      </c>
      <c r="G134" s="45" t="s">
        <v>172</v>
      </c>
      <c r="H134" s="1" t="s">
        <v>948</v>
      </c>
      <c r="I134" s="1" t="s">
        <v>949</v>
      </c>
      <c r="J134" s="1" t="s">
        <v>204</v>
      </c>
      <c r="K134" s="1" t="s">
        <v>950</v>
      </c>
    </row>
    <row r="135" spans="1:11" ht="30.75" customHeight="1">
      <c r="A135" s="1" t="s">
        <v>951</v>
      </c>
      <c r="B135" s="1" t="s">
        <v>952</v>
      </c>
      <c r="C135" s="1" t="s">
        <v>953</v>
      </c>
      <c r="D135" s="1">
        <v>1</v>
      </c>
      <c r="E135" s="1" t="s">
        <v>954</v>
      </c>
      <c r="F135" s="1" t="s">
        <v>201</v>
      </c>
      <c r="G135" s="45" t="s">
        <v>172</v>
      </c>
      <c r="H135" s="1" t="s">
        <v>955</v>
      </c>
      <c r="I135" s="1" t="s">
        <v>956</v>
      </c>
      <c r="J135" s="1" t="s">
        <v>204</v>
      </c>
      <c r="K135" s="1" t="s">
        <v>957</v>
      </c>
    </row>
    <row r="136" spans="1:11" ht="30.75" customHeight="1">
      <c r="A136" s="1" t="s">
        <v>958</v>
      </c>
      <c r="B136" s="1" t="s">
        <v>959</v>
      </c>
      <c r="C136" s="1" t="s">
        <v>960</v>
      </c>
      <c r="D136" s="1">
        <v>1</v>
      </c>
      <c r="E136" s="1" t="s">
        <v>961</v>
      </c>
      <c r="F136" s="1" t="s">
        <v>201</v>
      </c>
      <c r="G136" s="45" t="s">
        <v>172</v>
      </c>
      <c r="H136" s="1" t="s">
        <v>962</v>
      </c>
      <c r="I136" s="1" t="s">
        <v>963</v>
      </c>
      <c r="J136" s="1" t="s">
        <v>204</v>
      </c>
      <c r="K136" s="1" t="s">
        <v>964</v>
      </c>
    </row>
    <row r="137" spans="1:11" ht="30.75" customHeight="1">
      <c r="A137" s="1" t="s">
        <v>965</v>
      </c>
      <c r="B137" s="1" t="s">
        <v>966</v>
      </c>
      <c r="C137" s="1" t="s">
        <v>967</v>
      </c>
      <c r="D137" s="1">
        <v>1</v>
      </c>
      <c r="E137" s="1" t="s">
        <v>968</v>
      </c>
      <c r="F137" s="1" t="s">
        <v>201</v>
      </c>
      <c r="G137" s="45" t="s">
        <v>172</v>
      </c>
      <c r="H137" s="1" t="s">
        <v>969</v>
      </c>
      <c r="I137" s="1" t="s">
        <v>970</v>
      </c>
      <c r="J137" s="1" t="s">
        <v>204</v>
      </c>
      <c r="K137" s="1" t="s">
        <v>971</v>
      </c>
    </row>
    <row r="138" spans="1:11" ht="30.75" customHeight="1">
      <c r="A138" s="1" t="s">
        <v>972</v>
      </c>
      <c r="B138" s="1" t="s">
        <v>973</v>
      </c>
      <c r="C138" s="1" t="s">
        <v>974</v>
      </c>
      <c r="D138" s="1">
        <v>1</v>
      </c>
      <c r="E138" s="1" t="s">
        <v>975</v>
      </c>
      <c r="F138" s="1" t="s">
        <v>201</v>
      </c>
      <c r="G138" s="45" t="s">
        <v>172</v>
      </c>
      <c r="H138" s="1" t="s">
        <v>976</v>
      </c>
      <c r="I138" s="1" t="s">
        <v>977</v>
      </c>
      <c r="J138" s="1" t="s">
        <v>204</v>
      </c>
      <c r="K138" s="1" t="s">
        <v>978</v>
      </c>
    </row>
    <row r="139" spans="1:11" ht="30.75" customHeight="1">
      <c r="A139" s="1" t="s">
        <v>979</v>
      </c>
      <c r="B139" s="1" t="s">
        <v>980</v>
      </c>
      <c r="C139" s="1" t="s">
        <v>981</v>
      </c>
      <c r="D139" s="1">
        <v>1</v>
      </c>
      <c r="E139" s="1" t="s">
        <v>982</v>
      </c>
      <c r="F139" s="1" t="s">
        <v>201</v>
      </c>
      <c r="G139" s="45" t="s">
        <v>172</v>
      </c>
      <c r="H139" s="1" t="s">
        <v>983</v>
      </c>
      <c r="I139" s="1" t="s">
        <v>984</v>
      </c>
      <c r="J139" s="1" t="s">
        <v>204</v>
      </c>
      <c r="K139" s="1" t="s">
        <v>985</v>
      </c>
    </row>
    <row r="140" spans="1:11" ht="30.75" customHeight="1">
      <c r="A140" s="1" t="s">
        <v>986</v>
      </c>
      <c r="B140" s="1" t="s">
        <v>987</v>
      </c>
      <c r="C140" s="1" t="s">
        <v>988</v>
      </c>
      <c r="D140" s="1">
        <v>1</v>
      </c>
      <c r="E140" s="1" t="s">
        <v>989</v>
      </c>
      <c r="F140" s="1" t="s">
        <v>201</v>
      </c>
      <c r="G140" s="45" t="s">
        <v>172</v>
      </c>
      <c r="H140" s="1" t="s">
        <v>990</v>
      </c>
      <c r="I140" s="1" t="s">
        <v>991</v>
      </c>
      <c r="J140" s="1" t="s">
        <v>204</v>
      </c>
      <c r="K140" s="1" t="s">
        <v>992</v>
      </c>
    </row>
    <row r="141" spans="1:11" ht="30.75" customHeight="1">
      <c r="A141" s="1" t="s">
        <v>993</v>
      </c>
      <c r="B141" s="1" t="s">
        <v>994</v>
      </c>
      <c r="C141" s="1" t="s">
        <v>995</v>
      </c>
      <c r="D141" s="1">
        <v>1</v>
      </c>
      <c r="E141" s="1" t="s">
        <v>996</v>
      </c>
      <c r="F141" s="1" t="s">
        <v>201</v>
      </c>
      <c r="G141" s="45" t="s">
        <v>172</v>
      </c>
      <c r="H141" s="1" t="s">
        <v>997</v>
      </c>
      <c r="I141" s="1" t="s">
        <v>998</v>
      </c>
      <c r="J141" s="1" t="s">
        <v>204</v>
      </c>
      <c r="K141" s="1" t="s">
        <v>999</v>
      </c>
    </row>
    <row r="142" spans="1:11" ht="30.75" customHeight="1">
      <c r="A142" s="1" t="s">
        <v>1000</v>
      </c>
      <c r="B142" s="1" t="s">
        <v>1001</v>
      </c>
      <c r="C142" s="1" t="s">
        <v>1002</v>
      </c>
      <c r="D142" s="1">
        <v>1</v>
      </c>
      <c r="E142" s="1" t="s">
        <v>1003</v>
      </c>
      <c r="F142" s="1" t="s">
        <v>201</v>
      </c>
      <c r="G142" s="45" t="s">
        <v>172</v>
      </c>
      <c r="H142" s="1" t="s">
        <v>1004</v>
      </c>
      <c r="I142" s="1" t="s">
        <v>1005</v>
      </c>
      <c r="J142" s="1" t="s">
        <v>204</v>
      </c>
      <c r="K142" s="1" t="s">
        <v>1006</v>
      </c>
    </row>
    <row r="143" spans="1:11" ht="30.75" customHeight="1">
      <c r="A143" s="1" t="s">
        <v>1007</v>
      </c>
      <c r="B143" s="1" t="s">
        <v>1008</v>
      </c>
      <c r="C143" s="1" t="s">
        <v>1009</v>
      </c>
      <c r="D143" s="1">
        <v>1</v>
      </c>
      <c r="E143" s="1" t="s">
        <v>1010</v>
      </c>
      <c r="F143" s="1" t="s">
        <v>201</v>
      </c>
      <c r="G143" s="45" t="s">
        <v>172</v>
      </c>
      <c r="H143" s="1" t="s">
        <v>1011</v>
      </c>
      <c r="I143" s="1" t="s">
        <v>1012</v>
      </c>
      <c r="J143" s="1" t="s">
        <v>204</v>
      </c>
      <c r="K143" s="1" t="s">
        <v>625</v>
      </c>
    </row>
    <row r="144" spans="1:11" ht="30.75" customHeight="1">
      <c r="A144" s="1" t="s">
        <v>1013</v>
      </c>
      <c r="B144" s="1" t="s">
        <v>1014</v>
      </c>
      <c r="C144" s="1" t="s">
        <v>1015</v>
      </c>
      <c r="D144" s="1">
        <v>1</v>
      </c>
      <c r="E144" s="1" t="s">
        <v>1016</v>
      </c>
      <c r="F144" s="1" t="s">
        <v>201</v>
      </c>
      <c r="G144" s="45" t="s">
        <v>172</v>
      </c>
      <c r="H144" s="1" t="s">
        <v>1017</v>
      </c>
      <c r="I144" s="1" t="s">
        <v>1018</v>
      </c>
      <c r="J144" s="1" t="s">
        <v>204</v>
      </c>
      <c r="K144" s="1" t="s">
        <v>625</v>
      </c>
    </row>
    <row r="145" spans="1:11" ht="30.75" customHeight="1">
      <c r="A145" s="1" t="s">
        <v>1019</v>
      </c>
      <c r="B145" s="1" t="s">
        <v>1020</v>
      </c>
      <c r="C145" s="1" t="s">
        <v>1021</v>
      </c>
      <c r="D145" s="1">
        <v>1</v>
      </c>
      <c r="E145" s="1" t="s">
        <v>1022</v>
      </c>
      <c r="F145" s="1" t="s">
        <v>201</v>
      </c>
      <c r="G145" s="45" t="s">
        <v>172</v>
      </c>
      <c r="H145" s="1" t="s">
        <v>1023</v>
      </c>
      <c r="I145" s="1" t="s">
        <v>1024</v>
      </c>
      <c r="J145" s="1" t="s">
        <v>204</v>
      </c>
      <c r="K145" s="1" t="s">
        <v>625</v>
      </c>
    </row>
    <row r="146" spans="1:11" ht="30.75" customHeight="1">
      <c r="A146" s="1" t="s">
        <v>1025</v>
      </c>
      <c r="B146" s="1" t="s">
        <v>1026</v>
      </c>
      <c r="C146" s="1" t="s">
        <v>1027</v>
      </c>
      <c r="D146" s="1">
        <v>1</v>
      </c>
      <c r="E146" s="1" t="s">
        <v>1028</v>
      </c>
      <c r="F146" s="1" t="s">
        <v>201</v>
      </c>
      <c r="G146" s="45" t="s">
        <v>172</v>
      </c>
      <c r="H146" s="1" t="s">
        <v>1029</v>
      </c>
      <c r="I146" s="1" t="s">
        <v>1030</v>
      </c>
      <c r="J146" s="1" t="s">
        <v>204</v>
      </c>
      <c r="K146" s="1" t="s">
        <v>625</v>
      </c>
    </row>
    <row r="147" spans="1:11" ht="30.75" customHeight="1">
      <c r="A147" s="1" t="s">
        <v>1031</v>
      </c>
      <c r="B147" s="1" t="s">
        <v>1032</v>
      </c>
      <c r="C147" s="1" t="s">
        <v>1031</v>
      </c>
      <c r="D147" s="1">
        <v>1</v>
      </c>
      <c r="E147" s="1" t="s">
        <v>1033</v>
      </c>
      <c r="F147" s="1" t="s">
        <v>201</v>
      </c>
      <c r="G147" s="45" t="s">
        <v>172</v>
      </c>
      <c r="H147" s="1" t="s">
        <v>1034</v>
      </c>
      <c r="I147" s="1" t="s">
        <v>1035</v>
      </c>
      <c r="J147" s="1" t="s">
        <v>204</v>
      </c>
      <c r="K147" s="1" t="s">
        <v>625</v>
      </c>
    </row>
    <row r="148" spans="1:11" ht="30.75" customHeight="1">
      <c r="A148" s="1" t="s">
        <v>1036</v>
      </c>
      <c r="B148" s="1" t="s">
        <v>1037</v>
      </c>
      <c r="C148" s="1" t="s">
        <v>1038</v>
      </c>
      <c r="D148" s="1">
        <v>1</v>
      </c>
      <c r="E148" s="1" t="s">
        <v>1039</v>
      </c>
      <c r="F148" s="1" t="s">
        <v>201</v>
      </c>
      <c r="G148" s="45" t="s">
        <v>172</v>
      </c>
      <c r="H148" s="1" t="s">
        <v>1040</v>
      </c>
      <c r="I148" s="1" t="s">
        <v>1041</v>
      </c>
      <c r="J148" s="1" t="s">
        <v>204</v>
      </c>
      <c r="K148" s="1" t="s">
        <v>1042</v>
      </c>
    </row>
    <row r="149" spans="1:11" ht="30.75" customHeight="1">
      <c r="A149" s="1" t="s">
        <v>1043</v>
      </c>
      <c r="B149" s="1" t="s">
        <v>1044</v>
      </c>
      <c r="C149" s="1" t="s">
        <v>1045</v>
      </c>
      <c r="D149" s="1">
        <v>1</v>
      </c>
      <c r="E149" s="1" t="s">
        <v>1046</v>
      </c>
      <c r="F149" s="1" t="s">
        <v>201</v>
      </c>
      <c r="G149" s="45" t="s">
        <v>172</v>
      </c>
      <c r="H149" s="1" t="s">
        <v>1047</v>
      </c>
      <c r="I149" s="1" t="s">
        <v>1048</v>
      </c>
      <c r="J149" s="1" t="s">
        <v>204</v>
      </c>
      <c r="K149" s="1" t="s">
        <v>1049</v>
      </c>
    </row>
    <row r="150" spans="1:11" ht="30.75" customHeight="1">
      <c r="A150" s="1" t="s">
        <v>1050</v>
      </c>
      <c r="B150" s="1" t="s">
        <v>1051</v>
      </c>
      <c r="C150" s="1" t="s">
        <v>1050</v>
      </c>
      <c r="D150" s="1">
        <v>1</v>
      </c>
      <c r="E150" s="1" t="s">
        <v>1052</v>
      </c>
      <c r="F150" s="1" t="s">
        <v>201</v>
      </c>
      <c r="G150" s="45" t="s">
        <v>172</v>
      </c>
      <c r="H150" s="1" t="s">
        <v>1053</v>
      </c>
      <c r="I150" s="1" t="s">
        <v>1054</v>
      </c>
      <c r="J150" s="1" t="s">
        <v>204</v>
      </c>
      <c r="K150" s="1" t="s">
        <v>205</v>
      </c>
    </row>
    <row r="151" spans="1:11" ht="30.75" customHeight="1">
      <c r="A151" s="1" t="s">
        <v>1055</v>
      </c>
      <c r="B151" s="1" t="s">
        <v>1056</v>
      </c>
      <c r="C151" s="1" t="s">
        <v>1055</v>
      </c>
      <c r="D151" s="1">
        <v>1</v>
      </c>
      <c r="E151" s="1" t="s">
        <v>1057</v>
      </c>
      <c r="F151" s="1" t="s">
        <v>201</v>
      </c>
      <c r="G151" s="45" t="s">
        <v>172</v>
      </c>
      <c r="H151" s="1" t="s">
        <v>1058</v>
      </c>
      <c r="I151" s="1" t="s">
        <v>1059</v>
      </c>
      <c r="J151" s="1" t="s">
        <v>204</v>
      </c>
      <c r="K151" s="1" t="s">
        <v>205</v>
      </c>
    </row>
    <row r="152" spans="1:11" ht="30.75" customHeight="1">
      <c r="A152" s="1" t="s">
        <v>1060</v>
      </c>
      <c r="B152" s="1" t="s">
        <v>1061</v>
      </c>
      <c r="C152" s="1" t="s">
        <v>1060</v>
      </c>
      <c r="D152" s="1">
        <v>1</v>
      </c>
      <c r="E152" s="1" t="s">
        <v>1062</v>
      </c>
      <c r="F152" s="1" t="s">
        <v>201</v>
      </c>
      <c r="G152" s="45" t="s">
        <v>172</v>
      </c>
      <c r="H152" s="1" t="s">
        <v>1063</v>
      </c>
      <c r="I152" s="1" t="s">
        <v>1064</v>
      </c>
      <c r="J152" s="1" t="s">
        <v>204</v>
      </c>
      <c r="K152" s="1" t="s">
        <v>205</v>
      </c>
    </row>
    <row r="153" spans="1:11" ht="30.75" customHeight="1">
      <c r="A153" s="1" t="s">
        <v>1065</v>
      </c>
      <c r="B153" s="1" t="s">
        <v>1066</v>
      </c>
      <c r="C153" s="1" t="s">
        <v>1067</v>
      </c>
      <c r="D153" s="1">
        <v>1</v>
      </c>
      <c r="E153" s="1" t="s">
        <v>1068</v>
      </c>
      <c r="F153" s="1" t="s">
        <v>201</v>
      </c>
      <c r="G153" s="45" t="s">
        <v>172</v>
      </c>
      <c r="H153" s="1" t="s">
        <v>1069</v>
      </c>
      <c r="I153" s="1" t="s">
        <v>1070</v>
      </c>
      <c r="J153" s="1" t="s">
        <v>204</v>
      </c>
      <c r="K153" s="1" t="s">
        <v>1071</v>
      </c>
    </row>
    <row r="154" spans="1:11" ht="30.75" customHeight="1">
      <c r="A154" s="1" t="s">
        <v>1072</v>
      </c>
      <c r="B154" s="1" t="s">
        <v>1073</v>
      </c>
      <c r="C154" s="1" t="s">
        <v>1074</v>
      </c>
      <c r="D154" s="1">
        <v>1</v>
      </c>
      <c r="E154" s="1" t="s">
        <v>1075</v>
      </c>
      <c r="F154" s="1" t="s">
        <v>201</v>
      </c>
      <c r="G154" s="45" t="s">
        <v>172</v>
      </c>
      <c r="H154" s="1" t="s">
        <v>1076</v>
      </c>
      <c r="I154" s="1" t="s">
        <v>1077</v>
      </c>
      <c r="J154" s="1" t="s">
        <v>204</v>
      </c>
      <c r="K154" s="1" t="s">
        <v>625</v>
      </c>
    </row>
    <row r="155" spans="1:11" ht="30.75" customHeight="1">
      <c r="A155" s="1" t="s">
        <v>1078</v>
      </c>
      <c r="B155" s="1" t="s">
        <v>1079</v>
      </c>
      <c r="C155" s="1" t="s">
        <v>1078</v>
      </c>
      <c r="D155" s="1">
        <v>1</v>
      </c>
      <c r="E155" s="1" t="s">
        <v>1080</v>
      </c>
      <c r="F155" s="1" t="s">
        <v>201</v>
      </c>
      <c r="G155" s="45" t="s">
        <v>172</v>
      </c>
      <c r="H155" s="1" t="s">
        <v>1081</v>
      </c>
      <c r="I155" s="1" t="s">
        <v>1082</v>
      </c>
      <c r="J155" s="1" t="s">
        <v>204</v>
      </c>
      <c r="K155" s="1" t="s">
        <v>625</v>
      </c>
    </row>
    <row r="156" spans="1:11" ht="30.75" customHeight="1">
      <c r="A156" s="1" t="s">
        <v>1083</v>
      </c>
      <c r="B156" s="1" t="s">
        <v>1084</v>
      </c>
      <c r="C156" s="1" t="s">
        <v>1085</v>
      </c>
      <c r="D156" s="1">
        <v>1</v>
      </c>
      <c r="E156" s="1" t="s">
        <v>1086</v>
      </c>
      <c r="F156" s="1" t="s">
        <v>201</v>
      </c>
      <c r="G156" s="45" t="s">
        <v>172</v>
      </c>
      <c r="H156" s="1" t="s">
        <v>1087</v>
      </c>
      <c r="I156" s="1" t="s">
        <v>1088</v>
      </c>
      <c r="J156" s="1" t="s">
        <v>204</v>
      </c>
      <c r="K156" s="1" t="s">
        <v>205</v>
      </c>
    </row>
    <row r="157" spans="1:11" ht="30.75" customHeight="1">
      <c r="A157" s="1" t="s">
        <v>1089</v>
      </c>
      <c r="B157" s="1" t="s">
        <v>1090</v>
      </c>
      <c r="C157" s="1" t="s">
        <v>1091</v>
      </c>
      <c r="D157" s="1">
        <v>1</v>
      </c>
      <c r="E157" s="1" t="s">
        <v>1092</v>
      </c>
      <c r="F157" s="1" t="s">
        <v>201</v>
      </c>
      <c r="G157" s="45" t="s">
        <v>172</v>
      </c>
      <c r="H157" s="1" t="s">
        <v>1093</v>
      </c>
      <c r="I157" s="1" t="s">
        <v>1094</v>
      </c>
      <c r="J157" s="1" t="s">
        <v>204</v>
      </c>
      <c r="K157" s="1" t="s">
        <v>205</v>
      </c>
    </row>
    <row r="158" spans="1:11" ht="30.75" customHeight="1">
      <c r="A158" s="1" t="s">
        <v>1095</v>
      </c>
      <c r="B158" s="1" t="s">
        <v>1096</v>
      </c>
      <c r="C158" s="1" t="s">
        <v>1095</v>
      </c>
      <c r="D158" s="1">
        <v>1</v>
      </c>
      <c r="E158" s="1" t="s">
        <v>293</v>
      </c>
      <c r="F158" s="1" t="s">
        <v>201</v>
      </c>
      <c r="G158" s="45" t="s">
        <v>172</v>
      </c>
      <c r="H158" s="1" t="s">
        <v>1097</v>
      </c>
      <c r="I158" s="1" t="s">
        <v>1098</v>
      </c>
      <c r="J158" s="1" t="s">
        <v>204</v>
      </c>
      <c r="K158" s="1" t="s">
        <v>205</v>
      </c>
    </row>
    <row r="159" spans="1:11" ht="30.75" customHeight="1">
      <c r="A159" s="1" t="s">
        <v>1099</v>
      </c>
      <c r="B159" s="1" t="s">
        <v>1100</v>
      </c>
      <c r="C159" s="1" t="s">
        <v>1101</v>
      </c>
      <c r="D159" s="1">
        <v>1</v>
      </c>
      <c r="E159" s="1" t="s">
        <v>1102</v>
      </c>
      <c r="F159" s="1" t="s">
        <v>201</v>
      </c>
      <c r="G159" s="45" t="s">
        <v>172</v>
      </c>
      <c r="H159" s="1" t="s">
        <v>1103</v>
      </c>
      <c r="I159" s="1" t="s">
        <v>1104</v>
      </c>
      <c r="J159" s="1" t="s">
        <v>204</v>
      </c>
      <c r="K159" s="1" t="s">
        <v>1105</v>
      </c>
    </row>
    <row r="160" spans="1:11" ht="30.75" customHeight="1">
      <c r="A160" s="1" t="s">
        <v>1106</v>
      </c>
      <c r="B160" s="1" t="s">
        <v>1107</v>
      </c>
      <c r="C160" s="1" t="s">
        <v>1108</v>
      </c>
      <c r="D160" s="1">
        <v>1</v>
      </c>
      <c r="E160" s="1" t="s">
        <v>1109</v>
      </c>
      <c r="F160" s="1" t="s">
        <v>201</v>
      </c>
      <c r="G160" s="45" t="s">
        <v>172</v>
      </c>
      <c r="H160" s="1" t="s">
        <v>1110</v>
      </c>
      <c r="I160" s="1" t="s">
        <v>1111</v>
      </c>
      <c r="J160" s="1" t="s">
        <v>204</v>
      </c>
      <c r="K160" s="1" t="s">
        <v>1112</v>
      </c>
    </row>
    <row r="161" spans="1:11" ht="30.75" customHeight="1">
      <c r="A161" s="1" t="s">
        <v>1113</v>
      </c>
      <c r="B161" s="1" t="s">
        <v>1114</v>
      </c>
      <c r="C161" s="1" t="s">
        <v>1115</v>
      </c>
      <c r="D161" s="1">
        <v>1</v>
      </c>
      <c r="E161" s="1" t="s">
        <v>1116</v>
      </c>
      <c r="F161" s="1" t="s">
        <v>201</v>
      </c>
      <c r="G161" s="45" t="s">
        <v>172</v>
      </c>
      <c r="H161" s="1" t="s">
        <v>1117</v>
      </c>
      <c r="I161" s="1" t="s">
        <v>1118</v>
      </c>
      <c r="J161" s="1" t="s">
        <v>204</v>
      </c>
      <c r="K161" s="1" t="s">
        <v>1119</v>
      </c>
    </row>
    <row r="162" spans="1:11" ht="30.75" customHeight="1">
      <c r="A162" s="1" t="s">
        <v>1120</v>
      </c>
      <c r="B162" s="1" t="s">
        <v>1121</v>
      </c>
      <c r="C162" s="1" t="s">
        <v>1122</v>
      </c>
      <c r="D162" s="1">
        <v>1</v>
      </c>
      <c r="E162" s="1" t="s">
        <v>1123</v>
      </c>
      <c r="F162" s="1" t="s">
        <v>201</v>
      </c>
      <c r="G162" s="45" t="s">
        <v>172</v>
      </c>
      <c r="H162" s="1" t="s">
        <v>1124</v>
      </c>
      <c r="I162" s="1" t="s">
        <v>1125</v>
      </c>
      <c r="J162" s="1" t="s">
        <v>204</v>
      </c>
      <c r="K162" s="1" t="s">
        <v>1126</v>
      </c>
    </row>
    <row r="163" spans="1:11" ht="30.75" customHeight="1">
      <c r="A163" s="1" t="s">
        <v>1127</v>
      </c>
      <c r="B163" s="1" t="s">
        <v>1128</v>
      </c>
      <c r="C163" s="1" t="s">
        <v>1129</v>
      </c>
      <c r="D163" s="1">
        <v>1</v>
      </c>
      <c r="E163" s="1" t="s">
        <v>1130</v>
      </c>
      <c r="F163" s="1" t="s">
        <v>201</v>
      </c>
      <c r="G163" s="45" t="s">
        <v>172</v>
      </c>
      <c r="H163" s="1" t="s">
        <v>1131</v>
      </c>
      <c r="I163" s="1" t="s">
        <v>1132</v>
      </c>
      <c r="J163" s="1" t="s">
        <v>204</v>
      </c>
      <c r="K163" s="1" t="s">
        <v>1133</v>
      </c>
    </row>
    <row r="164" spans="1:11" ht="30.75" customHeight="1">
      <c r="A164" s="1" t="s">
        <v>1134</v>
      </c>
      <c r="B164" s="1" t="s">
        <v>1135</v>
      </c>
      <c r="C164" s="1" t="s">
        <v>1136</v>
      </c>
      <c r="D164" s="1">
        <v>1</v>
      </c>
      <c r="E164" s="1" t="s">
        <v>1137</v>
      </c>
      <c r="F164" s="1" t="s">
        <v>201</v>
      </c>
      <c r="G164" s="45" t="s">
        <v>172</v>
      </c>
      <c r="H164" s="1" t="s">
        <v>1138</v>
      </c>
      <c r="I164" s="1" t="s">
        <v>1139</v>
      </c>
      <c r="J164" s="1" t="s">
        <v>204</v>
      </c>
      <c r="K164" s="1" t="s">
        <v>1140</v>
      </c>
    </row>
    <row r="165" spans="1:11" ht="45.75" customHeight="1">
      <c r="A165" s="1" t="s">
        <v>1141</v>
      </c>
      <c r="B165" s="1" t="s">
        <v>1142</v>
      </c>
      <c r="C165" s="1" t="s">
        <v>1143</v>
      </c>
      <c r="D165" s="1">
        <v>1</v>
      </c>
      <c r="E165" s="1" t="s">
        <v>1144</v>
      </c>
      <c r="F165" s="1" t="s">
        <v>201</v>
      </c>
      <c r="G165" s="45" t="s">
        <v>172</v>
      </c>
      <c r="H165" s="1" t="s">
        <v>1145</v>
      </c>
      <c r="I165" s="1" t="s">
        <v>1146</v>
      </c>
      <c r="J165" s="1" t="s">
        <v>204</v>
      </c>
      <c r="K165" s="1" t="s">
        <v>1147</v>
      </c>
    </row>
    <row r="166" spans="1:11" ht="30.75" customHeight="1">
      <c r="A166" s="1" t="s">
        <v>1148</v>
      </c>
      <c r="B166" s="1" t="s">
        <v>1149</v>
      </c>
      <c r="C166" s="1" t="s">
        <v>1150</v>
      </c>
      <c r="D166" s="1">
        <v>1</v>
      </c>
      <c r="E166" s="1" t="s">
        <v>1151</v>
      </c>
      <c r="F166" s="1" t="s">
        <v>201</v>
      </c>
      <c r="G166" s="45" t="s">
        <v>172</v>
      </c>
      <c r="H166" s="1" t="s">
        <v>1152</v>
      </c>
      <c r="I166" s="1" t="s">
        <v>1153</v>
      </c>
      <c r="J166" s="1" t="s">
        <v>204</v>
      </c>
      <c r="K166" s="1" t="s">
        <v>1154</v>
      </c>
    </row>
    <row r="167" spans="1:11" ht="45.75" customHeight="1">
      <c r="A167" s="1" t="s">
        <v>1155</v>
      </c>
      <c r="B167" s="1" t="s">
        <v>1156</v>
      </c>
      <c r="C167" s="1" t="s">
        <v>1157</v>
      </c>
      <c r="D167" s="1">
        <v>1</v>
      </c>
      <c r="E167" s="1" t="s">
        <v>1158</v>
      </c>
      <c r="F167" s="1" t="s">
        <v>201</v>
      </c>
      <c r="G167" s="45" t="s">
        <v>172</v>
      </c>
      <c r="H167" s="1" t="s">
        <v>1159</v>
      </c>
      <c r="I167" s="1" t="s">
        <v>1160</v>
      </c>
      <c r="J167" s="1" t="s">
        <v>204</v>
      </c>
      <c r="K167" s="1" t="s">
        <v>1161</v>
      </c>
    </row>
    <row r="168" spans="1:11" ht="30.75" customHeight="1">
      <c r="A168" s="1" t="s">
        <v>1162</v>
      </c>
      <c r="B168" s="1" t="s">
        <v>1163</v>
      </c>
      <c r="C168" s="1" t="s">
        <v>1164</v>
      </c>
      <c r="D168" s="1">
        <v>1</v>
      </c>
      <c r="E168" s="1" t="s">
        <v>1165</v>
      </c>
      <c r="F168" s="1" t="s">
        <v>201</v>
      </c>
      <c r="G168" s="45" t="s">
        <v>172</v>
      </c>
      <c r="H168" s="1" t="s">
        <v>1166</v>
      </c>
      <c r="I168" s="1" t="s">
        <v>1167</v>
      </c>
      <c r="J168" s="1" t="s">
        <v>204</v>
      </c>
      <c r="K168" s="1" t="s">
        <v>1168</v>
      </c>
    </row>
    <row r="169" spans="1:11" ht="30.75" customHeight="1">
      <c r="A169" s="1" t="s">
        <v>1169</v>
      </c>
      <c r="B169" s="1" t="s">
        <v>1170</v>
      </c>
      <c r="C169" s="1" t="s">
        <v>1171</v>
      </c>
      <c r="D169" s="1">
        <v>1</v>
      </c>
      <c r="E169" s="1" t="s">
        <v>1172</v>
      </c>
      <c r="F169" s="1" t="s">
        <v>201</v>
      </c>
      <c r="G169" s="45" t="s">
        <v>172</v>
      </c>
      <c r="H169" s="1" t="s">
        <v>1173</v>
      </c>
      <c r="I169" s="1" t="s">
        <v>1174</v>
      </c>
      <c r="J169" s="1" t="s">
        <v>204</v>
      </c>
      <c r="K169" s="1" t="s">
        <v>1175</v>
      </c>
    </row>
    <row r="170" spans="1:11" ht="30.75" customHeight="1">
      <c r="A170" s="1" t="s">
        <v>1176</v>
      </c>
      <c r="B170" s="1" t="s">
        <v>1177</v>
      </c>
      <c r="C170" s="1" t="s">
        <v>1178</v>
      </c>
      <c r="D170" s="1">
        <v>1</v>
      </c>
      <c r="E170" s="1" t="s">
        <v>1179</v>
      </c>
      <c r="F170" s="1" t="s">
        <v>201</v>
      </c>
      <c r="G170" s="45" t="s">
        <v>172</v>
      </c>
      <c r="H170" s="1" t="s">
        <v>1180</v>
      </c>
      <c r="I170" s="1" t="s">
        <v>1181</v>
      </c>
      <c r="J170" s="1" t="s">
        <v>204</v>
      </c>
      <c r="K170" s="1" t="s">
        <v>1182</v>
      </c>
    </row>
    <row r="171" spans="1:11" ht="30.75" customHeight="1">
      <c r="A171" s="1" t="s">
        <v>1183</v>
      </c>
      <c r="B171" s="1" t="s">
        <v>1184</v>
      </c>
      <c r="C171" s="1" t="s">
        <v>1185</v>
      </c>
      <c r="D171" s="1">
        <v>1</v>
      </c>
      <c r="E171" s="1" t="s">
        <v>1186</v>
      </c>
      <c r="F171" s="1" t="s">
        <v>201</v>
      </c>
      <c r="G171" s="45" t="s">
        <v>172</v>
      </c>
      <c r="H171" s="1" t="s">
        <v>1187</v>
      </c>
      <c r="I171" s="1" t="s">
        <v>1188</v>
      </c>
      <c r="J171" s="1" t="s">
        <v>204</v>
      </c>
      <c r="K171" s="1" t="s">
        <v>1189</v>
      </c>
    </row>
    <row r="172" spans="1:11" ht="30.75" customHeight="1">
      <c r="A172" s="1" t="s">
        <v>1190</v>
      </c>
      <c r="B172" s="1" t="s">
        <v>1191</v>
      </c>
      <c r="C172" s="1" t="s">
        <v>1192</v>
      </c>
      <c r="D172" s="1">
        <v>1</v>
      </c>
      <c r="E172" s="1" t="s">
        <v>1193</v>
      </c>
      <c r="F172" s="1" t="s">
        <v>201</v>
      </c>
      <c r="G172" s="45" t="s">
        <v>172</v>
      </c>
      <c r="H172" s="1" t="s">
        <v>1194</v>
      </c>
      <c r="I172" s="1" t="s">
        <v>1195</v>
      </c>
      <c r="J172" s="1" t="s">
        <v>204</v>
      </c>
      <c r="K172" s="1" t="s">
        <v>1196</v>
      </c>
    </row>
    <row r="173" spans="1:11" ht="30.75" customHeight="1">
      <c r="A173" s="1" t="s">
        <v>1197</v>
      </c>
      <c r="B173" s="1" t="s">
        <v>1198</v>
      </c>
      <c r="C173" s="1" t="s">
        <v>1199</v>
      </c>
      <c r="D173" s="1">
        <v>1</v>
      </c>
      <c r="E173" s="1" t="s">
        <v>1200</v>
      </c>
      <c r="F173" s="1" t="s">
        <v>201</v>
      </c>
      <c r="G173" s="45" t="s">
        <v>172</v>
      </c>
      <c r="H173" s="1" t="s">
        <v>1201</v>
      </c>
      <c r="I173" s="1" t="s">
        <v>1202</v>
      </c>
      <c r="J173" s="1" t="s">
        <v>204</v>
      </c>
      <c r="K173" s="1" t="s">
        <v>1203</v>
      </c>
    </row>
    <row r="174" spans="1:11" ht="30.75" customHeight="1">
      <c r="A174" s="1" t="s">
        <v>1204</v>
      </c>
      <c r="B174" s="1" t="s">
        <v>1205</v>
      </c>
      <c r="C174" s="1" t="s">
        <v>1206</v>
      </c>
      <c r="D174" s="1">
        <v>1</v>
      </c>
      <c r="E174" s="1" t="s">
        <v>1207</v>
      </c>
      <c r="F174" s="1" t="s">
        <v>201</v>
      </c>
      <c r="G174" s="45" t="s">
        <v>172</v>
      </c>
      <c r="H174" s="1" t="s">
        <v>1208</v>
      </c>
      <c r="I174" s="1" t="s">
        <v>1209</v>
      </c>
      <c r="J174" s="1" t="s">
        <v>204</v>
      </c>
      <c r="K174" s="1" t="s">
        <v>1210</v>
      </c>
    </row>
    <row r="175" spans="1:11" ht="30.75" customHeight="1">
      <c r="A175" s="1" t="s">
        <v>1211</v>
      </c>
      <c r="B175" s="1" t="s">
        <v>1212</v>
      </c>
      <c r="C175" s="1" t="s">
        <v>1213</v>
      </c>
      <c r="D175" s="1">
        <v>1</v>
      </c>
      <c r="E175" s="1" t="s">
        <v>1214</v>
      </c>
      <c r="F175" s="1" t="s">
        <v>201</v>
      </c>
      <c r="G175" s="45" t="s">
        <v>172</v>
      </c>
      <c r="H175" s="1" t="s">
        <v>1215</v>
      </c>
      <c r="I175" s="1" t="s">
        <v>1216</v>
      </c>
      <c r="J175" s="1" t="s">
        <v>204</v>
      </c>
      <c r="K175" s="1" t="s">
        <v>1217</v>
      </c>
    </row>
    <row r="176" spans="1:11" ht="30.75" customHeight="1">
      <c r="A176" s="1" t="s">
        <v>1218</v>
      </c>
      <c r="B176" s="1" t="s">
        <v>1219</v>
      </c>
      <c r="C176" s="1" t="s">
        <v>1220</v>
      </c>
      <c r="D176" s="1">
        <v>1</v>
      </c>
      <c r="E176" s="1" t="s">
        <v>1221</v>
      </c>
      <c r="F176" s="1" t="s">
        <v>201</v>
      </c>
      <c r="G176" s="45" t="s">
        <v>172</v>
      </c>
      <c r="H176" s="1" t="s">
        <v>1222</v>
      </c>
      <c r="I176" s="1" t="s">
        <v>1223</v>
      </c>
      <c r="J176" s="1" t="s">
        <v>204</v>
      </c>
      <c r="K176" s="1" t="s">
        <v>1224</v>
      </c>
    </row>
    <row r="177" spans="1:11" ht="30.75" customHeight="1">
      <c r="A177" s="1" t="s">
        <v>1225</v>
      </c>
      <c r="B177" s="1" t="s">
        <v>1226</v>
      </c>
      <c r="C177" s="1" t="s">
        <v>1227</v>
      </c>
      <c r="D177" s="1">
        <v>1</v>
      </c>
      <c r="E177" s="1" t="s">
        <v>1228</v>
      </c>
      <c r="F177" s="1" t="s">
        <v>201</v>
      </c>
      <c r="G177" s="45" t="s">
        <v>172</v>
      </c>
      <c r="H177" s="1" t="s">
        <v>1229</v>
      </c>
      <c r="I177" s="1" t="s">
        <v>1230</v>
      </c>
      <c r="J177" s="1" t="s">
        <v>204</v>
      </c>
      <c r="K177" s="1" t="s">
        <v>1231</v>
      </c>
    </row>
    <row r="178" spans="1:11" ht="30.75" customHeight="1">
      <c r="A178" s="1" t="s">
        <v>1232</v>
      </c>
      <c r="B178" s="1" t="s">
        <v>1233</v>
      </c>
      <c r="C178" s="1" t="s">
        <v>1232</v>
      </c>
      <c r="D178" s="1">
        <v>1</v>
      </c>
      <c r="E178" s="1" t="s">
        <v>1234</v>
      </c>
      <c r="F178" s="1" t="s">
        <v>201</v>
      </c>
      <c r="G178" s="45" t="s">
        <v>172</v>
      </c>
      <c r="H178" s="1" t="s">
        <v>1235</v>
      </c>
      <c r="I178" s="1" t="s">
        <v>1236</v>
      </c>
      <c r="J178" s="1" t="s">
        <v>204</v>
      </c>
      <c r="K178" s="1" t="s">
        <v>1237</v>
      </c>
    </row>
    <row r="179" spans="1:11" ht="30.75" customHeight="1">
      <c r="A179" s="1" t="s">
        <v>1238</v>
      </c>
      <c r="B179" s="1" t="s">
        <v>1239</v>
      </c>
      <c r="C179" s="1" t="s">
        <v>1240</v>
      </c>
      <c r="D179" s="1">
        <v>1</v>
      </c>
      <c r="E179" s="1" t="s">
        <v>1241</v>
      </c>
      <c r="F179" s="1" t="s">
        <v>201</v>
      </c>
      <c r="G179" s="45" t="s">
        <v>172</v>
      </c>
      <c r="H179" s="1" t="s">
        <v>1242</v>
      </c>
      <c r="I179" s="1" t="s">
        <v>1243</v>
      </c>
      <c r="J179" s="1" t="s">
        <v>204</v>
      </c>
      <c r="K179" s="1" t="s">
        <v>205</v>
      </c>
    </row>
    <row r="180" spans="1:11" ht="30.75" customHeight="1">
      <c r="A180" s="1" t="s">
        <v>1244</v>
      </c>
      <c r="B180" s="1" t="s">
        <v>1245</v>
      </c>
      <c r="C180" s="1" t="s">
        <v>1246</v>
      </c>
      <c r="D180" s="1">
        <v>1</v>
      </c>
      <c r="E180" s="1" t="s">
        <v>1247</v>
      </c>
      <c r="F180" s="1" t="s">
        <v>201</v>
      </c>
      <c r="G180" s="45" t="s">
        <v>172</v>
      </c>
      <c r="H180" s="1" t="s">
        <v>1248</v>
      </c>
      <c r="I180" s="1" t="s">
        <v>1249</v>
      </c>
      <c r="J180" s="1" t="s">
        <v>204</v>
      </c>
      <c r="K180" s="1" t="s">
        <v>205</v>
      </c>
    </row>
    <row r="181" spans="1:11" ht="30.75" customHeight="1">
      <c r="A181" s="1" t="s">
        <v>1250</v>
      </c>
      <c r="B181" s="1" t="s">
        <v>1251</v>
      </c>
      <c r="C181" s="1" t="s">
        <v>1252</v>
      </c>
      <c r="D181" s="1">
        <v>1</v>
      </c>
      <c r="E181" s="1" t="s">
        <v>1253</v>
      </c>
      <c r="F181" s="1" t="s">
        <v>201</v>
      </c>
      <c r="G181" s="45" t="s">
        <v>172</v>
      </c>
      <c r="H181" s="1" t="s">
        <v>1254</v>
      </c>
      <c r="I181" s="1" t="s">
        <v>1255</v>
      </c>
      <c r="J181" s="1" t="s">
        <v>204</v>
      </c>
      <c r="K181" s="1" t="s">
        <v>1256</v>
      </c>
    </row>
    <row r="182" spans="1:11" ht="30.75" customHeight="1">
      <c r="A182" s="1" t="s">
        <v>1257</v>
      </c>
      <c r="B182" s="1" t="s">
        <v>1258</v>
      </c>
      <c r="C182" s="1" t="s">
        <v>1259</v>
      </c>
      <c r="D182" s="1">
        <v>1</v>
      </c>
      <c r="E182" s="1" t="s">
        <v>1260</v>
      </c>
      <c r="F182" s="1" t="s">
        <v>201</v>
      </c>
      <c r="G182" s="45" t="s">
        <v>172</v>
      </c>
      <c r="H182" s="1" t="s">
        <v>1261</v>
      </c>
      <c r="I182" s="1" t="s">
        <v>1262</v>
      </c>
      <c r="J182" s="1" t="s">
        <v>204</v>
      </c>
      <c r="K182" s="1" t="s">
        <v>205</v>
      </c>
    </row>
    <row r="183" spans="1:11" ht="30.75" customHeight="1">
      <c r="A183" s="1" t="s">
        <v>1263</v>
      </c>
      <c r="B183" s="1" t="s">
        <v>1264</v>
      </c>
      <c r="C183" s="1" t="s">
        <v>1265</v>
      </c>
      <c r="D183" s="1">
        <v>1</v>
      </c>
      <c r="E183" s="1" t="s">
        <v>1266</v>
      </c>
      <c r="F183" s="1" t="s">
        <v>201</v>
      </c>
      <c r="G183" s="45" t="s">
        <v>172</v>
      </c>
      <c r="H183" s="1" t="s">
        <v>1267</v>
      </c>
      <c r="I183" s="1" t="s">
        <v>1268</v>
      </c>
      <c r="J183" s="1" t="s">
        <v>204</v>
      </c>
      <c r="K183" s="1" t="s">
        <v>205</v>
      </c>
    </row>
    <row r="184" spans="1:11" ht="30.75" customHeight="1">
      <c r="A184" s="1" t="s">
        <v>1269</v>
      </c>
      <c r="B184" s="1" t="s">
        <v>1270</v>
      </c>
      <c r="C184" s="1" t="s">
        <v>1269</v>
      </c>
      <c r="D184" s="1">
        <v>1</v>
      </c>
      <c r="E184" s="1" t="s">
        <v>1271</v>
      </c>
      <c r="F184" s="1" t="s">
        <v>201</v>
      </c>
      <c r="G184" s="45" t="s">
        <v>172</v>
      </c>
      <c r="H184" s="1" t="s">
        <v>1272</v>
      </c>
      <c r="I184" s="1" t="s">
        <v>1273</v>
      </c>
      <c r="J184" s="1" t="s">
        <v>204</v>
      </c>
      <c r="K184" s="1" t="s">
        <v>205</v>
      </c>
    </row>
    <row r="185" spans="1:11" ht="30.75" customHeight="1">
      <c r="A185" s="1" t="s">
        <v>1274</v>
      </c>
      <c r="B185" s="1" t="s">
        <v>1275</v>
      </c>
      <c r="C185" s="1" t="s">
        <v>1274</v>
      </c>
      <c r="D185" s="1">
        <v>1</v>
      </c>
      <c r="E185" s="1" t="s">
        <v>1276</v>
      </c>
      <c r="F185" s="1" t="s">
        <v>201</v>
      </c>
      <c r="G185" s="45" t="s">
        <v>172</v>
      </c>
      <c r="H185" s="1" t="s">
        <v>1277</v>
      </c>
      <c r="I185" s="1" t="s">
        <v>1278</v>
      </c>
      <c r="J185" s="1" t="s">
        <v>204</v>
      </c>
      <c r="K185" s="1" t="s">
        <v>625</v>
      </c>
    </row>
    <row r="186" spans="1:11" ht="30.75" customHeight="1">
      <c r="A186" s="1" t="s">
        <v>1279</v>
      </c>
      <c r="B186" s="1" t="s">
        <v>1280</v>
      </c>
      <c r="C186" s="1" t="s">
        <v>1281</v>
      </c>
      <c r="D186" s="1">
        <v>1</v>
      </c>
      <c r="E186" s="1" t="s">
        <v>1282</v>
      </c>
      <c r="F186" s="1" t="s">
        <v>201</v>
      </c>
      <c r="G186" s="45" t="s">
        <v>172</v>
      </c>
      <c r="H186" s="1" t="s">
        <v>1283</v>
      </c>
      <c r="I186" s="1" t="s">
        <v>1284</v>
      </c>
      <c r="J186" s="1" t="s">
        <v>204</v>
      </c>
      <c r="K186" s="1" t="s">
        <v>1285</v>
      </c>
    </row>
    <row r="187" spans="1:11" ht="30.75" customHeight="1">
      <c r="A187" s="1" t="s">
        <v>1286</v>
      </c>
      <c r="B187" s="1" t="s">
        <v>1287</v>
      </c>
      <c r="C187" s="1" t="s">
        <v>1288</v>
      </c>
      <c r="D187" s="1">
        <v>1</v>
      </c>
      <c r="E187" s="1" t="s">
        <v>1289</v>
      </c>
      <c r="F187" s="1" t="s">
        <v>201</v>
      </c>
      <c r="G187" s="45" t="s">
        <v>172</v>
      </c>
      <c r="H187" s="1" t="s">
        <v>1290</v>
      </c>
      <c r="I187" s="1" t="s">
        <v>1291</v>
      </c>
      <c r="J187" s="1" t="s">
        <v>204</v>
      </c>
      <c r="K187" s="1" t="s">
        <v>205</v>
      </c>
    </row>
    <row r="188" spans="1:11" ht="30.75" customHeight="1">
      <c r="A188" s="1" t="s">
        <v>1292</v>
      </c>
      <c r="B188" s="1" t="s">
        <v>1293</v>
      </c>
      <c r="C188" s="1" t="s">
        <v>1294</v>
      </c>
      <c r="D188" s="1">
        <v>1</v>
      </c>
      <c r="E188" s="1" t="s">
        <v>1295</v>
      </c>
      <c r="F188" s="1" t="s">
        <v>201</v>
      </c>
      <c r="G188" s="45" t="s">
        <v>172</v>
      </c>
      <c r="H188" s="1" t="s">
        <v>1296</v>
      </c>
      <c r="I188" s="1" t="s">
        <v>1297</v>
      </c>
      <c r="J188" s="1" t="s">
        <v>204</v>
      </c>
      <c r="K188" s="1" t="s">
        <v>205</v>
      </c>
    </row>
    <row r="189" spans="1:11" ht="30.75" customHeight="1">
      <c r="A189" s="1" t="s">
        <v>1298</v>
      </c>
      <c r="B189" s="1" t="s">
        <v>1299</v>
      </c>
      <c r="C189" s="1" t="s">
        <v>1300</v>
      </c>
      <c r="D189" s="1">
        <v>1</v>
      </c>
      <c r="E189" s="1" t="s">
        <v>1301</v>
      </c>
      <c r="F189" s="1" t="s">
        <v>201</v>
      </c>
      <c r="G189" s="45" t="s">
        <v>172</v>
      </c>
      <c r="H189" s="1" t="s">
        <v>1302</v>
      </c>
      <c r="I189" s="1" t="s">
        <v>530</v>
      </c>
      <c r="J189" s="1" t="s">
        <v>204</v>
      </c>
      <c r="K189" s="1" t="s">
        <v>531</v>
      </c>
    </row>
    <row r="190" spans="1:11" ht="30.75" customHeight="1">
      <c r="A190" s="1" t="s">
        <v>1303</v>
      </c>
      <c r="B190" s="1" t="s">
        <v>1304</v>
      </c>
      <c r="C190" s="1" t="s">
        <v>1305</v>
      </c>
      <c r="D190" s="1">
        <v>1</v>
      </c>
      <c r="E190" s="1" t="s">
        <v>1306</v>
      </c>
      <c r="F190" s="1" t="s">
        <v>201</v>
      </c>
      <c r="G190" s="45" t="s">
        <v>172</v>
      </c>
      <c r="H190" s="1" t="s">
        <v>1307</v>
      </c>
      <c r="I190" s="1" t="s">
        <v>530</v>
      </c>
      <c r="J190" s="1" t="s">
        <v>204</v>
      </c>
      <c r="K190" s="1" t="s">
        <v>531</v>
      </c>
    </row>
    <row r="191" spans="1:11" ht="30.75" customHeight="1">
      <c r="A191" s="1" t="s">
        <v>1308</v>
      </c>
      <c r="B191" s="1" t="s">
        <v>1309</v>
      </c>
      <c r="C191" s="1" t="s">
        <v>1310</v>
      </c>
      <c r="D191" s="1">
        <v>1</v>
      </c>
      <c r="E191" s="1" t="s">
        <v>1311</v>
      </c>
      <c r="F191" s="1" t="s">
        <v>201</v>
      </c>
      <c r="G191" s="45" t="s">
        <v>172</v>
      </c>
      <c r="H191" s="1" t="s">
        <v>1312</v>
      </c>
      <c r="I191" s="1" t="s">
        <v>1313</v>
      </c>
      <c r="J191" s="1" t="s">
        <v>204</v>
      </c>
      <c r="K191" s="1" t="s">
        <v>1314</v>
      </c>
    </row>
    <row r="192" spans="1:11" ht="30.75" customHeight="1">
      <c r="A192" s="1" t="s">
        <v>1315</v>
      </c>
      <c r="B192" s="1" t="s">
        <v>1316</v>
      </c>
      <c r="C192" s="1" t="s">
        <v>1317</v>
      </c>
      <c r="D192" s="1">
        <v>1</v>
      </c>
      <c r="E192" s="1" t="s">
        <v>1318</v>
      </c>
      <c r="F192" s="1" t="s">
        <v>201</v>
      </c>
      <c r="G192" s="45" t="s">
        <v>172</v>
      </c>
      <c r="H192" s="1" t="s">
        <v>1319</v>
      </c>
      <c r="I192" s="1" t="s">
        <v>1320</v>
      </c>
      <c r="J192" s="1" t="s">
        <v>204</v>
      </c>
      <c r="K192" s="1" t="s">
        <v>1321</v>
      </c>
    </row>
    <row r="193" spans="1:11" ht="30.75" customHeight="1">
      <c r="A193" s="1" t="s">
        <v>1322</v>
      </c>
      <c r="B193" s="1" t="s">
        <v>1323</v>
      </c>
      <c r="C193" s="1" t="s">
        <v>1324</v>
      </c>
      <c r="D193" s="1">
        <v>1</v>
      </c>
      <c r="E193" s="1" t="s">
        <v>1325</v>
      </c>
      <c r="F193" s="1" t="s">
        <v>201</v>
      </c>
      <c r="G193" s="45" t="s">
        <v>172</v>
      </c>
      <c r="H193" s="1" t="s">
        <v>1326</v>
      </c>
      <c r="I193" s="1" t="s">
        <v>1327</v>
      </c>
      <c r="J193" s="1" t="s">
        <v>204</v>
      </c>
      <c r="K193" s="1" t="s">
        <v>1328</v>
      </c>
    </row>
    <row r="194" spans="1:11" ht="30.75" customHeight="1">
      <c r="A194" s="1" t="s">
        <v>1329</v>
      </c>
      <c r="B194" s="1" t="s">
        <v>1330</v>
      </c>
      <c r="C194" s="1" t="s">
        <v>1331</v>
      </c>
      <c r="D194" s="1">
        <v>1</v>
      </c>
      <c r="E194" s="1" t="s">
        <v>1332</v>
      </c>
      <c r="F194" s="1" t="s">
        <v>201</v>
      </c>
      <c r="G194" s="45" t="s">
        <v>172</v>
      </c>
      <c r="H194" s="1" t="s">
        <v>1333</v>
      </c>
      <c r="I194" s="1" t="s">
        <v>1334</v>
      </c>
      <c r="J194" s="1" t="s">
        <v>204</v>
      </c>
      <c r="K194" s="1" t="s">
        <v>1335</v>
      </c>
    </row>
    <row r="195" spans="1:11" ht="30.75" customHeight="1">
      <c r="A195" s="1" t="s">
        <v>1336</v>
      </c>
      <c r="B195" s="1" t="s">
        <v>1337</v>
      </c>
      <c r="C195" s="1" t="s">
        <v>1336</v>
      </c>
      <c r="D195" s="1">
        <v>1</v>
      </c>
      <c r="E195" s="1" t="s">
        <v>1338</v>
      </c>
      <c r="F195" s="1" t="s">
        <v>201</v>
      </c>
      <c r="G195" s="45" t="s">
        <v>172</v>
      </c>
      <c r="H195" s="1" t="s">
        <v>1339</v>
      </c>
      <c r="I195" s="1" t="s">
        <v>1340</v>
      </c>
      <c r="J195" s="1" t="s">
        <v>204</v>
      </c>
      <c r="K195" s="1" t="s">
        <v>1341</v>
      </c>
    </row>
    <row r="196" spans="1:11" ht="30.75" customHeight="1">
      <c r="A196" s="1" t="s">
        <v>1342</v>
      </c>
      <c r="B196" s="1" t="s">
        <v>1343</v>
      </c>
      <c r="C196" s="1" t="s">
        <v>1342</v>
      </c>
      <c r="D196" s="1">
        <v>1</v>
      </c>
      <c r="E196" s="1" t="s">
        <v>1344</v>
      </c>
      <c r="F196" s="1" t="s">
        <v>201</v>
      </c>
      <c r="G196" s="45" t="s">
        <v>172</v>
      </c>
      <c r="H196" s="1" t="s">
        <v>1345</v>
      </c>
      <c r="I196" s="1" t="s">
        <v>1346</v>
      </c>
      <c r="J196" s="1" t="s">
        <v>204</v>
      </c>
      <c r="K196" s="1" t="s">
        <v>1347</v>
      </c>
    </row>
    <row r="197" spans="1:11" ht="30.75" customHeight="1">
      <c r="A197" s="1" t="s">
        <v>1348</v>
      </c>
      <c r="B197" s="1" t="s">
        <v>1349</v>
      </c>
      <c r="C197" s="1" t="s">
        <v>1350</v>
      </c>
      <c r="D197" s="1">
        <v>1</v>
      </c>
      <c r="E197" s="1" t="s">
        <v>1351</v>
      </c>
      <c r="F197" s="1" t="s">
        <v>201</v>
      </c>
      <c r="G197" s="45" t="s">
        <v>172</v>
      </c>
      <c r="H197" s="1" t="s">
        <v>1352</v>
      </c>
      <c r="I197" s="1" t="s">
        <v>1353</v>
      </c>
      <c r="J197" s="1" t="s">
        <v>204</v>
      </c>
      <c r="K197" s="1" t="s">
        <v>1354</v>
      </c>
    </row>
    <row r="198" spans="1:11" ht="30.75" customHeight="1">
      <c r="A198" s="1" t="s">
        <v>1355</v>
      </c>
      <c r="B198" s="1" t="s">
        <v>1356</v>
      </c>
      <c r="C198" s="1" t="s">
        <v>1355</v>
      </c>
      <c r="D198" s="1">
        <v>1</v>
      </c>
      <c r="E198" s="1" t="s">
        <v>1357</v>
      </c>
      <c r="F198" s="1" t="s">
        <v>201</v>
      </c>
      <c r="G198" s="45" t="s">
        <v>172</v>
      </c>
      <c r="H198" s="1" t="s">
        <v>1358</v>
      </c>
      <c r="I198" s="1" t="s">
        <v>1359</v>
      </c>
      <c r="J198" s="1" t="s">
        <v>204</v>
      </c>
      <c r="K198" s="1" t="s">
        <v>1360</v>
      </c>
    </row>
    <row r="199" spans="1:11" ht="30.75" customHeight="1">
      <c r="A199" s="1" t="s">
        <v>1361</v>
      </c>
      <c r="B199" s="1" t="s">
        <v>1362</v>
      </c>
      <c r="C199" s="1" t="s">
        <v>1363</v>
      </c>
      <c r="D199" s="1">
        <v>1</v>
      </c>
      <c r="E199" s="1" t="s">
        <v>1364</v>
      </c>
      <c r="F199" s="1" t="s">
        <v>201</v>
      </c>
      <c r="G199" s="45" t="s">
        <v>172</v>
      </c>
      <c r="H199" s="1" t="s">
        <v>1365</v>
      </c>
      <c r="I199" s="1" t="s">
        <v>1366</v>
      </c>
      <c r="J199" s="1" t="s">
        <v>204</v>
      </c>
      <c r="K199" s="1" t="s">
        <v>1367</v>
      </c>
    </row>
    <row r="200" spans="1:11" ht="30.75" customHeight="1">
      <c r="A200" s="1" t="s">
        <v>1368</v>
      </c>
      <c r="B200" s="1" t="s">
        <v>1369</v>
      </c>
      <c r="C200" s="1" t="s">
        <v>1370</v>
      </c>
      <c r="D200" s="1">
        <v>1</v>
      </c>
      <c r="E200" s="1" t="s">
        <v>1371</v>
      </c>
      <c r="F200" s="1" t="s">
        <v>201</v>
      </c>
      <c r="G200" s="45" t="s">
        <v>172</v>
      </c>
      <c r="H200" s="1" t="s">
        <v>1372</v>
      </c>
      <c r="I200" s="1" t="s">
        <v>1373</v>
      </c>
      <c r="J200" s="1" t="s">
        <v>204</v>
      </c>
      <c r="K200" s="1" t="s">
        <v>1374</v>
      </c>
    </row>
    <row r="201" spans="1:11" ht="30.75" customHeight="1">
      <c r="A201" s="1" t="s">
        <v>1375</v>
      </c>
      <c r="B201" s="1" t="s">
        <v>1376</v>
      </c>
      <c r="C201" s="1" t="s">
        <v>1377</v>
      </c>
      <c r="D201" s="1">
        <v>1</v>
      </c>
      <c r="E201" s="1" t="s">
        <v>1378</v>
      </c>
      <c r="F201" s="1" t="s">
        <v>201</v>
      </c>
      <c r="G201" s="45" t="s">
        <v>172</v>
      </c>
      <c r="H201" s="1" t="s">
        <v>1379</v>
      </c>
      <c r="I201" s="1" t="s">
        <v>1380</v>
      </c>
      <c r="J201" s="1" t="s">
        <v>204</v>
      </c>
      <c r="K201" s="1" t="s">
        <v>1381</v>
      </c>
    </row>
    <row r="202" spans="1:11" ht="30.75" customHeight="1">
      <c r="A202" s="1" t="s">
        <v>1382</v>
      </c>
      <c r="B202" s="1" t="s">
        <v>1383</v>
      </c>
      <c r="C202" s="1" t="s">
        <v>1382</v>
      </c>
      <c r="D202" s="1">
        <v>1</v>
      </c>
      <c r="E202" s="1" t="s">
        <v>1384</v>
      </c>
      <c r="F202" s="1" t="s">
        <v>201</v>
      </c>
      <c r="G202" s="45" t="s">
        <v>172</v>
      </c>
      <c r="H202" s="1" t="s">
        <v>1385</v>
      </c>
      <c r="I202" s="1" t="s">
        <v>1386</v>
      </c>
      <c r="J202" s="1" t="s">
        <v>204</v>
      </c>
      <c r="K202" s="1" t="s">
        <v>1387</v>
      </c>
    </row>
    <row r="203" spans="1:11" ht="30.75" customHeight="1">
      <c r="A203" s="1" t="s">
        <v>1388</v>
      </c>
      <c r="B203" s="1" t="s">
        <v>1389</v>
      </c>
      <c r="C203" s="1" t="s">
        <v>1388</v>
      </c>
      <c r="D203" s="1">
        <v>1</v>
      </c>
      <c r="E203" s="1" t="s">
        <v>1390</v>
      </c>
      <c r="F203" s="1" t="s">
        <v>201</v>
      </c>
      <c r="G203" s="45" t="s">
        <v>172</v>
      </c>
      <c r="H203" s="1" t="s">
        <v>1391</v>
      </c>
      <c r="I203" s="1" t="s">
        <v>1392</v>
      </c>
      <c r="J203" s="1" t="s">
        <v>204</v>
      </c>
      <c r="K203" s="1" t="s">
        <v>1393</v>
      </c>
    </row>
    <row r="204" spans="1:11" ht="30.75" customHeight="1">
      <c r="A204" s="1" t="s">
        <v>1394</v>
      </c>
      <c r="B204" s="1" t="s">
        <v>1395</v>
      </c>
      <c r="C204" s="1" t="s">
        <v>1396</v>
      </c>
      <c r="D204" s="1">
        <v>1</v>
      </c>
      <c r="E204" s="1" t="s">
        <v>1397</v>
      </c>
      <c r="F204" s="1" t="s">
        <v>201</v>
      </c>
      <c r="G204" s="45" t="s">
        <v>172</v>
      </c>
      <c r="H204" s="1" t="s">
        <v>1398</v>
      </c>
      <c r="I204" s="1" t="s">
        <v>1399</v>
      </c>
      <c r="J204" s="1" t="s">
        <v>204</v>
      </c>
      <c r="K204" s="1" t="s">
        <v>1400</v>
      </c>
    </row>
    <row r="205" spans="1:11" ht="30.75" customHeight="1">
      <c r="A205" s="1" t="s">
        <v>1401</v>
      </c>
      <c r="B205" s="1" t="s">
        <v>1402</v>
      </c>
      <c r="C205" s="1" t="s">
        <v>1401</v>
      </c>
      <c r="D205" s="1">
        <v>1</v>
      </c>
      <c r="E205" s="1" t="s">
        <v>1403</v>
      </c>
      <c r="F205" s="1" t="s">
        <v>201</v>
      </c>
      <c r="G205" s="45" t="s">
        <v>172</v>
      </c>
      <c r="H205" s="1" t="s">
        <v>1404</v>
      </c>
      <c r="I205" s="1" t="s">
        <v>1405</v>
      </c>
      <c r="J205" s="1" t="s">
        <v>204</v>
      </c>
      <c r="K205" s="1" t="s">
        <v>1406</v>
      </c>
    </row>
    <row r="206" spans="1:11" ht="30.75" customHeight="1">
      <c r="A206" s="1" t="s">
        <v>1407</v>
      </c>
      <c r="B206" s="1" t="s">
        <v>1408</v>
      </c>
      <c r="C206" s="1" t="s">
        <v>1407</v>
      </c>
      <c r="D206" s="1">
        <v>1</v>
      </c>
      <c r="E206" s="1" t="s">
        <v>1409</v>
      </c>
      <c r="F206" s="1" t="s">
        <v>201</v>
      </c>
      <c r="G206" s="45" t="s">
        <v>172</v>
      </c>
      <c r="H206" s="1" t="s">
        <v>1410</v>
      </c>
      <c r="I206" s="1" t="s">
        <v>1411</v>
      </c>
      <c r="J206" s="1" t="s">
        <v>204</v>
      </c>
      <c r="K206" s="1" t="s">
        <v>1412</v>
      </c>
    </row>
    <row r="207" spans="1:11" ht="30.75" customHeight="1">
      <c r="A207" s="1" t="s">
        <v>1413</v>
      </c>
      <c r="B207" s="1" t="s">
        <v>1414</v>
      </c>
      <c r="C207" s="1" t="s">
        <v>1415</v>
      </c>
      <c r="D207" s="1">
        <v>1</v>
      </c>
      <c r="E207" s="1" t="s">
        <v>1416</v>
      </c>
      <c r="F207" s="1" t="s">
        <v>201</v>
      </c>
      <c r="G207" s="45" t="s">
        <v>172</v>
      </c>
      <c r="H207" s="1" t="s">
        <v>1417</v>
      </c>
      <c r="I207" s="1" t="s">
        <v>1418</v>
      </c>
      <c r="J207" s="1" t="s">
        <v>204</v>
      </c>
      <c r="K207" s="1" t="s">
        <v>205</v>
      </c>
    </row>
    <row r="208" spans="1:11" ht="30.75" customHeight="1">
      <c r="A208" s="1" t="s">
        <v>1419</v>
      </c>
      <c r="B208" s="1" t="s">
        <v>1420</v>
      </c>
      <c r="C208" s="1" t="s">
        <v>1419</v>
      </c>
      <c r="D208" s="1">
        <v>1</v>
      </c>
      <c r="E208" s="1" t="s">
        <v>1421</v>
      </c>
      <c r="F208" s="1" t="s">
        <v>201</v>
      </c>
      <c r="G208" s="45" t="s">
        <v>172</v>
      </c>
      <c r="H208" s="1" t="s">
        <v>1422</v>
      </c>
      <c r="I208" s="1" t="s">
        <v>1423</v>
      </c>
      <c r="J208" s="1" t="s">
        <v>204</v>
      </c>
      <c r="K208" s="1" t="s">
        <v>1424</v>
      </c>
    </row>
    <row r="209" spans="1:11" ht="30.75" customHeight="1">
      <c r="A209" s="1" t="s">
        <v>1425</v>
      </c>
      <c r="B209" s="1" t="s">
        <v>1426</v>
      </c>
      <c r="C209" s="1" t="s">
        <v>1427</v>
      </c>
      <c r="D209" s="1">
        <v>1</v>
      </c>
      <c r="E209" s="1" t="s">
        <v>1428</v>
      </c>
      <c r="F209" s="1" t="s">
        <v>201</v>
      </c>
      <c r="G209" s="45" t="s">
        <v>172</v>
      </c>
      <c r="H209" s="1" t="s">
        <v>1429</v>
      </c>
      <c r="I209" s="1" t="s">
        <v>1430</v>
      </c>
      <c r="J209" s="1" t="s">
        <v>204</v>
      </c>
      <c r="K209" s="1" t="s">
        <v>1431</v>
      </c>
    </row>
    <row r="210" spans="1:11" ht="30.75" customHeight="1">
      <c r="A210" s="1" t="s">
        <v>1432</v>
      </c>
      <c r="B210" s="1" t="s">
        <v>1433</v>
      </c>
      <c r="C210" s="1" t="s">
        <v>1434</v>
      </c>
      <c r="D210" s="1">
        <v>1</v>
      </c>
      <c r="E210" s="1" t="s">
        <v>1435</v>
      </c>
      <c r="F210" s="1" t="s">
        <v>201</v>
      </c>
      <c r="G210" s="45" t="s">
        <v>172</v>
      </c>
      <c r="H210" s="1" t="s">
        <v>1436</v>
      </c>
      <c r="I210" s="1" t="s">
        <v>1437</v>
      </c>
      <c r="J210" s="1" t="s">
        <v>204</v>
      </c>
      <c r="K210" s="1" t="s">
        <v>1438</v>
      </c>
    </row>
    <row r="211" spans="1:11" ht="30.75" customHeight="1">
      <c r="A211" s="1" t="s">
        <v>1439</v>
      </c>
      <c r="B211" s="1" t="s">
        <v>1440</v>
      </c>
      <c r="C211" s="1" t="s">
        <v>1441</v>
      </c>
      <c r="D211" s="1">
        <v>1</v>
      </c>
      <c r="E211" s="1" t="s">
        <v>1442</v>
      </c>
      <c r="F211" s="1" t="s">
        <v>201</v>
      </c>
      <c r="G211" s="45" t="s">
        <v>172</v>
      </c>
      <c r="H211" s="1" t="s">
        <v>1443</v>
      </c>
      <c r="I211" s="1" t="s">
        <v>1444</v>
      </c>
      <c r="J211" s="1" t="s">
        <v>204</v>
      </c>
      <c r="K211" s="1" t="s">
        <v>1445</v>
      </c>
    </row>
    <row r="212" spans="1:11" ht="30.75" customHeight="1">
      <c r="A212" s="1" t="s">
        <v>1446</v>
      </c>
      <c r="B212" s="1" t="s">
        <v>1447</v>
      </c>
      <c r="C212" s="1" t="s">
        <v>1448</v>
      </c>
      <c r="D212" s="1">
        <v>1</v>
      </c>
      <c r="E212" s="1" t="s">
        <v>1449</v>
      </c>
      <c r="F212" s="1" t="s">
        <v>201</v>
      </c>
      <c r="G212" s="45" t="s">
        <v>172</v>
      </c>
      <c r="H212" s="1" t="s">
        <v>1450</v>
      </c>
      <c r="I212" s="1" t="s">
        <v>1451</v>
      </c>
      <c r="J212" s="1" t="s">
        <v>204</v>
      </c>
      <c r="K212" s="1" t="s">
        <v>1452</v>
      </c>
    </row>
    <row r="213" spans="1:11" ht="30.75" customHeight="1">
      <c r="A213" s="1" t="s">
        <v>1453</v>
      </c>
      <c r="B213" s="1" t="s">
        <v>1454</v>
      </c>
      <c r="C213" s="1" t="s">
        <v>1455</v>
      </c>
      <c r="D213" s="1">
        <v>1</v>
      </c>
      <c r="E213" s="1" t="s">
        <v>1456</v>
      </c>
      <c r="F213" s="1" t="s">
        <v>201</v>
      </c>
      <c r="G213" s="45" t="s">
        <v>172</v>
      </c>
      <c r="H213" s="1" t="s">
        <v>1457</v>
      </c>
      <c r="I213" s="1" t="s">
        <v>1458</v>
      </c>
      <c r="J213" s="1" t="s">
        <v>204</v>
      </c>
      <c r="K213" s="1" t="s">
        <v>1459</v>
      </c>
    </row>
    <row r="214" spans="1:11" ht="30.75" customHeight="1">
      <c r="A214" s="1" t="s">
        <v>1460</v>
      </c>
      <c r="B214" s="1" t="s">
        <v>1461</v>
      </c>
      <c r="C214" s="1" t="s">
        <v>1460</v>
      </c>
      <c r="D214" s="1">
        <v>1</v>
      </c>
      <c r="E214" s="1" t="s">
        <v>1462</v>
      </c>
      <c r="F214" s="1" t="s">
        <v>201</v>
      </c>
      <c r="G214" s="45" t="s">
        <v>172</v>
      </c>
      <c r="H214" s="1" t="s">
        <v>1463</v>
      </c>
      <c r="I214" s="1" t="s">
        <v>1464</v>
      </c>
      <c r="J214" s="1" t="s">
        <v>204</v>
      </c>
      <c r="K214" s="1" t="s">
        <v>1465</v>
      </c>
    </row>
    <row r="215" spans="1:11" ht="30.75" customHeight="1">
      <c r="A215" s="1" t="s">
        <v>1466</v>
      </c>
      <c r="B215" s="1" t="s">
        <v>1467</v>
      </c>
      <c r="C215" s="1" t="s">
        <v>1466</v>
      </c>
      <c r="D215" s="1">
        <v>1</v>
      </c>
      <c r="E215" s="1" t="s">
        <v>1468</v>
      </c>
      <c r="F215" s="1" t="s">
        <v>201</v>
      </c>
      <c r="G215" s="45" t="s">
        <v>172</v>
      </c>
      <c r="H215" s="1" t="s">
        <v>1469</v>
      </c>
      <c r="I215" s="1" t="s">
        <v>1470</v>
      </c>
      <c r="J215" s="1" t="s">
        <v>204</v>
      </c>
      <c r="K215" s="1" t="s">
        <v>1471</v>
      </c>
    </row>
    <row r="216" spans="1:11" ht="30.75" customHeight="1">
      <c r="A216" s="1" t="s">
        <v>1472</v>
      </c>
      <c r="B216" s="1" t="s">
        <v>1473</v>
      </c>
      <c r="C216" s="1" t="s">
        <v>1472</v>
      </c>
      <c r="D216" s="1">
        <v>1</v>
      </c>
      <c r="E216" s="1" t="s">
        <v>1474</v>
      </c>
      <c r="F216" s="1" t="s">
        <v>201</v>
      </c>
      <c r="G216" s="45" t="s">
        <v>172</v>
      </c>
      <c r="H216" s="1" t="s">
        <v>1475</v>
      </c>
      <c r="I216" s="1" t="s">
        <v>1476</v>
      </c>
      <c r="J216" s="1" t="s">
        <v>204</v>
      </c>
      <c r="K216" s="1" t="s">
        <v>1477</v>
      </c>
    </row>
    <row r="217" spans="1:11" ht="30.75" customHeight="1">
      <c r="A217" s="1" t="s">
        <v>1478</v>
      </c>
      <c r="B217" s="1" t="s">
        <v>1479</v>
      </c>
      <c r="C217" s="1" t="s">
        <v>1480</v>
      </c>
      <c r="D217" s="1">
        <v>1</v>
      </c>
      <c r="E217" s="1" t="s">
        <v>1481</v>
      </c>
      <c r="F217" s="1" t="s">
        <v>201</v>
      </c>
      <c r="G217" s="45" t="s">
        <v>172</v>
      </c>
      <c r="H217" s="1" t="s">
        <v>1482</v>
      </c>
      <c r="I217" s="1" t="s">
        <v>1483</v>
      </c>
      <c r="J217" s="1" t="s">
        <v>204</v>
      </c>
      <c r="K217" s="1" t="s">
        <v>1484</v>
      </c>
    </row>
    <row r="218" spans="1:11" ht="30.75" customHeight="1">
      <c r="A218" s="1" t="s">
        <v>1485</v>
      </c>
      <c r="B218" s="1" t="s">
        <v>1486</v>
      </c>
      <c r="C218" s="1" t="s">
        <v>1480</v>
      </c>
      <c r="D218" s="1">
        <v>1</v>
      </c>
      <c r="E218" s="1" t="s">
        <v>1487</v>
      </c>
      <c r="F218" s="1" t="s">
        <v>372</v>
      </c>
      <c r="G218" s="45" t="s">
        <v>172</v>
      </c>
      <c r="H218" s="1" t="s">
        <v>1488</v>
      </c>
      <c r="I218" s="1" t="s">
        <v>1489</v>
      </c>
      <c r="J218" s="1" t="s">
        <v>204</v>
      </c>
      <c r="K218" s="1" t="s">
        <v>1490</v>
      </c>
    </row>
    <row r="219" spans="1:11" ht="30.75" customHeight="1">
      <c r="A219" s="1" t="s">
        <v>1491</v>
      </c>
      <c r="B219" s="1" t="s">
        <v>1492</v>
      </c>
      <c r="C219" s="1" t="s">
        <v>1493</v>
      </c>
      <c r="D219" s="1">
        <v>1</v>
      </c>
      <c r="E219" s="1" t="s">
        <v>1494</v>
      </c>
      <c r="F219" s="1" t="s">
        <v>201</v>
      </c>
      <c r="G219" s="45" t="s">
        <v>172</v>
      </c>
      <c r="H219" s="1" t="s">
        <v>1495</v>
      </c>
      <c r="I219" s="1" t="s">
        <v>1496</v>
      </c>
      <c r="J219" s="1" t="s">
        <v>204</v>
      </c>
      <c r="K219" s="1" t="s">
        <v>1497</v>
      </c>
    </row>
    <row r="220" spans="1:11" ht="30.75" customHeight="1">
      <c r="A220" s="1" t="s">
        <v>1498</v>
      </c>
      <c r="B220" s="1" t="s">
        <v>1499</v>
      </c>
      <c r="C220" s="1" t="s">
        <v>1498</v>
      </c>
      <c r="D220" s="1">
        <v>1</v>
      </c>
      <c r="E220" s="1" t="s">
        <v>1500</v>
      </c>
      <c r="F220" s="1" t="s">
        <v>201</v>
      </c>
      <c r="G220" s="45" t="s">
        <v>172</v>
      </c>
      <c r="H220" s="1" t="s">
        <v>1501</v>
      </c>
      <c r="I220" s="1" t="s">
        <v>1502</v>
      </c>
      <c r="J220" s="1" t="s">
        <v>204</v>
      </c>
      <c r="K220" s="1" t="s">
        <v>1503</v>
      </c>
    </row>
    <row r="221" spans="1:11" ht="30.75" customHeight="1">
      <c r="A221" s="1" t="s">
        <v>1504</v>
      </c>
      <c r="B221" s="1" t="s">
        <v>1505</v>
      </c>
      <c r="C221" s="1" t="s">
        <v>1504</v>
      </c>
      <c r="D221" s="1">
        <v>1</v>
      </c>
      <c r="E221" s="1" t="s">
        <v>1506</v>
      </c>
      <c r="F221" s="1" t="s">
        <v>201</v>
      </c>
      <c r="G221" s="45" t="s">
        <v>172</v>
      </c>
      <c r="H221" s="1" t="s">
        <v>1507</v>
      </c>
      <c r="I221" s="1" t="s">
        <v>1508</v>
      </c>
      <c r="J221" s="1" t="s">
        <v>204</v>
      </c>
      <c r="K221" s="1" t="s">
        <v>1509</v>
      </c>
    </row>
    <row r="222" spans="1:11" ht="30.75" customHeight="1">
      <c r="A222" s="1" t="s">
        <v>1510</v>
      </c>
      <c r="B222" s="1" t="s">
        <v>1511</v>
      </c>
      <c r="C222" s="1" t="s">
        <v>1512</v>
      </c>
      <c r="D222" s="1">
        <v>1</v>
      </c>
      <c r="E222" s="1" t="s">
        <v>1513</v>
      </c>
      <c r="F222" s="1" t="s">
        <v>201</v>
      </c>
      <c r="G222" s="45" t="s">
        <v>172</v>
      </c>
      <c r="H222" s="1" t="s">
        <v>1514</v>
      </c>
      <c r="I222" s="1" t="s">
        <v>1515</v>
      </c>
      <c r="J222" s="1" t="s">
        <v>204</v>
      </c>
      <c r="K222" s="1" t="s">
        <v>1516</v>
      </c>
    </row>
    <row r="223" spans="1:11" ht="30.75" customHeight="1">
      <c r="A223" s="1" t="s">
        <v>1517</v>
      </c>
      <c r="B223" s="1" t="s">
        <v>1518</v>
      </c>
      <c r="C223" s="1" t="s">
        <v>1517</v>
      </c>
      <c r="D223" s="1">
        <v>1</v>
      </c>
      <c r="E223" s="1" t="s">
        <v>1519</v>
      </c>
      <c r="F223" s="1" t="s">
        <v>201</v>
      </c>
      <c r="G223" s="45" t="s">
        <v>172</v>
      </c>
      <c r="H223" s="1" t="s">
        <v>1520</v>
      </c>
      <c r="I223" s="1" t="s">
        <v>1521</v>
      </c>
      <c r="J223" s="1" t="s">
        <v>204</v>
      </c>
      <c r="K223" s="1" t="s">
        <v>1522</v>
      </c>
    </row>
    <row r="224" spans="1:11" ht="30.75" customHeight="1">
      <c r="A224" s="1" t="s">
        <v>1523</v>
      </c>
      <c r="B224" s="1" t="s">
        <v>1524</v>
      </c>
      <c r="C224" s="1" t="s">
        <v>1523</v>
      </c>
      <c r="D224" s="1">
        <v>1</v>
      </c>
      <c r="E224" s="1" t="s">
        <v>1525</v>
      </c>
      <c r="F224" s="1" t="s">
        <v>201</v>
      </c>
      <c r="G224" s="45" t="s">
        <v>172</v>
      </c>
      <c r="H224" s="1" t="s">
        <v>1526</v>
      </c>
      <c r="I224" s="1" t="s">
        <v>1527</v>
      </c>
      <c r="J224" s="1" t="s">
        <v>204</v>
      </c>
      <c r="K224" s="1" t="s">
        <v>1528</v>
      </c>
    </row>
    <row r="225" spans="1:11" ht="30.75" customHeight="1">
      <c r="A225" s="1" t="s">
        <v>1529</v>
      </c>
      <c r="B225" s="1" t="s">
        <v>1530</v>
      </c>
      <c r="C225" s="1" t="s">
        <v>1531</v>
      </c>
      <c r="D225" s="1">
        <v>1</v>
      </c>
      <c r="E225" s="1" t="s">
        <v>1532</v>
      </c>
      <c r="F225" s="1" t="s">
        <v>201</v>
      </c>
      <c r="G225" s="45" t="s">
        <v>172</v>
      </c>
      <c r="H225" s="1" t="s">
        <v>1533</v>
      </c>
      <c r="I225" s="1" t="s">
        <v>1534</v>
      </c>
      <c r="J225" s="1" t="s">
        <v>204</v>
      </c>
      <c r="K225" s="1" t="s">
        <v>1535</v>
      </c>
    </row>
    <row r="226" spans="1:11" ht="30.75" customHeight="1">
      <c r="A226" s="1" t="s">
        <v>1536</v>
      </c>
      <c r="B226" s="1" t="s">
        <v>1537</v>
      </c>
      <c r="C226" s="1" t="s">
        <v>1536</v>
      </c>
      <c r="D226" s="1">
        <v>1</v>
      </c>
      <c r="E226" s="1" t="s">
        <v>1538</v>
      </c>
      <c r="F226" s="1" t="s">
        <v>201</v>
      </c>
      <c r="G226" s="45" t="s">
        <v>172</v>
      </c>
      <c r="H226" s="1" t="s">
        <v>1539</v>
      </c>
      <c r="I226" s="1" t="s">
        <v>1540</v>
      </c>
      <c r="J226" s="1" t="s">
        <v>204</v>
      </c>
      <c r="K226" s="1" t="s">
        <v>1541</v>
      </c>
    </row>
    <row r="227" spans="1:11" ht="30.75" customHeight="1">
      <c r="A227" s="1" t="s">
        <v>1542</v>
      </c>
      <c r="B227" s="1" t="s">
        <v>1543</v>
      </c>
      <c r="C227" s="1" t="s">
        <v>1544</v>
      </c>
      <c r="D227" s="1">
        <v>1</v>
      </c>
      <c r="E227" s="1" t="s">
        <v>1545</v>
      </c>
      <c r="F227" s="1" t="s">
        <v>201</v>
      </c>
      <c r="G227" s="45" t="s">
        <v>172</v>
      </c>
      <c r="H227" s="1" t="s">
        <v>1546</v>
      </c>
      <c r="I227" s="1" t="s">
        <v>1547</v>
      </c>
      <c r="J227" s="1" t="s">
        <v>204</v>
      </c>
      <c r="K227" s="1" t="s">
        <v>1548</v>
      </c>
    </row>
    <row r="228" spans="1:11" ht="30.75" customHeight="1">
      <c r="A228" s="1" t="s">
        <v>1549</v>
      </c>
      <c r="B228" s="1" t="s">
        <v>1550</v>
      </c>
      <c r="C228" s="1" t="s">
        <v>1551</v>
      </c>
      <c r="D228" s="1">
        <v>1</v>
      </c>
      <c r="E228" s="1" t="s">
        <v>1552</v>
      </c>
      <c r="F228" s="1" t="s">
        <v>201</v>
      </c>
      <c r="G228" s="45" t="s">
        <v>172</v>
      </c>
      <c r="H228" s="1" t="s">
        <v>1553</v>
      </c>
      <c r="I228" s="1" t="s">
        <v>1554</v>
      </c>
      <c r="J228" s="1" t="s">
        <v>204</v>
      </c>
      <c r="K228" s="1" t="s">
        <v>1555</v>
      </c>
    </row>
    <row r="229" spans="1:11" ht="30.75" customHeight="1">
      <c r="A229" s="1" t="s">
        <v>1556</v>
      </c>
      <c r="B229" s="1" t="s">
        <v>1557</v>
      </c>
      <c r="C229" s="1" t="s">
        <v>1558</v>
      </c>
      <c r="D229" s="1">
        <v>1</v>
      </c>
      <c r="E229" s="1" t="s">
        <v>1559</v>
      </c>
      <c r="F229" s="1" t="s">
        <v>201</v>
      </c>
      <c r="G229" s="45" t="s">
        <v>172</v>
      </c>
      <c r="H229" s="1" t="s">
        <v>1560</v>
      </c>
      <c r="I229" s="1" t="s">
        <v>1561</v>
      </c>
      <c r="J229" s="1" t="s">
        <v>204</v>
      </c>
      <c r="K229" s="1" t="s">
        <v>1562</v>
      </c>
    </row>
    <row r="230" spans="1:11" ht="30.75" customHeight="1">
      <c r="A230" s="1" t="s">
        <v>1563</v>
      </c>
      <c r="B230" s="1" t="s">
        <v>1564</v>
      </c>
      <c r="C230" s="1" t="s">
        <v>1565</v>
      </c>
      <c r="D230" s="1">
        <v>1</v>
      </c>
      <c r="E230" s="1" t="s">
        <v>1566</v>
      </c>
      <c r="F230" s="1" t="s">
        <v>201</v>
      </c>
      <c r="G230" s="45" t="s">
        <v>172</v>
      </c>
      <c r="H230" s="1" t="s">
        <v>1567</v>
      </c>
      <c r="I230" s="1" t="s">
        <v>1568</v>
      </c>
      <c r="J230" s="1" t="s">
        <v>204</v>
      </c>
      <c r="K230" s="1" t="s">
        <v>1569</v>
      </c>
    </row>
    <row r="231" spans="1:11" ht="30.75" customHeight="1">
      <c r="A231" s="1" t="s">
        <v>1570</v>
      </c>
      <c r="B231" s="1" t="s">
        <v>1571</v>
      </c>
      <c r="C231" s="1" t="s">
        <v>1570</v>
      </c>
      <c r="D231" s="1">
        <v>1</v>
      </c>
      <c r="E231" s="1" t="s">
        <v>1572</v>
      </c>
      <c r="F231" s="1" t="s">
        <v>201</v>
      </c>
      <c r="G231" s="45" t="s">
        <v>172</v>
      </c>
      <c r="H231" s="1" t="s">
        <v>1573</v>
      </c>
      <c r="I231" s="1" t="s">
        <v>1574</v>
      </c>
      <c r="J231" s="1" t="s">
        <v>204</v>
      </c>
      <c r="K231" s="1" t="s">
        <v>1575</v>
      </c>
    </row>
    <row r="232" spans="1:11" ht="30.75" customHeight="1">
      <c r="A232" s="1" t="s">
        <v>1576</v>
      </c>
      <c r="B232" s="1" t="s">
        <v>1577</v>
      </c>
      <c r="C232" s="1" t="s">
        <v>1576</v>
      </c>
      <c r="D232" s="1">
        <v>1</v>
      </c>
      <c r="E232" s="1" t="s">
        <v>1578</v>
      </c>
      <c r="F232" s="1" t="s">
        <v>201</v>
      </c>
      <c r="G232" s="45" t="s">
        <v>172</v>
      </c>
      <c r="H232" s="1" t="s">
        <v>1579</v>
      </c>
      <c r="I232" s="1" t="s">
        <v>1580</v>
      </c>
      <c r="J232" s="1" t="s">
        <v>204</v>
      </c>
      <c r="K232" s="1" t="s">
        <v>1581</v>
      </c>
    </row>
    <row r="233" spans="1:11" ht="30.75" customHeight="1">
      <c r="A233" s="1" t="s">
        <v>1582</v>
      </c>
      <c r="B233" s="1" t="s">
        <v>1583</v>
      </c>
      <c r="C233" s="1" t="s">
        <v>1584</v>
      </c>
      <c r="D233" s="1">
        <v>1</v>
      </c>
      <c r="E233" s="1" t="s">
        <v>1585</v>
      </c>
      <c r="F233" s="1" t="s">
        <v>201</v>
      </c>
      <c r="G233" s="45" t="s">
        <v>172</v>
      </c>
      <c r="H233" s="1" t="s">
        <v>1586</v>
      </c>
      <c r="I233" s="1" t="s">
        <v>1587</v>
      </c>
      <c r="J233" s="1" t="s">
        <v>204</v>
      </c>
      <c r="K233" s="1" t="s">
        <v>1588</v>
      </c>
    </row>
    <row r="234" spans="1:11" ht="30.75" customHeight="1">
      <c r="A234" s="1" t="s">
        <v>1589</v>
      </c>
      <c r="B234" s="1" t="s">
        <v>1590</v>
      </c>
      <c r="C234" s="1" t="s">
        <v>1591</v>
      </c>
      <c r="D234" s="1">
        <v>1</v>
      </c>
      <c r="E234" s="1" t="s">
        <v>1592</v>
      </c>
      <c r="F234" s="1" t="s">
        <v>567</v>
      </c>
      <c r="G234" s="45" t="s">
        <v>172</v>
      </c>
      <c r="H234" s="1" t="s">
        <v>1593</v>
      </c>
      <c r="I234" s="1" t="s">
        <v>1594</v>
      </c>
      <c r="J234" s="1" t="s">
        <v>204</v>
      </c>
      <c r="K234" s="1" t="s">
        <v>1595</v>
      </c>
    </row>
    <row r="235" spans="1:11" ht="30.75" customHeight="1">
      <c r="A235" s="1" t="s">
        <v>1596</v>
      </c>
      <c r="B235" s="1" t="s">
        <v>1597</v>
      </c>
      <c r="C235" s="1" t="s">
        <v>1570</v>
      </c>
      <c r="D235" s="1">
        <v>1</v>
      </c>
      <c r="E235" s="1" t="s">
        <v>1598</v>
      </c>
      <c r="F235" s="1" t="s">
        <v>372</v>
      </c>
      <c r="G235" s="45" t="s">
        <v>172</v>
      </c>
      <c r="H235" s="1" t="s">
        <v>1599</v>
      </c>
      <c r="I235" s="1" t="s">
        <v>1600</v>
      </c>
      <c r="J235" s="1" t="s">
        <v>204</v>
      </c>
      <c r="K235" s="1" t="s">
        <v>1601</v>
      </c>
    </row>
    <row r="236" spans="1:11" ht="30.75" customHeight="1">
      <c r="A236" s="1" t="s">
        <v>1602</v>
      </c>
      <c r="B236" s="1" t="s">
        <v>1603</v>
      </c>
      <c r="C236" s="1" t="s">
        <v>1604</v>
      </c>
      <c r="D236" s="1">
        <v>1</v>
      </c>
      <c r="E236" s="1" t="s">
        <v>1605</v>
      </c>
      <c r="F236" s="1" t="s">
        <v>567</v>
      </c>
      <c r="G236" s="45" t="s">
        <v>172</v>
      </c>
      <c r="H236" s="1" t="s">
        <v>1606</v>
      </c>
      <c r="I236" s="1" t="s">
        <v>1607</v>
      </c>
      <c r="J236" s="1" t="s">
        <v>204</v>
      </c>
      <c r="K236" s="1" t="s">
        <v>1608</v>
      </c>
    </row>
    <row r="237" spans="1:11" ht="30.75" customHeight="1">
      <c r="A237" s="1" t="s">
        <v>1609</v>
      </c>
      <c r="B237" s="1" t="s">
        <v>1610</v>
      </c>
      <c r="C237" s="1" t="s">
        <v>1611</v>
      </c>
      <c r="D237" s="1">
        <v>1</v>
      </c>
      <c r="E237" s="1" t="s">
        <v>1612</v>
      </c>
      <c r="F237" s="1" t="s">
        <v>201</v>
      </c>
      <c r="G237" s="45" t="s">
        <v>172</v>
      </c>
      <c r="H237" s="1" t="s">
        <v>1613</v>
      </c>
      <c r="I237" s="1" t="s">
        <v>1614</v>
      </c>
      <c r="J237" s="1" t="s">
        <v>204</v>
      </c>
      <c r="K237" s="1" t="s">
        <v>1615</v>
      </c>
    </row>
    <row r="238" spans="1:11" ht="30.75" customHeight="1">
      <c r="A238" s="1" t="s">
        <v>1616</v>
      </c>
      <c r="B238" s="1" t="s">
        <v>1617</v>
      </c>
      <c r="C238" s="1" t="s">
        <v>1618</v>
      </c>
      <c r="D238" s="1">
        <v>1</v>
      </c>
      <c r="E238" s="1" t="s">
        <v>1619</v>
      </c>
      <c r="F238" s="1" t="s">
        <v>201</v>
      </c>
      <c r="G238" s="45" t="s">
        <v>172</v>
      </c>
      <c r="H238" s="1" t="s">
        <v>1620</v>
      </c>
      <c r="I238" s="1" t="s">
        <v>1621</v>
      </c>
      <c r="J238" s="1" t="s">
        <v>204</v>
      </c>
      <c r="K238" s="1" t="s">
        <v>1622</v>
      </c>
    </row>
    <row r="239" spans="1:11" ht="30.75" customHeight="1">
      <c r="A239" s="1" t="s">
        <v>1623</v>
      </c>
      <c r="B239" s="1" t="s">
        <v>1624</v>
      </c>
      <c r="C239" s="1" t="s">
        <v>1625</v>
      </c>
      <c r="D239" s="1">
        <v>1</v>
      </c>
      <c r="E239" s="1" t="s">
        <v>1626</v>
      </c>
      <c r="F239" s="1" t="s">
        <v>201</v>
      </c>
      <c r="G239" s="45" t="s">
        <v>172</v>
      </c>
      <c r="H239" s="1" t="s">
        <v>1627</v>
      </c>
      <c r="I239" s="1" t="s">
        <v>1628</v>
      </c>
      <c r="J239" s="1" t="s">
        <v>204</v>
      </c>
      <c r="K239" s="1" t="s">
        <v>1629</v>
      </c>
    </row>
    <row r="240" spans="1:11" ht="30.75" customHeight="1">
      <c r="A240" s="1" t="s">
        <v>1630</v>
      </c>
      <c r="B240" s="1" t="s">
        <v>1631</v>
      </c>
      <c r="C240" s="1" t="s">
        <v>1630</v>
      </c>
      <c r="D240" s="1">
        <v>1</v>
      </c>
      <c r="E240" s="1" t="s">
        <v>1632</v>
      </c>
      <c r="F240" s="1" t="s">
        <v>201</v>
      </c>
      <c r="G240" s="45" t="s">
        <v>172</v>
      </c>
      <c r="H240" s="1" t="s">
        <v>1633</v>
      </c>
      <c r="I240" s="1" t="s">
        <v>1634</v>
      </c>
      <c r="J240" s="1" t="s">
        <v>204</v>
      </c>
      <c r="K240" s="1" t="s">
        <v>1635</v>
      </c>
    </row>
    <row r="241" spans="1:11" ht="30.75" customHeight="1">
      <c r="A241" s="1" t="s">
        <v>1636</v>
      </c>
      <c r="B241" s="1" t="s">
        <v>1637</v>
      </c>
      <c r="C241" s="1" t="s">
        <v>1636</v>
      </c>
      <c r="D241" s="1">
        <v>1</v>
      </c>
      <c r="E241" s="1" t="s">
        <v>1638</v>
      </c>
      <c r="F241" s="1" t="s">
        <v>201</v>
      </c>
      <c r="G241" s="45" t="s">
        <v>172</v>
      </c>
      <c r="H241" s="1" t="s">
        <v>1639</v>
      </c>
      <c r="I241" s="1" t="s">
        <v>1640</v>
      </c>
      <c r="J241" s="1" t="s">
        <v>204</v>
      </c>
      <c r="K241" s="1" t="s">
        <v>1641</v>
      </c>
    </row>
    <row r="242" spans="1:11" ht="30.75" customHeight="1">
      <c r="A242" s="1" t="s">
        <v>1642</v>
      </c>
      <c r="B242" s="1" t="s">
        <v>1643</v>
      </c>
      <c r="C242" s="1" t="s">
        <v>1644</v>
      </c>
      <c r="D242" s="1">
        <v>1</v>
      </c>
      <c r="E242" s="1" t="s">
        <v>1645</v>
      </c>
      <c r="F242" s="1" t="s">
        <v>201</v>
      </c>
      <c r="G242" s="45" t="s">
        <v>172</v>
      </c>
      <c r="H242" s="1" t="s">
        <v>1646</v>
      </c>
      <c r="I242" s="1" t="s">
        <v>1647</v>
      </c>
      <c r="J242" s="1" t="s">
        <v>204</v>
      </c>
      <c r="K242" s="1" t="s">
        <v>1648</v>
      </c>
    </row>
    <row r="243" spans="1:11" ht="30.75" customHeight="1">
      <c r="A243" s="1" t="s">
        <v>1649</v>
      </c>
      <c r="B243" s="1" t="s">
        <v>1650</v>
      </c>
      <c r="C243" s="1" t="s">
        <v>1649</v>
      </c>
      <c r="D243" s="1">
        <v>1</v>
      </c>
      <c r="E243" s="1" t="s">
        <v>1651</v>
      </c>
      <c r="F243" s="1" t="s">
        <v>567</v>
      </c>
      <c r="G243" s="45" t="s">
        <v>172</v>
      </c>
      <c r="H243" s="1" t="s">
        <v>1652</v>
      </c>
      <c r="I243" s="1" t="s">
        <v>1653</v>
      </c>
      <c r="J243" s="1" t="s">
        <v>204</v>
      </c>
      <c r="K243" s="1" t="s">
        <v>1654</v>
      </c>
    </row>
    <row r="244" spans="1:11" ht="30.75" customHeight="1">
      <c r="A244" s="1" t="s">
        <v>1655</v>
      </c>
      <c r="B244" s="1" t="s">
        <v>1656</v>
      </c>
      <c r="C244" s="1" t="s">
        <v>1657</v>
      </c>
      <c r="D244" s="1">
        <v>1</v>
      </c>
      <c r="E244" s="1" t="s">
        <v>1658</v>
      </c>
      <c r="F244" s="1" t="s">
        <v>201</v>
      </c>
      <c r="G244" s="45" t="s">
        <v>172</v>
      </c>
      <c r="H244" s="1" t="s">
        <v>1659</v>
      </c>
      <c r="I244" s="1" t="s">
        <v>1660</v>
      </c>
      <c r="J244" s="1" t="s">
        <v>204</v>
      </c>
      <c r="K244" s="1" t="s">
        <v>1661</v>
      </c>
    </row>
    <row r="245" spans="1:11" ht="30.75" customHeight="1">
      <c r="A245" s="1" t="s">
        <v>1662</v>
      </c>
      <c r="B245" s="1" t="s">
        <v>1663</v>
      </c>
      <c r="C245" s="1" t="s">
        <v>1664</v>
      </c>
      <c r="D245" s="1">
        <v>1</v>
      </c>
      <c r="E245" s="1" t="s">
        <v>1665</v>
      </c>
      <c r="F245" s="1" t="s">
        <v>201</v>
      </c>
      <c r="G245" s="45" t="s">
        <v>172</v>
      </c>
      <c r="H245" s="1" t="s">
        <v>1666</v>
      </c>
      <c r="I245" s="1" t="s">
        <v>1667</v>
      </c>
      <c r="J245" s="1" t="s">
        <v>204</v>
      </c>
      <c r="K245" s="1" t="s">
        <v>1668</v>
      </c>
    </row>
    <row r="246" spans="1:11" ht="30.75" customHeight="1">
      <c r="A246" s="1" t="s">
        <v>1669</v>
      </c>
      <c r="B246" s="1" t="s">
        <v>1670</v>
      </c>
      <c r="C246" s="1" t="s">
        <v>1671</v>
      </c>
      <c r="D246" s="1">
        <v>1</v>
      </c>
      <c r="E246" s="1" t="s">
        <v>1672</v>
      </c>
      <c r="F246" s="1" t="s">
        <v>201</v>
      </c>
      <c r="G246" s="45" t="s">
        <v>172</v>
      </c>
      <c r="H246" s="1" t="s">
        <v>1673</v>
      </c>
      <c r="I246" s="1" t="s">
        <v>1674</v>
      </c>
      <c r="J246" s="1" t="s">
        <v>204</v>
      </c>
      <c r="K246" s="1" t="s">
        <v>1675</v>
      </c>
    </row>
    <row r="247" spans="1:11" ht="30.75" customHeight="1">
      <c r="A247" s="1" t="s">
        <v>1676</v>
      </c>
      <c r="B247" s="1" t="s">
        <v>1677</v>
      </c>
      <c r="C247" s="1" t="s">
        <v>1678</v>
      </c>
      <c r="D247" s="1">
        <v>1</v>
      </c>
      <c r="E247" s="1" t="s">
        <v>1679</v>
      </c>
      <c r="F247" s="1" t="s">
        <v>201</v>
      </c>
      <c r="G247" s="45" t="s">
        <v>172</v>
      </c>
      <c r="H247" s="1" t="s">
        <v>1680</v>
      </c>
      <c r="I247" s="1" t="s">
        <v>1681</v>
      </c>
      <c r="J247" s="1" t="s">
        <v>204</v>
      </c>
      <c r="K247" s="1" t="s">
        <v>1682</v>
      </c>
    </row>
    <row r="248" spans="1:11" ht="30.75" customHeight="1">
      <c r="A248" s="1" t="s">
        <v>1683</v>
      </c>
      <c r="B248" s="1" t="s">
        <v>1684</v>
      </c>
      <c r="C248" s="1" t="s">
        <v>1685</v>
      </c>
      <c r="D248" s="1">
        <v>1</v>
      </c>
      <c r="E248" s="1" t="s">
        <v>1686</v>
      </c>
      <c r="F248" s="1" t="s">
        <v>201</v>
      </c>
      <c r="G248" s="45" t="s">
        <v>172</v>
      </c>
      <c r="H248" s="1" t="s">
        <v>1687</v>
      </c>
      <c r="I248" s="1" t="s">
        <v>1688</v>
      </c>
      <c r="J248" s="1" t="s">
        <v>204</v>
      </c>
      <c r="K248" s="1" t="s">
        <v>1689</v>
      </c>
    </row>
    <row r="249" spans="1:11" ht="30.75" customHeight="1">
      <c r="A249" s="1" t="s">
        <v>1690</v>
      </c>
      <c r="B249" s="1" t="s">
        <v>1691</v>
      </c>
      <c r="C249" s="1" t="s">
        <v>1692</v>
      </c>
      <c r="D249" s="1">
        <v>1</v>
      </c>
      <c r="E249" s="1" t="s">
        <v>1693</v>
      </c>
      <c r="F249" s="1" t="s">
        <v>201</v>
      </c>
      <c r="G249" s="45" t="s">
        <v>172</v>
      </c>
      <c r="H249" s="1" t="s">
        <v>1694</v>
      </c>
      <c r="I249" s="1" t="s">
        <v>530</v>
      </c>
      <c r="J249" s="1" t="s">
        <v>204</v>
      </c>
      <c r="K249" s="1" t="s">
        <v>531</v>
      </c>
    </row>
    <row r="250" spans="1:11" ht="30.75" customHeight="1">
      <c r="A250" s="1" t="s">
        <v>1695</v>
      </c>
      <c r="B250" s="1" t="s">
        <v>1696</v>
      </c>
      <c r="C250" s="1" t="s">
        <v>1697</v>
      </c>
      <c r="D250" s="1">
        <v>1</v>
      </c>
      <c r="E250" s="1" t="s">
        <v>1698</v>
      </c>
      <c r="F250" s="1" t="s">
        <v>567</v>
      </c>
      <c r="G250" s="45" t="s">
        <v>172</v>
      </c>
      <c r="H250" s="1" t="s">
        <v>1699</v>
      </c>
      <c r="I250" s="1" t="s">
        <v>530</v>
      </c>
      <c r="J250" s="1" t="s">
        <v>204</v>
      </c>
      <c r="K250" s="1" t="s">
        <v>531</v>
      </c>
    </row>
    <row r="251" spans="1:11" ht="30.75" customHeight="1">
      <c r="A251" s="1" t="s">
        <v>1700</v>
      </c>
      <c r="B251" s="1" t="s">
        <v>1701</v>
      </c>
      <c r="C251" s="1" t="s">
        <v>1702</v>
      </c>
      <c r="D251" s="1">
        <v>1</v>
      </c>
      <c r="E251" s="1" t="s">
        <v>1703</v>
      </c>
      <c r="F251" s="1" t="s">
        <v>201</v>
      </c>
      <c r="G251" s="45" t="s">
        <v>172</v>
      </c>
      <c r="H251" s="1" t="s">
        <v>1704</v>
      </c>
      <c r="I251" s="1" t="s">
        <v>1705</v>
      </c>
      <c r="J251" s="1" t="s">
        <v>204</v>
      </c>
      <c r="K251" s="1" t="s">
        <v>1706</v>
      </c>
    </row>
    <row r="252" spans="1:11" ht="30.75" customHeight="1">
      <c r="A252" s="1" t="s">
        <v>1707</v>
      </c>
      <c r="B252" s="1" t="s">
        <v>1708</v>
      </c>
      <c r="C252" s="1" t="s">
        <v>1707</v>
      </c>
      <c r="D252" s="1">
        <v>1</v>
      </c>
      <c r="E252" s="1" t="s">
        <v>1709</v>
      </c>
      <c r="F252" s="1" t="s">
        <v>201</v>
      </c>
      <c r="G252" s="45" t="s">
        <v>172</v>
      </c>
      <c r="H252" s="1" t="s">
        <v>1710</v>
      </c>
      <c r="I252" s="1" t="s">
        <v>1711</v>
      </c>
      <c r="J252" s="1" t="s">
        <v>204</v>
      </c>
      <c r="K252" s="1" t="s">
        <v>1712</v>
      </c>
    </row>
    <row r="253" spans="1:11" ht="30.75" customHeight="1">
      <c r="A253" s="1" t="s">
        <v>1713</v>
      </c>
      <c r="B253" s="1" t="s">
        <v>1714</v>
      </c>
      <c r="C253" s="1" t="s">
        <v>1715</v>
      </c>
      <c r="D253" s="1">
        <v>1</v>
      </c>
      <c r="E253" s="1" t="s">
        <v>1716</v>
      </c>
      <c r="F253" s="1" t="s">
        <v>201</v>
      </c>
      <c r="G253" s="45" t="s">
        <v>172</v>
      </c>
      <c r="H253" s="1" t="s">
        <v>1717</v>
      </c>
      <c r="I253" s="1" t="s">
        <v>1718</v>
      </c>
      <c r="J253" s="1" t="s">
        <v>204</v>
      </c>
      <c r="K253" s="1" t="s">
        <v>1719</v>
      </c>
    </row>
    <row r="254" spans="1:11" ht="30.75" customHeight="1">
      <c r="A254" s="1" t="s">
        <v>1720</v>
      </c>
      <c r="B254" s="1" t="s">
        <v>1721</v>
      </c>
      <c r="C254" s="1" t="s">
        <v>1722</v>
      </c>
      <c r="D254" s="1">
        <v>1</v>
      </c>
      <c r="E254" s="1" t="s">
        <v>1723</v>
      </c>
      <c r="F254" s="1" t="s">
        <v>201</v>
      </c>
      <c r="G254" s="45" t="s">
        <v>172</v>
      </c>
      <c r="H254" s="1" t="s">
        <v>1724</v>
      </c>
      <c r="I254" s="1" t="s">
        <v>1725</v>
      </c>
      <c r="J254" s="1" t="s">
        <v>204</v>
      </c>
      <c r="K254" s="1" t="s">
        <v>1726</v>
      </c>
    </row>
    <row r="255" spans="1:11" ht="30.75" customHeight="1">
      <c r="A255" s="1" t="s">
        <v>1727</v>
      </c>
      <c r="B255" s="1" t="s">
        <v>1728</v>
      </c>
      <c r="C255" s="1" t="s">
        <v>1727</v>
      </c>
      <c r="D255" s="1">
        <v>1</v>
      </c>
      <c r="E255" s="1" t="s">
        <v>1729</v>
      </c>
      <c r="F255" s="1" t="s">
        <v>201</v>
      </c>
      <c r="G255" s="45" t="s">
        <v>172</v>
      </c>
      <c r="H255" s="1" t="s">
        <v>1730</v>
      </c>
      <c r="I255" s="1" t="s">
        <v>1731</v>
      </c>
      <c r="J255" s="1" t="s">
        <v>204</v>
      </c>
      <c r="K255" s="1" t="s">
        <v>1732</v>
      </c>
    </row>
    <row r="256" spans="1:11" ht="30.75" customHeight="1">
      <c r="A256" s="1" t="s">
        <v>1733</v>
      </c>
      <c r="B256" s="1" t="s">
        <v>1734</v>
      </c>
      <c r="C256" s="1" t="s">
        <v>1733</v>
      </c>
      <c r="D256" s="1">
        <v>1</v>
      </c>
      <c r="E256" s="1" t="s">
        <v>1735</v>
      </c>
      <c r="F256" s="1" t="s">
        <v>201</v>
      </c>
      <c r="G256" s="45" t="s">
        <v>172</v>
      </c>
      <c r="H256" s="1" t="s">
        <v>1736</v>
      </c>
      <c r="I256" s="1" t="s">
        <v>1737</v>
      </c>
      <c r="J256" s="1" t="s">
        <v>204</v>
      </c>
      <c r="K256" s="1" t="s">
        <v>1738</v>
      </c>
    </row>
    <row r="257" spans="1:11" ht="30.75" customHeight="1">
      <c r="A257" s="1" t="s">
        <v>1739</v>
      </c>
      <c r="B257" s="1" t="s">
        <v>1740</v>
      </c>
      <c r="C257" s="1" t="s">
        <v>1739</v>
      </c>
      <c r="D257" s="1">
        <v>1</v>
      </c>
      <c r="E257" s="1" t="s">
        <v>1741</v>
      </c>
      <c r="F257" s="1" t="s">
        <v>201</v>
      </c>
      <c r="G257" s="45" t="s">
        <v>172</v>
      </c>
      <c r="H257" s="1" t="s">
        <v>1742</v>
      </c>
      <c r="I257" s="1" t="s">
        <v>1743</v>
      </c>
      <c r="J257" s="1" t="s">
        <v>204</v>
      </c>
      <c r="K257" s="1" t="s">
        <v>1744</v>
      </c>
    </row>
    <row r="258" spans="1:11" ht="30.75" customHeight="1">
      <c r="A258" s="1" t="s">
        <v>1745</v>
      </c>
      <c r="B258" s="1" t="s">
        <v>1746</v>
      </c>
      <c r="C258" s="1" t="s">
        <v>1745</v>
      </c>
      <c r="D258" s="1">
        <v>1</v>
      </c>
      <c r="E258" s="1" t="s">
        <v>1747</v>
      </c>
      <c r="F258" s="1" t="s">
        <v>201</v>
      </c>
      <c r="G258" s="45" t="s">
        <v>172</v>
      </c>
      <c r="H258" s="1" t="s">
        <v>1748</v>
      </c>
      <c r="I258" s="1" t="s">
        <v>1749</v>
      </c>
      <c r="J258" s="1" t="s">
        <v>204</v>
      </c>
      <c r="K258" s="1" t="s">
        <v>1750</v>
      </c>
    </row>
    <row r="259" spans="1:11" ht="30.75" customHeight="1">
      <c r="A259" s="1" t="s">
        <v>1751</v>
      </c>
      <c r="B259" s="1" t="s">
        <v>1752</v>
      </c>
      <c r="C259" s="1" t="s">
        <v>1753</v>
      </c>
      <c r="D259" s="1">
        <v>1</v>
      </c>
      <c r="E259" s="1" t="s">
        <v>1754</v>
      </c>
      <c r="F259" s="1" t="s">
        <v>201</v>
      </c>
      <c r="G259" s="45" t="s">
        <v>172</v>
      </c>
      <c r="H259" s="1" t="s">
        <v>1755</v>
      </c>
      <c r="I259" s="1" t="s">
        <v>1756</v>
      </c>
      <c r="J259" s="1" t="s">
        <v>204</v>
      </c>
      <c r="K259" s="1" t="s">
        <v>1757</v>
      </c>
    </row>
    <row r="260" spans="1:11" ht="30.75" customHeight="1">
      <c r="A260" s="1" t="s">
        <v>1758</v>
      </c>
      <c r="B260" s="1" t="s">
        <v>1759</v>
      </c>
      <c r="C260" s="1" t="s">
        <v>1760</v>
      </c>
      <c r="D260" s="1">
        <v>1</v>
      </c>
      <c r="E260" s="1" t="s">
        <v>1761</v>
      </c>
      <c r="F260" s="1" t="s">
        <v>201</v>
      </c>
      <c r="G260" s="45" t="s">
        <v>172</v>
      </c>
      <c r="H260" s="1" t="s">
        <v>1762</v>
      </c>
      <c r="I260" s="1" t="s">
        <v>1763</v>
      </c>
      <c r="J260" s="1" t="s">
        <v>204</v>
      </c>
      <c r="K260" s="1" t="s">
        <v>1764</v>
      </c>
    </row>
    <row r="261" spans="1:11" ht="30.75" customHeight="1">
      <c r="A261" s="1" t="s">
        <v>1765</v>
      </c>
      <c r="B261" s="1" t="s">
        <v>1766</v>
      </c>
      <c r="C261" s="1" t="s">
        <v>1767</v>
      </c>
      <c r="D261" s="1">
        <v>1</v>
      </c>
      <c r="E261" s="1" t="s">
        <v>1768</v>
      </c>
      <c r="F261" s="1" t="s">
        <v>201</v>
      </c>
      <c r="G261" s="45" t="s">
        <v>172</v>
      </c>
      <c r="H261" s="1" t="s">
        <v>1769</v>
      </c>
      <c r="I261" s="1" t="s">
        <v>1770</v>
      </c>
      <c r="J261" s="1" t="s">
        <v>204</v>
      </c>
      <c r="K261" s="1" t="s">
        <v>1771</v>
      </c>
    </row>
    <row r="262" spans="1:11" ht="30.75" customHeight="1">
      <c r="A262" s="1" t="s">
        <v>1772</v>
      </c>
      <c r="B262" s="1" t="s">
        <v>1773</v>
      </c>
      <c r="C262" s="1" t="s">
        <v>1772</v>
      </c>
      <c r="D262" s="1">
        <v>1</v>
      </c>
      <c r="E262" s="1" t="s">
        <v>1774</v>
      </c>
      <c r="F262" s="1" t="s">
        <v>201</v>
      </c>
      <c r="G262" s="45" t="s">
        <v>172</v>
      </c>
      <c r="H262" s="1" t="s">
        <v>1775</v>
      </c>
      <c r="I262" s="1" t="s">
        <v>1776</v>
      </c>
      <c r="J262" s="1" t="s">
        <v>204</v>
      </c>
      <c r="K262" s="1" t="s">
        <v>1777</v>
      </c>
    </row>
    <row r="263" spans="1:11" ht="30.75" customHeight="1">
      <c r="A263" s="1" t="s">
        <v>1778</v>
      </c>
      <c r="B263" s="1" t="s">
        <v>1779</v>
      </c>
      <c r="C263" s="1" t="s">
        <v>1778</v>
      </c>
      <c r="D263" s="1">
        <v>1</v>
      </c>
      <c r="E263" s="1" t="s">
        <v>1780</v>
      </c>
      <c r="F263" s="1" t="s">
        <v>201</v>
      </c>
      <c r="G263" s="45" t="s">
        <v>172</v>
      </c>
      <c r="H263" s="1" t="s">
        <v>1781</v>
      </c>
      <c r="I263" s="1" t="s">
        <v>1782</v>
      </c>
      <c r="J263" s="1" t="s">
        <v>204</v>
      </c>
      <c r="K263" s="1" t="s">
        <v>1783</v>
      </c>
    </row>
    <row r="264" spans="1:11" ht="30.75" customHeight="1">
      <c r="A264" s="1" t="s">
        <v>1784</v>
      </c>
      <c r="B264" s="1" t="s">
        <v>1785</v>
      </c>
      <c r="C264" s="1" t="s">
        <v>1786</v>
      </c>
      <c r="D264" s="1">
        <v>1</v>
      </c>
      <c r="E264" s="1" t="s">
        <v>1787</v>
      </c>
      <c r="F264" s="1" t="s">
        <v>201</v>
      </c>
      <c r="G264" s="45" t="s">
        <v>172</v>
      </c>
      <c r="H264" s="1" t="s">
        <v>1788</v>
      </c>
      <c r="I264" s="1" t="s">
        <v>1789</v>
      </c>
      <c r="J264" s="1" t="s">
        <v>204</v>
      </c>
      <c r="K264" s="1" t="s">
        <v>1790</v>
      </c>
    </row>
    <row r="265" spans="1:11" ht="30.75" customHeight="1">
      <c r="A265" s="1" t="s">
        <v>1791</v>
      </c>
      <c r="B265" s="1" t="s">
        <v>1792</v>
      </c>
      <c r="C265" s="1" t="s">
        <v>1793</v>
      </c>
      <c r="D265" s="1">
        <v>1</v>
      </c>
      <c r="E265" s="1" t="s">
        <v>1794</v>
      </c>
      <c r="F265" s="1" t="s">
        <v>201</v>
      </c>
      <c r="G265" s="45" t="s">
        <v>172</v>
      </c>
      <c r="H265" s="1" t="s">
        <v>1795</v>
      </c>
      <c r="I265" s="1" t="s">
        <v>1796</v>
      </c>
      <c r="J265" s="1" t="s">
        <v>204</v>
      </c>
      <c r="K265" s="1" t="s">
        <v>1797</v>
      </c>
    </row>
    <row r="266" spans="1:11" ht="30.75" customHeight="1">
      <c r="A266" s="1" t="s">
        <v>1798</v>
      </c>
      <c r="B266" s="1" t="s">
        <v>1799</v>
      </c>
      <c r="C266" s="1" t="s">
        <v>1800</v>
      </c>
      <c r="D266" s="1">
        <v>1</v>
      </c>
      <c r="E266" s="1" t="s">
        <v>1801</v>
      </c>
      <c r="F266" s="1" t="s">
        <v>201</v>
      </c>
      <c r="G266" s="45" t="s">
        <v>172</v>
      </c>
      <c r="H266" s="1" t="s">
        <v>1802</v>
      </c>
      <c r="I266" s="1" t="s">
        <v>1803</v>
      </c>
      <c r="J266" s="1" t="s">
        <v>204</v>
      </c>
      <c r="K266" s="1" t="s">
        <v>1804</v>
      </c>
    </row>
    <row r="267" spans="1:11" ht="30.75" customHeight="1">
      <c r="A267" s="1" t="s">
        <v>1805</v>
      </c>
      <c r="B267" s="1" t="s">
        <v>1806</v>
      </c>
      <c r="C267" s="1" t="s">
        <v>1807</v>
      </c>
      <c r="D267" s="1">
        <v>1</v>
      </c>
      <c r="E267" s="1" t="s">
        <v>1808</v>
      </c>
      <c r="F267" s="1" t="s">
        <v>201</v>
      </c>
      <c r="G267" s="45" t="s">
        <v>172</v>
      </c>
      <c r="H267" s="1" t="s">
        <v>1809</v>
      </c>
      <c r="I267" s="1" t="s">
        <v>1810</v>
      </c>
      <c r="J267" s="1" t="s">
        <v>204</v>
      </c>
      <c r="K267" s="1" t="s">
        <v>1811</v>
      </c>
    </row>
    <row r="268" spans="1:11" ht="30.75" customHeight="1">
      <c r="A268" s="1" t="s">
        <v>1812</v>
      </c>
      <c r="B268" s="1" t="s">
        <v>1813</v>
      </c>
      <c r="C268" s="1" t="s">
        <v>1814</v>
      </c>
      <c r="D268" s="1">
        <v>1</v>
      </c>
      <c r="E268" s="1" t="s">
        <v>1815</v>
      </c>
      <c r="F268" s="1" t="s">
        <v>201</v>
      </c>
      <c r="G268" s="45" t="s">
        <v>172</v>
      </c>
      <c r="H268" s="1" t="s">
        <v>1816</v>
      </c>
      <c r="I268" s="1" t="s">
        <v>1817</v>
      </c>
      <c r="J268" s="1" t="s">
        <v>204</v>
      </c>
      <c r="K268" s="1" t="s">
        <v>1818</v>
      </c>
    </row>
    <row r="269" spans="1:11" ht="30.75" customHeight="1">
      <c r="A269" s="1" t="s">
        <v>1819</v>
      </c>
      <c r="B269" s="1" t="s">
        <v>1820</v>
      </c>
      <c r="C269" s="1" t="s">
        <v>1821</v>
      </c>
      <c r="D269" s="1">
        <v>1</v>
      </c>
      <c r="E269" s="1" t="s">
        <v>1822</v>
      </c>
      <c r="F269" s="1" t="s">
        <v>201</v>
      </c>
      <c r="G269" s="45" t="s">
        <v>172</v>
      </c>
      <c r="H269" s="1" t="s">
        <v>1823</v>
      </c>
      <c r="I269" s="1" t="s">
        <v>1824</v>
      </c>
      <c r="J269" s="1" t="s">
        <v>204</v>
      </c>
      <c r="K269" s="1" t="s">
        <v>1825</v>
      </c>
    </row>
    <row r="270" spans="1:11" ht="30.75" customHeight="1">
      <c r="A270" s="1" t="s">
        <v>1826</v>
      </c>
      <c r="B270" s="1" t="s">
        <v>1827</v>
      </c>
      <c r="C270" s="1" t="s">
        <v>1828</v>
      </c>
      <c r="D270" s="1">
        <v>1</v>
      </c>
      <c r="E270" s="1" t="s">
        <v>1829</v>
      </c>
      <c r="F270" s="1" t="s">
        <v>201</v>
      </c>
      <c r="G270" s="45" t="s">
        <v>172</v>
      </c>
      <c r="H270" s="1" t="s">
        <v>1830</v>
      </c>
      <c r="I270" s="1" t="s">
        <v>1831</v>
      </c>
      <c r="J270" s="1" t="s">
        <v>204</v>
      </c>
      <c r="K270" s="1" t="s">
        <v>1832</v>
      </c>
    </row>
    <row r="271" spans="1:11" ht="30.75" customHeight="1">
      <c r="A271" s="1" t="s">
        <v>1833</v>
      </c>
      <c r="B271" s="1" t="s">
        <v>1834</v>
      </c>
      <c r="C271" s="1" t="s">
        <v>1835</v>
      </c>
      <c r="D271" s="1">
        <v>1</v>
      </c>
      <c r="E271" s="1" t="s">
        <v>1836</v>
      </c>
      <c r="F271" s="1" t="s">
        <v>201</v>
      </c>
      <c r="G271" s="45" t="s">
        <v>172</v>
      </c>
      <c r="H271" s="1" t="s">
        <v>1837</v>
      </c>
      <c r="I271" s="1" t="s">
        <v>1838</v>
      </c>
      <c r="J271" s="1" t="s">
        <v>204</v>
      </c>
      <c r="K271" s="1" t="s">
        <v>1839</v>
      </c>
    </row>
    <row r="272" spans="1:11" ht="30.75" customHeight="1">
      <c r="A272" s="1" t="s">
        <v>1840</v>
      </c>
      <c r="B272" s="1" t="s">
        <v>1841</v>
      </c>
      <c r="C272" s="1" t="s">
        <v>1840</v>
      </c>
      <c r="D272" s="1">
        <v>1</v>
      </c>
      <c r="E272" s="1" t="s">
        <v>1842</v>
      </c>
      <c r="F272" s="1" t="s">
        <v>201</v>
      </c>
      <c r="G272" s="45" t="s">
        <v>172</v>
      </c>
      <c r="H272" s="1" t="s">
        <v>1843</v>
      </c>
      <c r="I272" s="1" t="s">
        <v>1844</v>
      </c>
      <c r="J272" s="1" t="s">
        <v>204</v>
      </c>
      <c r="K272" s="1" t="s">
        <v>1845</v>
      </c>
    </row>
    <row r="273" spans="1:11" ht="30.75" customHeight="1">
      <c r="A273" s="1" t="s">
        <v>1846</v>
      </c>
      <c r="B273" s="1" t="s">
        <v>1847</v>
      </c>
      <c r="C273" s="1" t="s">
        <v>1848</v>
      </c>
      <c r="D273" s="1">
        <v>1</v>
      </c>
      <c r="E273" s="1" t="s">
        <v>1849</v>
      </c>
      <c r="F273" s="1" t="s">
        <v>201</v>
      </c>
      <c r="G273" s="45" t="s">
        <v>172</v>
      </c>
      <c r="H273" s="1" t="s">
        <v>1850</v>
      </c>
      <c r="I273" s="1" t="s">
        <v>1851</v>
      </c>
      <c r="J273" s="1" t="s">
        <v>204</v>
      </c>
      <c r="K273" s="1" t="s">
        <v>1852</v>
      </c>
    </row>
    <row r="274" spans="1:11" ht="30.75" customHeight="1">
      <c r="A274" s="1" t="s">
        <v>1853</v>
      </c>
      <c r="B274" s="1" t="s">
        <v>1854</v>
      </c>
      <c r="C274" s="1" t="s">
        <v>1855</v>
      </c>
      <c r="D274" s="1">
        <v>1</v>
      </c>
      <c r="E274" s="1" t="s">
        <v>1856</v>
      </c>
      <c r="F274" s="1" t="s">
        <v>201</v>
      </c>
      <c r="G274" s="45" t="s">
        <v>172</v>
      </c>
      <c r="H274" s="1" t="s">
        <v>1857</v>
      </c>
      <c r="I274" s="1" t="s">
        <v>1858</v>
      </c>
      <c r="J274" s="1" t="s">
        <v>204</v>
      </c>
      <c r="K274" s="1" t="s">
        <v>1859</v>
      </c>
    </row>
    <row r="275" spans="1:11" ht="30.75" customHeight="1">
      <c r="A275" s="1" t="s">
        <v>1860</v>
      </c>
      <c r="B275" s="1" t="s">
        <v>1861</v>
      </c>
      <c r="C275" s="1" t="s">
        <v>1862</v>
      </c>
      <c r="D275" s="1">
        <v>1</v>
      </c>
      <c r="E275" s="1" t="s">
        <v>1863</v>
      </c>
      <c r="F275" s="1" t="s">
        <v>201</v>
      </c>
      <c r="G275" s="45" t="s">
        <v>172</v>
      </c>
      <c r="H275" s="1" t="s">
        <v>1864</v>
      </c>
      <c r="I275" s="1" t="s">
        <v>1865</v>
      </c>
      <c r="J275" s="1" t="s">
        <v>204</v>
      </c>
      <c r="K275" s="1" t="s">
        <v>1866</v>
      </c>
    </row>
    <row r="276" spans="1:11" ht="30.75" customHeight="1">
      <c r="A276" s="1" t="s">
        <v>1867</v>
      </c>
      <c r="B276" s="1" t="s">
        <v>1868</v>
      </c>
      <c r="C276" s="1" t="s">
        <v>1869</v>
      </c>
      <c r="D276" s="1">
        <v>1</v>
      </c>
      <c r="E276" s="1" t="s">
        <v>1870</v>
      </c>
      <c r="F276" s="1" t="s">
        <v>201</v>
      </c>
      <c r="G276" s="45" t="s">
        <v>172</v>
      </c>
      <c r="H276" s="1" t="s">
        <v>1871</v>
      </c>
      <c r="I276" s="1" t="s">
        <v>1872</v>
      </c>
      <c r="J276" s="1" t="s">
        <v>204</v>
      </c>
      <c r="K276" s="1" t="s">
        <v>1873</v>
      </c>
    </row>
    <row r="277" spans="1:11" ht="30.75" customHeight="1">
      <c r="A277" s="1" t="s">
        <v>1874</v>
      </c>
      <c r="B277" s="1" t="s">
        <v>1875</v>
      </c>
      <c r="C277" s="1" t="s">
        <v>1876</v>
      </c>
      <c r="D277" s="1">
        <v>1</v>
      </c>
      <c r="E277" s="1" t="s">
        <v>1877</v>
      </c>
      <c r="F277" s="1" t="s">
        <v>201</v>
      </c>
      <c r="G277" s="45" t="s">
        <v>172</v>
      </c>
      <c r="H277" s="1" t="s">
        <v>1878</v>
      </c>
      <c r="I277" s="1" t="s">
        <v>1879</v>
      </c>
      <c r="J277" s="1" t="s">
        <v>204</v>
      </c>
      <c r="K277" s="1" t="s">
        <v>1880</v>
      </c>
    </row>
    <row r="278" spans="1:11" ht="30.75" customHeight="1">
      <c r="A278" s="1" t="s">
        <v>1881</v>
      </c>
      <c r="B278" s="1" t="s">
        <v>1882</v>
      </c>
      <c r="C278" s="1" t="s">
        <v>1498</v>
      </c>
      <c r="D278" s="1">
        <v>1</v>
      </c>
      <c r="E278" s="1" t="s">
        <v>1883</v>
      </c>
      <c r="F278" s="1" t="s">
        <v>372</v>
      </c>
      <c r="G278" s="45" t="s">
        <v>172</v>
      </c>
      <c r="H278" s="1" t="s">
        <v>1884</v>
      </c>
      <c r="I278" s="1" t="s">
        <v>1885</v>
      </c>
      <c r="J278" s="1" t="s">
        <v>204</v>
      </c>
      <c r="K278" s="1" t="s">
        <v>1886</v>
      </c>
    </row>
    <row r="279" spans="1:11" ht="30.75" customHeight="1">
      <c r="A279" s="1" t="s">
        <v>1887</v>
      </c>
      <c r="B279" s="1" t="s">
        <v>1888</v>
      </c>
      <c r="C279" s="1" t="s">
        <v>1889</v>
      </c>
      <c r="D279" s="1">
        <v>1</v>
      </c>
      <c r="E279" s="1" t="s">
        <v>1890</v>
      </c>
      <c r="F279" s="1" t="s">
        <v>201</v>
      </c>
      <c r="G279" s="45" t="s">
        <v>172</v>
      </c>
      <c r="H279" s="1" t="s">
        <v>1891</v>
      </c>
      <c r="I279" s="1" t="s">
        <v>1892</v>
      </c>
      <c r="J279" s="1" t="s">
        <v>204</v>
      </c>
      <c r="K279" s="1" t="s">
        <v>1893</v>
      </c>
    </row>
    <row r="280" spans="1:11" ht="30.75" customHeight="1">
      <c r="A280" s="1" t="s">
        <v>1894</v>
      </c>
      <c r="B280" s="1" t="s">
        <v>1895</v>
      </c>
      <c r="C280" s="1" t="s">
        <v>1896</v>
      </c>
      <c r="D280" s="1">
        <v>1</v>
      </c>
      <c r="E280" s="1" t="s">
        <v>1897</v>
      </c>
      <c r="F280" s="1" t="s">
        <v>201</v>
      </c>
      <c r="G280" s="45" t="s">
        <v>172</v>
      </c>
      <c r="H280" s="1" t="s">
        <v>1898</v>
      </c>
      <c r="I280" s="1" t="s">
        <v>530</v>
      </c>
      <c r="J280" s="1" t="s">
        <v>204</v>
      </c>
      <c r="K280" s="1" t="s">
        <v>531</v>
      </c>
    </row>
    <row r="281" spans="1:11" ht="30.75" customHeight="1">
      <c r="A281" s="1" t="s">
        <v>1899</v>
      </c>
      <c r="B281" s="1" t="s">
        <v>1900</v>
      </c>
      <c r="C281" s="1" t="s">
        <v>1901</v>
      </c>
      <c r="D281" s="1">
        <v>1</v>
      </c>
      <c r="E281" s="1" t="s">
        <v>1902</v>
      </c>
      <c r="F281" s="1" t="s">
        <v>201</v>
      </c>
      <c r="G281" s="45" t="s">
        <v>172</v>
      </c>
      <c r="H281" s="1" t="s">
        <v>1903</v>
      </c>
      <c r="I281" s="1" t="s">
        <v>1904</v>
      </c>
      <c r="J281" s="1" t="s">
        <v>204</v>
      </c>
      <c r="K281" s="1" t="s">
        <v>1905</v>
      </c>
    </row>
    <row r="282" spans="1:11" ht="30.75" customHeight="1">
      <c r="A282" s="1" t="s">
        <v>1906</v>
      </c>
      <c r="B282" s="1" t="s">
        <v>1907</v>
      </c>
      <c r="C282" s="1" t="s">
        <v>1908</v>
      </c>
      <c r="D282" s="1">
        <v>1</v>
      </c>
      <c r="E282" s="1" t="s">
        <v>1909</v>
      </c>
      <c r="F282" s="1" t="s">
        <v>201</v>
      </c>
      <c r="G282" s="45" t="s">
        <v>172</v>
      </c>
      <c r="H282" s="1" t="s">
        <v>1910</v>
      </c>
      <c r="I282" s="1" t="s">
        <v>1911</v>
      </c>
      <c r="J282" s="1" t="s">
        <v>204</v>
      </c>
      <c r="K282" s="1" t="s">
        <v>1912</v>
      </c>
    </row>
    <row r="283" spans="1:11" ht="30.75" customHeight="1">
      <c r="A283" s="1" t="s">
        <v>1913</v>
      </c>
      <c r="B283" s="1" t="s">
        <v>1914</v>
      </c>
      <c r="C283" s="1" t="s">
        <v>1915</v>
      </c>
      <c r="D283" s="1">
        <v>1</v>
      </c>
      <c r="E283" s="1" t="s">
        <v>1916</v>
      </c>
      <c r="F283" s="1" t="s">
        <v>201</v>
      </c>
      <c r="G283" s="45" t="s">
        <v>172</v>
      </c>
      <c r="H283" s="1" t="s">
        <v>1917</v>
      </c>
      <c r="I283" s="1" t="s">
        <v>1918</v>
      </c>
      <c r="J283" s="1" t="s">
        <v>204</v>
      </c>
      <c r="K283" s="1" t="s">
        <v>1919</v>
      </c>
    </row>
    <row r="284" spans="1:11" ht="30.75" customHeight="1">
      <c r="A284" s="1" t="s">
        <v>1920</v>
      </c>
      <c r="B284" s="1" t="s">
        <v>1921</v>
      </c>
      <c r="C284" s="1" t="s">
        <v>1922</v>
      </c>
      <c r="D284" s="1">
        <v>1</v>
      </c>
      <c r="E284" s="1" t="s">
        <v>1923</v>
      </c>
      <c r="F284" s="1" t="s">
        <v>201</v>
      </c>
      <c r="G284" s="45" t="s">
        <v>172</v>
      </c>
      <c r="H284" s="1" t="s">
        <v>1924</v>
      </c>
      <c r="I284" s="1" t="s">
        <v>1925</v>
      </c>
      <c r="J284" s="1" t="s">
        <v>204</v>
      </c>
      <c r="K284" s="1" t="s">
        <v>1926</v>
      </c>
    </row>
    <row r="285" spans="1:11" ht="30.75" customHeight="1">
      <c r="A285" s="1" t="s">
        <v>1927</v>
      </c>
      <c r="B285" s="1" t="s">
        <v>1928</v>
      </c>
      <c r="C285" s="1" t="s">
        <v>1929</v>
      </c>
      <c r="D285" s="1">
        <v>1</v>
      </c>
      <c r="E285" s="1" t="s">
        <v>1930</v>
      </c>
      <c r="F285" s="1" t="s">
        <v>567</v>
      </c>
      <c r="G285" s="45" t="s">
        <v>172</v>
      </c>
      <c r="H285" s="1" t="s">
        <v>1931</v>
      </c>
      <c r="I285" s="1" t="s">
        <v>1932</v>
      </c>
      <c r="J285" s="1" t="s">
        <v>204</v>
      </c>
      <c r="K285" s="1" t="s">
        <v>1933</v>
      </c>
    </row>
    <row r="286" spans="1:11" ht="30.75" customHeight="1">
      <c r="A286" s="1" t="s">
        <v>1934</v>
      </c>
      <c r="B286" s="1" t="s">
        <v>1935</v>
      </c>
      <c r="C286" s="1" t="s">
        <v>791</v>
      </c>
      <c r="D286" s="1">
        <v>1</v>
      </c>
      <c r="E286" s="1" t="s">
        <v>1936</v>
      </c>
      <c r="F286" s="1" t="s">
        <v>201</v>
      </c>
      <c r="G286" s="45" t="s">
        <v>172</v>
      </c>
      <c r="H286" s="1" t="s">
        <v>1937</v>
      </c>
      <c r="I286" s="1" t="s">
        <v>1938</v>
      </c>
      <c r="J286" s="1" t="s">
        <v>204</v>
      </c>
      <c r="K286" s="1" t="s">
        <v>1939</v>
      </c>
    </row>
    <row r="287" spans="1:11" ht="30.75" customHeight="1">
      <c r="A287" s="1" t="s">
        <v>1940</v>
      </c>
      <c r="B287" s="1" t="s">
        <v>1941</v>
      </c>
      <c r="C287" s="1" t="s">
        <v>1942</v>
      </c>
      <c r="D287" s="1">
        <v>1</v>
      </c>
      <c r="E287" s="1" t="s">
        <v>1943</v>
      </c>
      <c r="F287" s="1" t="s">
        <v>201</v>
      </c>
      <c r="G287" s="45" t="s">
        <v>172</v>
      </c>
      <c r="H287" s="1" t="s">
        <v>1944</v>
      </c>
      <c r="I287" s="1" t="s">
        <v>1945</v>
      </c>
      <c r="J287" s="1" t="s">
        <v>204</v>
      </c>
      <c r="K287" s="1" t="s">
        <v>1946</v>
      </c>
    </row>
    <row r="288" spans="1:11" ht="30.75" customHeight="1">
      <c r="A288" s="1" t="s">
        <v>1947</v>
      </c>
      <c r="B288" s="1" t="s">
        <v>1948</v>
      </c>
      <c r="C288" s="1" t="s">
        <v>1949</v>
      </c>
      <c r="D288" s="1">
        <v>1</v>
      </c>
      <c r="E288" s="1" t="s">
        <v>1950</v>
      </c>
      <c r="F288" s="1" t="s">
        <v>201</v>
      </c>
      <c r="G288" s="45" t="s">
        <v>172</v>
      </c>
      <c r="H288" s="1" t="s">
        <v>1951</v>
      </c>
      <c r="I288" s="1" t="s">
        <v>1952</v>
      </c>
      <c r="J288" s="1" t="s">
        <v>204</v>
      </c>
      <c r="K288" s="1" t="s">
        <v>1953</v>
      </c>
    </row>
    <row r="289" spans="1:11" ht="30.75" customHeight="1">
      <c r="A289" s="1" t="s">
        <v>1954</v>
      </c>
      <c r="B289" s="1" t="s">
        <v>1955</v>
      </c>
      <c r="C289" s="1" t="s">
        <v>1954</v>
      </c>
      <c r="D289" s="1">
        <v>1</v>
      </c>
      <c r="E289" s="1" t="s">
        <v>1956</v>
      </c>
      <c r="F289" s="1" t="s">
        <v>201</v>
      </c>
      <c r="G289" s="45" t="s">
        <v>172</v>
      </c>
      <c r="H289" s="1" t="s">
        <v>1957</v>
      </c>
      <c r="I289" s="1" t="s">
        <v>1958</v>
      </c>
      <c r="J289" s="1" t="s">
        <v>204</v>
      </c>
      <c r="K289" s="1" t="s">
        <v>1959</v>
      </c>
    </row>
    <row r="290" spans="1:11" ht="30.75" customHeight="1">
      <c r="A290" s="1" t="s">
        <v>1960</v>
      </c>
      <c r="B290" s="1" t="s">
        <v>1961</v>
      </c>
      <c r="C290" s="1" t="s">
        <v>1960</v>
      </c>
      <c r="D290" s="1">
        <v>1</v>
      </c>
      <c r="E290" s="1" t="s">
        <v>1962</v>
      </c>
      <c r="F290" s="1" t="s">
        <v>201</v>
      </c>
      <c r="G290" s="45" t="s">
        <v>172</v>
      </c>
      <c r="H290" s="1" t="s">
        <v>1963</v>
      </c>
      <c r="I290" s="1" t="s">
        <v>1964</v>
      </c>
      <c r="J290" s="1" t="s">
        <v>204</v>
      </c>
      <c r="K290" s="1" t="s">
        <v>1965</v>
      </c>
    </row>
    <row r="291" spans="1:11" ht="30.75" customHeight="1">
      <c r="A291" s="1" t="s">
        <v>1966</v>
      </c>
      <c r="B291" s="1" t="s">
        <v>1967</v>
      </c>
      <c r="C291" s="1" t="s">
        <v>1968</v>
      </c>
      <c r="D291" s="1">
        <v>1</v>
      </c>
      <c r="E291" s="1" t="s">
        <v>1969</v>
      </c>
      <c r="F291" s="1" t="s">
        <v>201</v>
      </c>
      <c r="G291" s="45" t="s">
        <v>172</v>
      </c>
      <c r="H291" s="1" t="s">
        <v>1970</v>
      </c>
      <c r="I291" s="1" t="s">
        <v>1971</v>
      </c>
      <c r="J291" s="1" t="s">
        <v>204</v>
      </c>
      <c r="K291" s="1" t="s">
        <v>1972</v>
      </c>
    </row>
    <row r="292" spans="1:11" ht="30.75" customHeight="1">
      <c r="A292" s="1" t="s">
        <v>1973</v>
      </c>
      <c r="B292" s="1" t="s">
        <v>1974</v>
      </c>
      <c r="C292" s="1" t="s">
        <v>1973</v>
      </c>
      <c r="D292" s="1">
        <v>1</v>
      </c>
      <c r="E292" s="1" t="s">
        <v>1975</v>
      </c>
      <c r="F292" s="1" t="s">
        <v>201</v>
      </c>
      <c r="G292" s="45" t="s">
        <v>172</v>
      </c>
      <c r="H292" s="1" t="s">
        <v>1976</v>
      </c>
      <c r="I292" s="1" t="s">
        <v>1977</v>
      </c>
      <c r="J292" s="1" t="s">
        <v>204</v>
      </c>
      <c r="K292" s="1" t="s">
        <v>205</v>
      </c>
    </row>
    <row r="293" spans="1:11" ht="30.75" customHeight="1">
      <c r="A293" s="1" t="s">
        <v>1978</v>
      </c>
      <c r="B293" s="1" t="s">
        <v>1979</v>
      </c>
      <c r="C293" s="1" t="s">
        <v>1980</v>
      </c>
      <c r="D293" s="1">
        <v>1</v>
      </c>
      <c r="E293" s="1" t="s">
        <v>1981</v>
      </c>
      <c r="F293" s="1" t="s">
        <v>201</v>
      </c>
      <c r="G293" s="45" t="s">
        <v>172</v>
      </c>
      <c r="H293" s="1" t="s">
        <v>1982</v>
      </c>
      <c r="I293" s="1" t="s">
        <v>1983</v>
      </c>
      <c r="J293" s="1" t="s">
        <v>204</v>
      </c>
      <c r="K293" s="1" t="s">
        <v>1984</v>
      </c>
    </row>
    <row r="294" spans="1:11" ht="30.75" customHeight="1">
      <c r="A294" s="1" t="s">
        <v>1985</v>
      </c>
      <c r="B294" s="1" t="s">
        <v>1986</v>
      </c>
      <c r="C294" s="1" t="s">
        <v>1987</v>
      </c>
      <c r="D294" s="1">
        <v>1</v>
      </c>
      <c r="E294" s="1" t="s">
        <v>1988</v>
      </c>
      <c r="F294" s="1" t="s">
        <v>201</v>
      </c>
      <c r="G294" s="45" t="s">
        <v>172</v>
      </c>
      <c r="H294" s="1" t="s">
        <v>1989</v>
      </c>
      <c r="I294" s="1" t="s">
        <v>1990</v>
      </c>
      <c r="J294" s="1" t="s">
        <v>204</v>
      </c>
      <c r="K294" s="1" t="s">
        <v>625</v>
      </c>
    </row>
    <row r="295" spans="1:11" ht="30.75" customHeight="1">
      <c r="A295" s="1" t="s">
        <v>1991</v>
      </c>
      <c r="B295" s="1" t="s">
        <v>1992</v>
      </c>
      <c r="C295" s="1" t="s">
        <v>1993</v>
      </c>
      <c r="D295" s="1">
        <v>1</v>
      </c>
      <c r="E295" s="1" t="s">
        <v>1994</v>
      </c>
      <c r="F295" s="1" t="s">
        <v>201</v>
      </c>
      <c r="G295" s="45" t="s">
        <v>172</v>
      </c>
      <c r="H295" s="1" t="s">
        <v>1995</v>
      </c>
      <c r="I295" s="1" t="s">
        <v>1996</v>
      </c>
      <c r="J295" s="1" t="s">
        <v>204</v>
      </c>
      <c r="K295" s="1" t="s">
        <v>625</v>
      </c>
    </row>
    <row r="296" spans="1:11" ht="30.75" customHeight="1">
      <c r="A296" s="1" t="s">
        <v>1997</v>
      </c>
      <c r="B296" s="1" t="s">
        <v>1998</v>
      </c>
      <c r="C296" s="1" t="s">
        <v>1999</v>
      </c>
      <c r="D296" s="1">
        <v>1</v>
      </c>
      <c r="E296" s="1" t="s">
        <v>2000</v>
      </c>
      <c r="F296" s="1" t="s">
        <v>201</v>
      </c>
      <c r="G296" s="45" t="s">
        <v>172</v>
      </c>
      <c r="H296" s="1" t="s">
        <v>2001</v>
      </c>
      <c r="I296" s="1" t="s">
        <v>2002</v>
      </c>
      <c r="J296" s="1" t="s">
        <v>204</v>
      </c>
      <c r="K296" s="1" t="s">
        <v>2003</v>
      </c>
    </row>
    <row r="297" spans="1:11" ht="30.75" customHeight="1">
      <c r="A297" s="1" t="s">
        <v>2004</v>
      </c>
      <c r="B297" s="1" t="s">
        <v>2005</v>
      </c>
      <c r="C297" s="1" t="s">
        <v>2006</v>
      </c>
      <c r="D297" s="1">
        <v>1</v>
      </c>
      <c r="E297" s="1" t="s">
        <v>2007</v>
      </c>
      <c r="F297" s="1" t="s">
        <v>201</v>
      </c>
      <c r="G297" s="45" t="s">
        <v>172</v>
      </c>
      <c r="H297" s="1" t="s">
        <v>2008</v>
      </c>
      <c r="I297" s="1" t="s">
        <v>2009</v>
      </c>
      <c r="J297" s="1" t="s">
        <v>204</v>
      </c>
      <c r="K297" s="1" t="s">
        <v>2010</v>
      </c>
    </row>
    <row r="298" spans="1:11" ht="30.75" customHeight="1">
      <c r="A298" s="1" t="s">
        <v>2011</v>
      </c>
      <c r="B298" s="1" t="s">
        <v>2012</v>
      </c>
      <c r="C298" s="1" t="s">
        <v>2013</v>
      </c>
      <c r="D298" s="1">
        <v>1</v>
      </c>
      <c r="E298" s="1" t="s">
        <v>2014</v>
      </c>
      <c r="F298" s="1" t="s">
        <v>201</v>
      </c>
      <c r="G298" s="45" t="s">
        <v>172</v>
      </c>
      <c r="H298" s="1" t="s">
        <v>2015</v>
      </c>
      <c r="I298" s="1" t="s">
        <v>2016</v>
      </c>
      <c r="J298" s="1" t="s">
        <v>204</v>
      </c>
      <c r="K298" s="1" t="s">
        <v>2017</v>
      </c>
    </row>
    <row r="299" spans="1:11" ht="30.75" customHeight="1">
      <c r="A299" s="1" t="s">
        <v>2018</v>
      </c>
      <c r="B299" s="1" t="s">
        <v>2019</v>
      </c>
      <c r="C299" s="1" t="s">
        <v>2020</v>
      </c>
      <c r="D299" s="1">
        <v>1</v>
      </c>
      <c r="E299" s="1" t="s">
        <v>2021</v>
      </c>
      <c r="F299" s="1" t="s">
        <v>201</v>
      </c>
      <c r="G299" s="45" t="s">
        <v>172</v>
      </c>
      <c r="H299" s="1" t="s">
        <v>2022</v>
      </c>
      <c r="I299" s="1" t="s">
        <v>2023</v>
      </c>
      <c r="J299" s="1" t="s">
        <v>204</v>
      </c>
      <c r="K299" s="1" t="s">
        <v>2024</v>
      </c>
    </row>
    <row r="300" spans="1:11" ht="30.75" customHeight="1">
      <c r="A300" s="1" t="s">
        <v>2025</v>
      </c>
      <c r="B300" s="1" t="s">
        <v>2026</v>
      </c>
      <c r="C300" s="1" t="s">
        <v>2027</v>
      </c>
      <c r="D300" s="1">
        <v>1</v>
      </c>
      <c r="E300" s="1" t="s">
        <v>2028</v>
      </c>
      <c r="F300" s="1" t="s">
        <v>201</v>
      </c>
      <c r="G300" s="45" t="s">
        <v>172</v>
      </c>
      <c r="H300" s="1" t="s">
        <v>2029</v>
      </c>
      <c r="I300" s="1" t="s">
        <v>2030</v>
      </c>
      <c r="J300" s="1" t="s">
        <v>204</v>
      </c>
      <c r="K300" s="1" t="s">
        <v>2031</v>
      </c>
    </row>
    <row r="301" spans="1:11" ht="30.75" customHeight="1">
      <c r="A301" s="1" t="s">
        <v>2032</v>
      </c>
      <c r="B301" s="1" t="s">
        <v>2033</v>
      </c>
      <c r="C301" s="1" t="s">
        <v>2034</v>
      </c>
      <c r="D301" s="1">
        <v>1</v>
      </c>
      <c r="E301" s="1" t="s">
        <v>2035</v>
      </c>
      <c r="F301" s="1" t="s">
        <v>201</v>
      </c>
      <c r="G301" s="45" t="s">
        <v>172</v>
      </c>
      <c r="H301" s="1" t="s">
        <v>2036</v>
      </c>
      <c r="I301" s="1" t="s">
        <v>2037</v>
      </c>
      <c r="J301" s="1" t="s">
        <v>204</v>
      </c>
      <c r="K301" s="1" t="s">
        <v>2038</v>
      </c>
    </row>
    <row r="302" spans="1:11" ht="30.75" customHeight="1">
      <c r="A302" s="1" t="s">
        <v>2039</v>
      </c>
      <c r="B302" s="1" t="s">
        <v>2040</v>
      </c>
      <c r="C302" s="1" t="s">
        <v>2041</v>
      </c>
      <c r="D302" s="1">
        <v>1</v>
      </c>
      <c r="E302" s="1" t="s">
        <v>2042</v>
      </c>
      <c r="F302" s="1" t="s">
        <v>201</v>
      </c>
      <c r="G302" s="45" t="s">
        <v>172</v>
      </c>
      <c r="H302" s="1" t="s">
        <v>2043</v>
      </c>
      <c r="I302" s="1" t="s">
        <v>2044</v>
      </c>
      <c r="J302" s="1" t="s">
        <v>204</v>
      </c>
      <c r="K302" s="1" t="s">
        <v>2045</v>
      </c>
    </row>
    <row r="303" spans="1:11" ht="30.75" customHeight="1">
      <c r="A303" s="1" t="s">
        <v>2046</v>
      </c>
      <c r="B303" s="1" t="s">
        <v>2047</v>
      </c>
      <c r="C303" s="1" t="s">
        <v>2046</v>
      </c>
      <c r="D303" s="1">
        <v>1</v>
      </c>
      <c r="E303" s="1" t="s">
        <v>2048</v>
      </c>
      <c r="F303" s="1" t="s">
        <v>201</v>
      </c>
      <c r="G303" s="45" t="s">
        <v>172</v>
      </c>
      <c r="H303" s="1" t="s">
        <v>2049</v>
      </c>
      <c r="I303" s="1" t="s">
        <v>2050</v>
      </c>
      <c r="J303" s="1" t="s">
        <v>204</v>
      </c>
      <c r="K303" s="1" t="s">
        <v>2051</v>
      </c>
    </row>
    <row r="304" spans="1:11" ht="30.75" customHeight="1">
      <c r="A304" s="1" t="s">
        <v>2052</v>
      </c>
      <c r="B304" s="1" t="s">
        <v>2053</v>
      </c>
      <c r="C304" s="1" t="s">
        <v>2054</v>
      </c>
      <c r="D304" s="1">
        <v>1</v>
      </c>
      <c r="E304" s="1" t="s">
        <v>2055</v>
      </c>
      <c r="F304" s="1" t="s">
        <v>201</v>
      </c>
      <c r="G304" s="45" t="s">
        <v>172</v>
      </c>
      <c r="H304" s="1" t="s">
        <v>2056</v>
      </c>
      <c r="I304" s="1" t="s">
        <v>2057</v>
      </c>
      <c r="J304" s="1" t="s">
        <v>204</v>
      </c>
      <c r="K304" s="1" t="s">
        <v>205</v>
      </c>
    </row>
    <row r="305" spans="1:11" ht="30.75" customHeight="1">
      <c r="A305" s="1" t="s">
        <v>2058</v>
      </c>
      <c r="B305" s="1" t="s">
        <v>2059</v>
      </c>
      <c r="C305" s="1" t="s">
        <v>2060</v>
      </c>
      <c r="D305" s="1">
        <v>1</v>
      </c>
      <c r="E305" s="1" t="s">
        <v>2061</v>
      </c>
      <c r="F305" s="1" t="s">
        <v>201</v>
      </c>
      <c r="G305" s="45" t="s">
        <v>172</v>
      </c>
      <c r="H305" s="1" t="s">
        <v>2062</v>
      </c>
      <c r="I305" s="1" t="s">
        <v>2063</v>
      </c>
      <c r="J305" s="1" t="s">
        <v>204</v>
      </c>
      <c r="K305" s="1" t="s">
        <v>205</v>
      </c>
    </row>
    <row r="306" spans="1:11" ht="30.75" customHeight="1">
      <c r="A306" s="1" t="s">
        <v>2064</v>
      </c>
      <c r="B306" s="1" t="s">
        <v>2065</v>
      </c>
      <c r="C306" s="1" t="s">
        <v>2066</v>
      </c>
      <c r="D306" s="1">
        <v>1</v>
      </c>
      <c r="E306" s="1" t="s">
        <v>2067</v>
      </c>
      <c r="F306" s="1" t="s">
        <v>201</v>
      </c>
      <c r="G306" s="45" t="s">
        <v>172</v>
      </c>
      <c r="H306" s="1" t="s">
        <v>2068</v>
      </c>
      <c r="I306" s="1" t="s">
        <v>2069</v>
      </c>
      <c r="J306" s="1" t="s">
        <v>204</v>
      </c>
      <c r="K306" s="1" t="s">
        <v>205</v>
      </c>
    </row>
    <row r="307" spans="1:11" ht="30.75" customHeight="1">
      <c r="A307" s="1" t="s">
        <v>2070</v>
      </c>
      <c r="B307" s="1" t="s">
        <v>2071</v>
      </c>
      <c r="C307" s="1" t="s">
        <v>2070</v>
      </c>
      <c r="D307" s="1">
        <v>1</v>
      </c>
      <c r="E307" s="1" t="s">
        <v>2072</v>
      </c>
      <c r="F307" s="1" t="s">
        <v>201</v>
      </c>
      <c r="G307" s="45" t="s">
        <v>172</v>
      </c>
      <c r="H307" s="1" t="s">
        <v>2073</v>
      </c>
      <c r="I307" s="1" t="s">
        <v>2074</v>
      </c>
      <c r="J307" s="1" t="s">
        <v>204</v>
      </c>
      <c r="K307" s="1" t="s">
        <v>205</v>
      </c>
    </row>
    <row r="308" spans="1:11" ht="30.75" customHeight="1">
      <c r="A308" s="1" t="s">
        <v>2075</v>
      </c>
      <c r="B308" s="1" t="s">
        <v>2076</v>
      </c>
      <c r="C308" s="1" t="s">
        <v>2075</v>
      </c>
      <c r="D308" s="1">
        <v>1</v>
      </c>
      <c r="E308" s="1" t="s">
        <v>2077</v>
      </c>
      <c r="F308" s="1" t="s">
        <v>201</v>
      </c>
      <c r="G308" s="45" t="s">
        <v>172</v>
      </c>
      <c r="H308" s="1" t="s">
        <v>2078</v>
      </c>
      <c r="I308" s="1" t="s">
        <v>2079</v>
      </c>
      <c r="J308" s="1" t="s">
        <v>204</v>
      </c>
      <c r="K308" s="1" t="s">
        <v>205</v>
      </c>
    </row>
    <row r="309" spans="1:11" ht="30.75" customHeight="1">
      <c r="A309" s="1" t="s">
        <v>2080</v>
      </c>
      <c r="B309" s="1" t="s">
        <v>2081</v>
      </c>
      <c r="C309" s="1" t="s">
        <v>2082</v>
      </c>
      <c r="D309" s="1">
        <v>1</v>
      </c>
      <c r="E309" s="1" t="s">
        <v>2083</v>
      </c>
      <c r="F309" s="1" t="s">
        <v>201</v>
      </c>
      <c r="G309" s="45" t="s">
        <v>172</v>
      </c>
      <c r="H309" s="1" t="s">
        <v>2084</v>
      </c>
      <c r="I309" s="1" t="s">
        <v>2085</v>
      </c>
      <c r="J309" s="1" t="s">
        <v>204</v>
      </c>
      <c r="K309" s="1" t="s">
        <v>205</v>
      </c>
    </row>
    <row r="310" spans="1:11" ht="30.75" customHeight="1">
      <c r="A310" s="1" t="s">
        <v>2086</v>
      </c>
      <c r="B310" s="1" t="s">
        <v>2087</v>
      </c>
      <c r="C310" s="1" t="s">
        <v>2088</v>
      </c>
      <c r="D310" s="1">
        <v>1</v>
      </c>
      <c r="E310" s="1" t="s">
        <v>2089</v>
      </c>
      <c r="F310" s="1" t="s">
        <v>201</v>
      </c>
      <c r="G310" s="45" t="s">
        <v>172</v>
      </c>
      <c r="H310" s="1" t="s">
        <v>2090</v>
      </c>
      <c r="I310" s="1" t="s">
        <v>2091</v>
      </c>
      <c r="J310" s="1" t="s">
        <v>204</v>
      </c>
      <c r="K310" s="1" t="s">
        <v>2092</v>
      </c>
    </row>
  </sheetData>
  <mergeCells count="2">
    <mergeCell ref="B1:J1"/>
    <mergeCell ref="B2:J2"/>
  </mergeCells>
  <dataValidations count="1">
    <dataValidation type="list" sqref="G5:G310" xr:uid="{00000000-0002-0000-0400-000000000000}">
      <formula1>"Done,Not done"</formula1>
    </dataValidation>
  </dataValidations>
  <pageMargins left="0.75" right="0.75" top="1" bottom="1" header="0.5" footer="0.5"/>
  <pageSetup orientation="landscape"/>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15"/>
  <sheetViews>
    <sheetView showGridLines="0" workbookViewId="0">
      <pane ySplit="4" topLeftCell="A5" activePane="bottomLeft" state="frozen"/>
      <selection pane="bottomLeft"/>
    </sheetView>
  </sheetViews>
  <sheetFormatPr defaultRowHeight="15"/>
  <cols>
    <col min="1" max="1" width="18" customWidth="1"/>
    <col min="2" max="2" width="42" customWidth="1"/>
    <col min="3" max="3" width="14" customWidth="1"/>
    <col min="4" max="4" width="34" customWidth="1"/>
    <col min="5" max="5" width="17" customWidth="1"/>
    <col min="6" max="6" width="28" customWidth="1"/>
    <col min="7" max="7" width="16" customWidth="1"/>
    <col min="8" max="8" width="24" customWidth="1"/>
    <col min="9" max="9" width="35" customWidth="1"/>
  </cols>
  <sheetData>
    <row r="1" spans="1:9">
      <c r="A1" s="48" t="s">
        <v>2093</v>
      </c>
      <c r="B1" s="30"/>
      <c r="C1" s="30"/>
      <c r="D1" s="30"/>
      <c r="E1" s="30"/>
      <c r="F1" s="30"/>
      <c r="G1" s="30"/>
      <c r="H1" s="30"/>
      <c r="I1" s="30"/>
    </row>
    <row r="2" spans="1:9">
      <c r="A2" s="49" t="s">
        <v>2094</v>
      </c>
      <c r="B2" s="30"/>
      <c r="C2" s="30"/>
      <c r="D2" s="30"/>
      <c r="E2" s="30"/>
      <c r="F2" s="30"/>
      <c r="G2" s="30"/>
      <c r="H2" s="30"/>
      <c r="I2" s="30"/>
    </row>
    <row r="4" spans="1:9">
      <c r="A4" s="50" t="s">
        <v>2095</v>
      </c>
      <c r="B4" s="50" t="s">
        <v>2096</v>
      </c>
      <c r="C4" s="50" t="s">
        <v>2097</v>
      </c>
      <c r="D4" s="50" t="s">
        <v>189</v>
      </c>
      <c r="E4" s="50" t="s">
        <v>2098</v>
      </c>
      <c r="F4" s="50" t="s">
        <v>192</v>
      </c>
      <c r="G4" s="50" t="s">
        <v>193</v>
      </c>
      <c r="H4" s="50" t="s">
        <v>2099</v>
      </c>
      <c r="I4" s="50" t="s">
        <v>2100</v>
      </c>
    </row>
    <row r="5" spans="1:9">
      <c r="A5" s="1">
        <v>1</v>
      </c>
      <c r="B5" s="1" t="s">
        <v>198</v>
      </c>
      <c r="C5" s="1" t="s">
        <v>199</v>
      </c>
      <c r="D5" s="1" t="s">
        <v>198</v>
      </c>
      <c r="E5" s="1">
        <v>2</v>
      </c>
      <c r="F5" s="1" t="s">
        <v>201</v>
      </c>
      <c r="G5" s="45" t="s">
        <v>172</v>
      </c>
      <c r="H5" s="51" t="s">
        <v>2101</v>
      </c>
      <c r="I5" s="1"/>
    </row>
    <row r="6" spans="1:9">
      <c r="A6" s="1">
        <v>2</v>
      </c>
      <c r="B6" s="1" t="s">
        <v>206</v>
      </c>
      <c r="C6" s="1" t="s">
        <v>207</v>
      </c>
      <c r="D6" s="1" t="s">
        <v>206</v>
      </c>
      <c r="E6" s="1">
        <v>1</v>
      </c>
      <c r="F6" s="1" t="s">
        <v>201</v>
      </c>
      <c r="G6" s="45" t="s">
        <v>172</v>
      </c>
      <c r="H6" s="51" t="s">
        <v>2101</v>
      </c>
      <c r="I6" s="1"/>
    </row>
    <row r="7" spans="1:9">
      <c r="A7" s="1">
        <v>3</v>
      </c>
      <c r="B7" s="1" t="s">
        <v>211</v>
      </c>
      <c r="C7" s="1" t="s">
        <v>212</v>
      </c>
      <c r="D7" s="1" t="s">
        <v>211</v>
      </c>
      <c r="E7" s="1">
        <v>1</v>
      </c>
      <c r="F7" s="1" t="s">
        <v>201</v>
      </c>
      <c r="G7" s="45" t="s">
        <v>172</v>
      </c>
      <c r="H7" s="51" t="s">
        <v>2101</v>
      </c>
      <c r="I7" s="1"/>
    </row>
    <row r="8" spans="1:9">
      <c r="A8" s="1">
        <v>4</v>
      </c>
      <c r="B8" s="1" t="s">
        <v>216</v>
      </c>
      <c r="C8" s="1" t="s">
        <v>217</v>
      </c>
      <c r="D8" s="1" t="s">
        <v>216</v>
      </c>
      <c r="E8" s="1">
        <v>1</v>
      </c>
      <c r="F8" s="1" t="s">
        <v>201</v>
      </c>
      <c r="G8" s="45" t="s">
        <v>172</v>
      </c>
      <c r="H8" s="51" t="s">
        <v>2101</v>
      </c>
      <c r="I8" s="1"/>
    </row>
    <row r="9" spans="1:9">
      <c r="A9" s="1">
        <v>5</v>
      </c>
      <c r="B9" s="1" t="s">
        <v>221</v>
      </c>
      <c r="C9" s="1" t="s">
        <v>222</v>
      </c>
      <c r="D9" s="1" t="s">
        <v>221</v>
      </c>
      <c r="E9" s="1">
        <v>2</v>
      </c>
      <c r="F9" s="1" t="s">
        <v>201</v>
      </c>
      <c r="G9" s="45" t="s">
        <v>172</v>
      </c>
      <c r="H9" s="51" t="s">
        <v>2101</v>
      </c>
      <c r="I9" s="1"/>
    </row>
    <row r="10" spans="1:9">
      <c r="A10" s="1">
        <v>6</v>
      </c>
      <c r="B10" s="1" t="s">
        <v>226</v>
      </c>
      <c r="C10" s="1" t="s">
        <v>227</v>
      </c>
      <c r="D10" s="1" t="s">
        <v>226</v>
      </c>
      <c r="E10" s="1">
        <v>1</v>
      </c>
      <c r="F10" s="1" t="s">
        <v>201</v>
      </c>
      <c r="G10" s="45" t="s">
        <v>172</v>
      </c>
      <c r="H10" s="51" t="s">
        <v>2101</v>
      </c>
      <c r="I10" s="1"/>
    </row>
    <row r="11" spans="1:9">
      <c r="A11" s="1">
        <v>7</v>
      </c>
      <c r="B11" s="1" t="s">
        <v>221</v>
      </c>
      <c r="C11" s="1" t="s">
        <v>222</v>
      </c>
      <c r="D11" s="1" t="s">
        <v>221</v>
      </c>
      <c r="E11" s="1">
        <v>2</v>
      </c>
      <c r="F11" s="1" t="s">
        <v>201</v>
      </c>
      <c r="G11" s="45" t="s">
        <v>172</v>
      </c>
      <c r="H11" s="51" t="s">
        <v>2101</v>
      </c>
      <c r="I11" s="1"/>
    </row>
    <row r="12" spans="1:9">
      <c r="A12" s="1">
        <v>8</v>
      </c>
      <c r="B12" s="1" t="s">
        <v>198</v>
      </c>
      <c r="C12" s="1" t="s">
        <v>199</v>
      </c>
      <c r="D12" s="1" t="s">
        <v>198</v>
      </c>
      <c r="E12" s="1">
        <v>2</v>
      </c>
      <c r="F12" s="1" t="s">
        <v>201</v>
      </c>
      <c r="G12" s="45" t="s">
        <v>172</v>
      </c>
      <c r="H12" s="51" t="s">
        <v>2101</v>
      </c>
      <c r="I12" s="1"/>
    </row>
    <row r="13" spans="1:9">
      <c r="A13" s="1">
        <v>9</v>
      </c>
      <c r="B13" s="1" t="s">
        <v>231</v>
      </c>
      <c r="C13" s="1" t="s">
        <v>232</v>
      </c>
      <c r="D13" s="1" t="s">
        <v>231</v>
      </c>
      <c r="E13" s="1">
        <v>1</v>
      </c>
      <c r="F13" s="1" t="s">
        <v>201</v>
      </c>
      <c r="G13" s="45" t="s">
        <v>172</v>
      </c>
      <c r="H13" s="51" t="s">
        <v>2101</v>
      </c>
      <c r="I13" s="1"/>
    </row>
    <row r="14" spans="1:9">
      <c r="A14" s="1">
        <v>10</v>
      </c>
      <c r="B14" s="1" t="s">
        <v>236</v>
      </c>
      <c r="C14" s="1" t="s">
        <v>237</v>
      </c>
      <c r="D14" s="1" t="s">
        <v>236</v>
      </c>
      <c r="E14" s="1">
        <v>1</v>
      </c>
      <c r="F14" s="1" t="s">
        <v>201</v>
      </c>
      <c r="G14" s="45" t="s">
        <v>172</v>
      </c>
      <c r="H14" s="51" t="s">
        <v>2101</v>
      </c>
      <c r="I14" s="1"/>
    </row>
    <row r="15" spans="1:9">
      <c r="A15" s="1">
        <v>11</v>
      </c>
      <c r="B15" s="1" t="s">
        <v>241</v>
      </c>
      <c r="C15" s="1" t="s">
        <v>242</v>
      </c>
      <c r="D15" s="1" t="s">
        <v>241</v>
      </c>
      <c r="E15" s="1">
        <v>1</v>
      </c>
      <c r="F15" s="1" t="s">
        <v>201</v>
      </c>
      <c r="G15" s="45" t="s">
        <v>172</v>
      </c>
      <c r="H15" s="51" t="s">
        <v>2101</v>
      </c>
      <c r="I15" s="1"/>
    </row>
    <row r="16" spans="1:9">
      <c r="A16" s="1">
        <v>12</v>
      </c>
      <c r="B16" s="1" t="s">
        <v>246</v>
      </c>
      <c r="C16" s="1" t="s">
        <v>247</v>
      </c>
      <c r="D16" s="1" t="s">
        <v>246</v>
      </c>
      <c r="E16" s="1">
        <v>1</v>
      </c>
      <c r="F16" s="1" t="s">
        <v>201</v>
      </c>
      <c r="G16" s="45" t="s">
        <v>172</v>
      </c>
      <c r="H16" s="51" t="s">
        <v>2101</v>
      </c>
      <c r="I16" s="1"/>
    </row>
    <row r="17" spans="1:9">
      <c r="A17" s="1">
        <v>13</v>
      </c>
      <c r="B17" s="1" t="s">
        <v>250</v>
      </c>
      <c r="C17" s="1" t="s">
        <v>251</v>
      </c>
      <c r="D17" s="1" t="s">
        <v>250</v>
      </c>
      <c r="E17" s="1">
        <v>1</v>
      </c>
      <c r="F17" s="1" t="s">
        <v>201</v>
      </c>
      <c r="G17" s="45" t="s">
        <v>172</v>
      </c>
      <c r="H17" s="51" t="s">
        <v>2101</v>
      </c>
      <c r="I17" s="1"/>
    </row>
    <row r="18" spans="1:9">
      <c r="A18" s="1">
        <v>14</v>
      </c>
      <c r="B18" s="1" t="s">
        <v>254</v>
      </c>
      <c r="C18" s="1" t="s">
        <v>255</v>
      </c>
      <c r="D18" s="1" t="s">
        <v>254</v>
      </c>
      <c r="E18" s="1">
        <v>1</v>
      </c>
      <c r="F18" s="1" t="s">
        <v>201</v>
      </c>
      <c r="G18" s="45" t="s">
        <v>172</v>
      </c>
      <c r="H18" s="51" t="s">
        <v>2101</v>
      </c>
      <c r="I18" s="1"/>
    </row>
    <row r="19" spans="1:9">
      <c r="A19" s="1">
        <v>15</v>
      </c>
      <c r="B19" s="1" t="s">
        <v>259</v>
      </c>
      <c r="C19" s="1" t="s">
        <v>260</v>
      </c>
      <c r="D19" s="1" t="s">
        <v>259</v>
      </c>
      <c r="E19" s="1">
        <v>1</v>
      </c>
      <c r="F19" s="1" t="s">
        <v>201</v>
      </c>
      <c r="G19" s="45" t="s">
        <v>172</v>
      </c>
      <c r="H19" s="51" t="s">
        <v>2101</v>
      </c>
      <c r="I19" s="1"/>
    </row>
    <row r="20" spans="1:9">
      <c r="A20" s="1">
        <v>16</v>
      </c>
      <c r="B20" s="1" t="s">
        <v>264</v>
      </c>
      <c r="C20" s="1" t="s">
        <v>265</v>
      </c>
      <c r="D20" s="1" t="s">
        <v>264</v>
      </c>
      <c r="E20" s="1">
        <v>1</v>
      </c>
      <c r="F20" s="1" t="s">
        <v>201</v>
      </c>
      <c r="G20" s="45" t="s">
        <v>172</v>
      </c>
      <c r="H20" s="51" t="s">
        <v>2101</v>
      </c>
      <c r="I20" s="1"/>
    </row>
    <row r="21" spans="1:9">
      <c r="A21" s="1">
        <v>17</v>
      </c>
      <c r="B21" s="1" t="s">
        <v>269</v>
      </c>
      <c r="C21" s="1" t="s">
        <v>270</v>
      </c>
      <c r="D21" s="1" t="s">
        <v>271</v>
      </c>
      <c r="E21" s="1">
        <v>1</v>
      </c>
      <c r="F21" s="1" t="s">
        <v>201</v>
      </c>
      <c r="G21" s="45" t="s">
        <v>172</v>
      </c>
      <c r="H21" s="51" t="s">
        <v>2101</v>
      </c>
      <c r="I21" s="1"/>
    </row>
    <row r="22" spans="1:9">
      <c r="A22" s="1">
        <v>18</v>
      </c>
      <c r="B22" s="1" t="s">
        <v>275</v>
      </c>
      <c r="C22" s="1" t="s">
        <v>276</v>
      </c>
      <c r="D22" s="1" t="s">
        <v>277</v>
      </c>
      <c r="E22" s="1">
        <v>2</v>
      </c>
      <c r="F22" s="1" t="s">
        <v>201</v>
      </c>
      <c r="G22" s="45" t="s">
        <v>172</v>
      </c>
      <c r="H22" s="51" t="s">
        <v>2101</v>
      </c>
      <c r="I22" s="1" t="s">
        <v>2102</v>
      </c>
    </row>
    <row r="23" spans="1:9">
      <c r="A23" s="1">
        <v>19</v>
      </c>
      <c r="B23" s="1" t="s">
        <v>281</v>
      </c>
      <c r="C23" s="1" t="s">
        <v>282</v>
      </c>
      <c r="D23" s="1" t="s">
        <v>281</v>
      </c>
      <c r="E23" s="1">
        <v>1</v>
      </c>
      <c r="F23" s="1" t="s">
        <v>201</v>
      </c>
      <c r="G23" s="45" t="s">
        <v>172</v>
      </c>
      <c r="H23" s="51" t="s">
        <v>2101</v>
      </c>
      <c r="I23" s="1"/>
    </row>
    <row r="24" spans="1:9">
      <c r="A24" s="1">
        <v>20</v>
      </c>
      <c r="B24" s="1" t="s">
        <v>286</v>
      </c>
      <c r="C24" s="1" t="s">
        <v>287</v>
      </c>
      <c r="D24" s="1" t="s">
        <v>286</v>
      </c>
      <c r="E24" s="1">
        <v>1</v>
      </c>
      <c r="F24" s="1" t="s">
        <v>201</v>
      </c>
      <c r="G24" s="45" t="s">
        <v>172</v>
      </c>
      <c r="H24" s="51" t="s">
        <v>2101</v>
      </c>
      <c r="I24" s="1"/>
    </row>
    <row r="25" spans="1:9">
      <c r="A25" s="1">
        <v>21</v>
      </c>
      <c r="B25" s="1" t="s">
        <v>291</v>
      </c>
      <c r="C25" s="1" t="s">
        <v>292</v>
      </c>
      <c r="D25" s="1" t="s">
        <v>291</v>
      </c>
      <c r="E25" s="1">
        <v>1</v>
      </c>
      <c r="F25" s="1" t="s">
        <v>201</v>
      </c>
      <c r="G25" s="45" t="s">
        <v>172</v>
      </c>
      <c r="H25" s="51" t="s">
        <v>2101</v>
      </c>
      <c r="I25" s="1"/>
    </row>
    <row r="26" spans="1:9">
      <c r="A26" s="1">
        <v>22</v>
      </c>
      <c r="B26" s="1" t="s">
        <v>296</v>
      </c>
      <c r="C26" s="1" t="s">
        <v>297</v>
      </c>
      <c r="D26" s="1" t="s">
        <v>296</v>
      </c>
      <c r="E26" s="1">
        <v>1</v>
      </c>
      <c r="F26" s="1" t="s">
        <v>201</v>
      </c>
      <c r="G26" s="45" t="s">
        <v>172</v>
      </c>
      <c r="H26" s="51" t="s">
        <v>2101</v>
      </c>
      <c r="I26" s="1"/>
    </row>
    <row r="27" spans="1:9">
      <c r="A27" s="1">
        <v>23</v>
      </c>
      <c r="B27" s="1" t="s">
        <v>301</v>
      </c>
      <c r="C27" s="1" t="s">
        <v>302</v>
      </c>
      <c r="D27" s="1" t="s">
        <v>301</v>
      </c>
      <c r="E27" s="1">
        <v>1</v>
      </c>
      <c r="F27" s="1" t="s">
        <v>201</v>
      </c>
      <c r="G27" s="45" t="s">
        <v>172</v>
      </c>
      <c r="H27" s="51" t="s">
        <v>2101</v>
      </c>
      <c r="I27" s="1"/>
    </row>
    <row r="28" spans="1:9">
      <c r="A28" s="1">
        <v>24</v>
      </c>
      <c r="B28" s="1" t="s">
        <v>307</v>
      </c>
      <c r="C28" s="1" t="s">
        <v>308</v>
      </c>
      <c r="D28" s="1" t="s">
        <v>307</v>
      </c>
      <c r="E28" s="1">
        <v>1</v>
      </c>
      <c r="F28" s="1" t="s">
        <v>201</v>
      </c>
      <c r="G28" s="45" t="s">
        <v>172</v>
      </c>
      <c r="H28" s="51" t="s">
        <v>2101</v>
      </c>
      <c r="I28" s="1"/>
    </row>
    <row r="29" spans="1:9">
      <c r="A29" s="1">
        <v>25</v>
      </c>
      <c r="B29" s="1" t="s">
        <v>312</v>
      </c>
      <c r="C29" s="1" t="s">
        <v>313</v>
      </c>
      <c r="D29" s="1" t="s">
        <v>314</v>
      </c>
      <c r="E29" s="1">
        <v>1</v>
      </c>
      <c r="F29" s="1" t="s">
        <v>201</v>
      </c>
      <c r="G29" s="45" t="s">
        <v>172</v>
      </c>
      <c r="H29" s="51" t="s">
        <v>2101</v>
      </c>
      <c r="I29" s="1"/>
    </row>
    <row r="30" spans="1:9">
      <c r="A30" s="1">
        <v>26</v>
      </c>
      <c r="B30" s="1" t="s">
        <v>318</v>
      </c>
      <c r="C30" s="1" t="s">
        <v>319</v>
      </c>
      <c r="D30" s="1" t="s">
        <v>320</v>
      </c>
      <c r="E30" s="1">
        <v>1</v>
      </c>
      <c r="F30" s="1" t="s">
        <v>201</v>
      </c>
      <c r="G30" s="45" t="s">
        <v>172</v>
      </c>
      <c r="H30" s="51" t="s">
        <v>2101</v>
      </c>
      <c r="I30" s="1"/>
    </row>
    <row r="31" spans="1:9">
      <c r="A31" s="1">
        <v>27</v>
      </c>
      <c r="B31" s="1" t="s">
        <v>324</v>
      </c>
      <c r="C31" s="1" t="s">
        <v>325</v>
      </c>
      <c r="D31" s="1" t="s">
        <v>326</v>
      </c>
      <c r="E31" s="1">
        <v>1</v>
      </c>
      <c r="F31" s="1" t="s">
        <v>201</v>
      </c>
      <c r="G31" s="45" t="s">
        <v>172</v>
      </c>
      <c r="H31" s="51" t="s">
        <v>2101</v>
      </c>
      <c r="I31" s="1"/>
    </row>
    <row r="32" spans="1:9">
      <c r="A32" s="1">
        <v>28</v>
      </c>
      <c r="B32" s="1" t="s">
        <v>330</v>
      </c>
      <c r="C32" s="1" t="s">
        <v>331</v>
      </c>
      <c r="D32" s="1" t="s">
        <v>330</v>
      </c>
      <c r="E32" s="1">
        <v>1</v>
      </c>
      <c r="F32" s="1" t="s">
        <v>201</v>
      </c>
      <c r="G32" s="45" t="s">
        <v>172</v>
      </c>
      <c r="H32" s="51" t="s">
        <v>2101</v>
      </c>
      <c r="I32" s="1"/>
    </row>
    <row r="33" spans="1:9">
      <c r="A33" s="1">
        <v>29</v>
      </c>
      <c r="B33" s="1" t="s">
        <v>335</v>
      </c>
      <c r="C33" s="1" t="s">
        <v>336</v>
      </c>
      <c r="D33" s="1" t="s">
        <v>335</v>
      </c>
      <c r="E33" s="1">
        <v>1</v>
      </c>
      <c r="F33" s="1" t="s">
        <v>201</v>
      </c>
      <c r="G33" s="45" t="s">
        <v>172</v>
      </c>
      <c r="H33" s="51" t="s">
        <v>2101</v>
      </c>
      <c r="I33" s="1"/>
    </row>
    <row r="34" spans="1:9">
      <c r="A34" s="1">
        <v>30</v>
      </c>
      <c r="B34" s="1" t="s">
        <v>341</v>
      </c>
      <c r="C34" s="1" t="s">
        <v>342</v>
      </c>
      <c r="D34" s="1" t="s">
        <v>341</v>
      </c>
      <c r="E34" s="1">
        <v>1</v>
      </c>
      <c r="F34" s="1" t="s">
        <v>201</v>
      </c>
      <c r="G34" s="45" t="s">
        <v>172</v>
      </c>
      <c r="H34" s="51" t="s">
        <v>2101</v>
      </c>
      <c r="I34" s="1"/>
    </row>
    <row r="35" spans="1:9">
      <c r="A35" s="1">
        <v>31</v>
      </c>
      <c r="B35" s="1" t="s">
        <v>347</v>
      </c>
      <c r="C35" s="1" t="s">
        <v>348</v>
      </c>
      <c r="D35" s="1" t="s">
        <v>347</v>
      </c>
      <c r="E35" s="1">
        <v>1</v>
      </c>
      <c r="F35" s="1" t="s">
        <v>201</v>
      </c>
      <c r="G35" s="45" t="s">
        <v>172</v>
      </c>
      <c r="H35" s="51" t="s">
        <v>2101</v>
      </c>
      <c r="I35" s="1"/>
    </row>
    <row r="36" spans="1:9">
      <c r="A36" s="1">
        <v>32</v>
      </c>
      <c r="B36" s="1" t="s">
        <v>352</v>
      </c>
      <c r="C36" s="1" t="s">
        <v>353</v>
      </c>
      <c r="D36" s="1" t="s">
        <v>352</v>
      </c>
      <c r="E36" s="1">
        <v>1</v>
      </c>
      <c r="F36" s="1" t="s">
        <v>201</v>
      </c>
      <c r="G36" s="45" t="s">
        <v>172</v>
      </c>
      <c r="H36" s="51" t="s">
        <v>2101</v>
      </c>
      <c r="I36" s="1"/>
    </row>
    <row r="37" spans="1:9">
      <c r="A37" s="1">
        <v>33</v>
      </c>
      <c r="B37" s="1" t="s">
        <v>358</v>
      </c>
      <c r="C37" s="1" t="s">
        <v>359</v>
      </c>
      <c r="D37" s="1" t="s">
        <v>360</v>
      </c>
      <c r="E37" s="1">
        <v>1</v>
      </c>
      <c r="F37" s="1" t="s">
        <v>201</v>
      </c>
      <c r="G37" s="45" t="s">
        <v>172</v>
      </c>
      <c r="H37" s="51" t="s">
        <v>2101</v>
      </c>
      <c r="I37" s="1"/>
    </row>
    <row r="38" spans="1:9">
      <c r="A38" s="1">
        <v>34</v>
      </c>
      <c r="B38" s="1" t="s">
        <v>364</v>
      </c>
      <c r="C38" s="1" t="s">
        <v>365</v>
      </c>
      <c r="D38" s="1" t="s">
        <v>364</v>
      </c>
      <c r="E38" s="1">
        <v>1</v>
      </c>
      <c r="F38" s="1" t="s">
        <v>201</v>
      </c>
      <c r="G38" s="45" t="s">
        <v>172</v>
      </c>
      <c r="H38" s="51" t="s">
        <v>2101</v>
      </c>
      <c r="I38" s="1"/>
    </row>
    <row r="39" spans="1:9">
      <c r="A39" s="1">
        <v>35</v>
      </c>
      <c r="B39" s="1" t="s">
        <v>369</v>
      </c>
      <c r="C39" s="1" t="s">
        <v>370</v>
      </c>
      <c r="D39" s="1" t="s">
        <v>364</v>
      </c>
      <c r="E39" s="1">
        <v>1</v>
      </c>
      <c r="F39" s="1" t="s">
        <v>372</v>
      </c>
      <c r="G39" s="45" t="s">
        <v>172</v>
      </c>
      <c r="H39" s="51" t="s">
        <v>2101</v>
      </c>
      <c r="I39" s="1"/>
    </row>
    <row r="40" spans="1:9">
      <c r="A40" s="1">
        <v>36</v>
      </c>
      <c r="B40" s="1" t="s">
        <v>375</v>
      </c>
      <c r="C40" s="1" t="s">
        <v>376</v>
      </c>
      <c r="D40" s="1" t="s">
        <v>375</v>
      </c>
      <c r="E40" s="1">
        <v>1</v>
      </c>
      <c r="F40" s="1" t="s">
        <v>201</v>
      </c>
      <c r="G40" s="45" t="s">
        <v>172</v>
      </c>
      <c r="H40" s="51" t="s">
        <v>2101</v>
      </c>
      <c r="I40" s="1"/>
    </row>
    <row r="41" spans="1:9">
      <c r="A41" s="1">
        <v>37</v>
      </c>
      <c r="B41" s="1" t="s">
        <v>380</v>
      </c>
      <c r="C41" s="1" t="s">
        <v>381</v>
      </c>
      <c r="D41" s="1" t="s">
        <v>382</v>
      </c>
      <c r="E41" s="1">
        <v>1</v>
      </c>
      <c r="F41" s="1" t="s">
        <v>201</v>
      </c>
      <c r="G41" s="45" t="s">
        <v>172</v>
      </c>
      <c r="H41" s="51" t="s">
        <v>2101</v>
      </c>
      <c r="I41" s="1"/>
    </row>
    <row r="42" spans="1:9">
      <c r="A42" s="1">
        <v>38</v>
      </c>
      <c r="B42" s="1" t="s">
        <v>386</v>
      </c>
      <c r="C42" s="1" t="s">
        <v>387</v>
      </c>
      <c r="D42" s="1" t="s">
        <v>386</v>
      </c>
      <c r="E42" s="1">
        <v>1</v>
      </c>
      <c r="F42" s="1" t="s">
        <v>201</v>
      </c>
      <c r="G42" s="45" t="s">
        <v>172</v>
      </c>
      <c r="H42" s="51" t="s">
        <v>2101</v>
      </c>
      <c r="I42" s="1"/>
    </row>
    <row r="43" spans="1:9">
      <c r="A43" s="1">
        <v>39</v>
      </c>
      <c r="B43" s="1" t="s">
        <v>391</v>
      </c>
      <c r="C43" s="1" t="s">
        <v>392</v>
      </c>
      <c r="D43" s="1" t="s">
        <v>391</v>
      </c>
      <c r="E43" s="1">
        <v>1</v>
      </c>
      <c r="F43" s="1" t="s">
        <v>201</v>
      </c>
      <c r="G43" s="45" t="s">
        <v>172</v>
      </c>
      <c r="H43" s="51" t="s">
        <v>2101</v>
      </c>
      <c r="I43" s="1"/>
    </row>
    <row r="44" spans="1:9">
      <c r="A44" s="1">
        <v>40</v>
      </c>
      <c r="B44" s="1" t="s">
        <v>396</v>
      </c>
      <c r="C44" s="1" t="s">
        <v>397</v>
      </c>
      <c r="D44" s="1" t="s">
        <v>396</v>
      </c>
      <c r="E44" s="1">
        <v>1</v>
      </c>
      <c r="F44" s="1" t="s">
        <v>201</v>
      </c>
      <c r="G44" s="45" t="s">
        <v>172</v>
      </c>
      <c r="H44" s="51" t="s">
        <v>2101</v>
      </c>
      <c r="I44" s="1"/>
    </row>
    <row r="45" spans="1:9">
      <c r="A45" s="1">
        <v>41</v>
      </c>
      <c r="B45" s="1" t="s">
        <v>401</v>
      </c>
      <c r="C45" s="1" t="s">
        <v>402</v>
      </c>
      <c r="D45" s="1" t="s">
        <v>401</v>
      </c>
      <c r="E45" s="1">
        <v>1</v>
      </c>
      <c r="F45" s="1" t="s">
        <v>201</v>
      </c>
      <c r="G45" s="45" t="s">
        <v>172</v>
      </c>
      <c r="H45" s="51" t="s">
        <v>2101</v>
      </c>
      <c r="I45" s="1"/>
    </row>
    <row r="46" spans="1:9">
      <c r="A46" s="1">
        <v>42</v>
      </c>
      <c r="B46" s="1" t="s">
        <v>406</v>
      </c>
      <c r="C46" s="1" t="s">
        <v>407</v>
      </c>
      <c r="D46" s="1" t="s">
        <v>401</v>
      </c>
      <c r="E46" s="1">
        <v>1</v>
      </c>
      <c r="F46" s="1" t="s">
        <v>201</v>
      </c>
      <c r="G46" s="45" t="s">
        <v>172</v>
      </c>
      <c r="H46" s="51" t="s">
        <v>2101</v>
      </c>
      <c r="I46" s="1"/>
    </row>
    <row r="47" spans="1:9">
      <c r="A47" s="1">
        <v>43</v>
      </c>
      <c r="B47" s="1" t="s">
        <v>411</v>
      </c>
      <c r="C47" s="1" t="s">
        <v>412</v>
      </c>
      <c r="D47" s="1" t="s">
        <v>411</v>
      </c>
      <c r="E47" s="1">
        <v>1</v>
      </c>
      <c r="F47" s="1" t="s">
        <v>201</v>
      </c>
      <c r="G47" s="45" t="s">
        <v>172</v>
      </c>
      <c r="H47" s="51" t="s">
        <v>2101</v>
      </c>
      <c r="I47" s="1"/>
    </row>
    <row r="48" spans="1:9">
      <c r="A48" s="1">
        <v>44</v>
      </c>
      <c r="B48" s="1" t="s">
        <v>416</v>
      </c>
      <c r="C48" s="1" t="s">
        <v>417</v>
      </c>
      <c r="D48" s="1" t="s">
        <v>416</v>
      </c>
      <c r="E48" s="1">
        <v>1</v>
      </c>
      <c r="F48" s="1" t="s">
        <v>201</v>
      </c>
      <c r="G48" s="45" t="s">
        <v>172</v>
      </c>
      <c r="H48" s="51" t="s">
        <v>2101</v>
      </c>
      <c r="I48" s="1"/>
    </row>
    <row r="49" spans="1:9">
      <c r="A49" s="1">
        <v>45</v>
      </c>
      <c r="B49" s="1" t="s">
        <v>421</v>
      </c>
      <c r="C49" s="1" t="s">
        <v>422</v>
      </c>
      <c r="D49" s="1" t="s">
        <v>421</v>
      </c>
      <c r="E49" s="1">
        <v>1</v>
      </c>
      <c r="F49" s="1" t="s">
        <v>201</v>
      </c>
      <c r="G49" s="45" t="s">
        <v>172</v>
      </c>
      <c r="H49" s="51" t="s">
        <v>2101</v>
      </c>
      <c r="I49" s="1"/>
    </row>
    <row r="50" spans="1:9">
      <c r="A50" s="1">
        <v>46</v>
      </c>
      <c r="B50" s="1" t="s">
        <v>426</v>
      </c>
      <c r="C50" s="1" t="s">
        <v>427</v>
      </c>
      <c r="D50" s="1" t="s">
        <v>428</v>
      </c>
      <c r="E50" s="1">
        <v>1</v>
      </c>
      <c r="F50" s="1" t="s">
        <v>201</v>
      </c>
      <c r="G50" s="45" t="s">
        <v>172</v>
      </c>
      <c r="H50" s="51" t="s">
        <v>2101</v>
      </c>
      <c r="I50" s="1"/>
    </row>
    <row r="51" spans="1:9">
      <c r="A51" s="1">
        <v>47</v>
      </c>
      <c r="B51" s="1" t="s">
        <v>432</v>
      </c>
      <c r="C51" s="1" t="s">
        <v>433</v>
      </c>
      <c r="D51" s="1" t="s">
        <v>432</v>
      </c>
      <c r="E51" s="1">
        <v>1</v>
      </c>
      <c r="F51" s="1" t="s">
        <v>201</v>
      </c>
      <c r="G51" s="45" t="s">
        <v>172</v>
      </c>
      <c r="H51" s="51" t="s">
        <v>2101</v>
      </c>
      <c r="I51" s="1"/>
    </row>
    <row r="52" spans="1:9">
      <c r="A52" s="1">
        <v>48</v>
      </c>
      <c r="B52" s="1" t="s">
        <v>438</v>
      </c>
      <c r="C52" s="1" t="s">
        <v>439</v>
      </c>
      <c r="D52" s="1" t="s">
        <v>438</v>
      </c>
      <c r="E52" s="1">
        <v>1</v>
      </c>
      <c r="F52" s="1" t="s">
        <v>201</v>
      </c>
      <c r="G52" s="45" t="s">
        <v>172</v>
      </c>
      <c r="H52" s="51" t="s">
        <v>2101</v>
      </c>
      <c r="I52" s="1"/>
    </row>
    <row r="53" spans="1:9">
      <c r="A53" s="1">
        <v>49</v>
      </c>
      <c r="B53" s="1" t="s">
        <v>444</v>
      </c>
      <c r="C53" s="1" t="s">
        <v>445</v>
      </c>
      <c r="D53" s="1" t="s">
        <v>446</v>
      </c>
      <c r="E53" s="1">
        <v>1</v>
      </c>
      <c r="F53" s="1" t="s">
        <v>201</v>
      </c>
      <c r="G53" s="45" t="s">
        <v>172</v>
      </c>
      <c r="H53" s="51" t="s">
        <v>2101</v>
      </c>
      <c r="I53" s="1"/>
    </row>
    <row r="54" spans="1:9">
      <c r="A54" s="1">
        <v>50</v>
      </c>
      <c r="B54" s="1" t="s">
        <v>451</v>
      </c>
      <c r="C54" s="1" t="s">
        <v>452</v>
      </c>
      <c r="D54" s="1" t="s">
        <v>453</v>
      </c>
      <c r="E54" s="1">
        <v>1</v>
      </c>
      <c r="F54" s="1" t="s">
        <v>372</v>
      </c>
      <c r="G54" s="45" t="s">
        <v>172</v>
      </c>
      <c r="H54" s="51" t="s">
        <v>2101</v>
      </c>
      <c r="I54" s="1"/>
    </row>
    <row r="55" spans="1:9">
      <c r="A55" s="1">
        <v>51</v>
      </c>
      <c r="B55" s="1" t="s">
        <v>458</v>
      </c>
      <c r="C55" s="1" t="s">
        <v>459</v>
      </c>
      <c r="D55" s="1" t="s">
        <v>458</v>
      </c>
      <c r="E55" s="1">
        <v>1</v>
      </c>
      <c r="F55" s="1" t="s">
        <v>201</v>
      </c>
      <c r="G55" s="45" t="s">
        <v>172</v>
      </c>
      <c r="H55" s="51" t="s">
        <v>2101</v>
      </c>
      <c r="I55" s="1"/>
    </row>
    <row r="56" spans="1:9">
      <c r="A56" s="1">
        <v>52</v>
      </c>
      <c r="B56" s="1" t="s">
        <v>464</v>
      </c>
      <c r="C56" s="1" t="s">
        <v>465</v>
      </c>
      <c r="D56" s="1" t="s">
        <v>464</v>
      </c>
      <c r="E56" s="1">
        <v>1</v>
      </c>
      <c r="F56" s="1" t="s">
        <v>201</v>
      </c>
      <c r="G56" s="45" t="s">
        <v>172</v>
      </c>
      <c r="H56" s="51" t="s">
        <v>2101</v>
      </c>
      <c r="I56" s="1"/>
    </row>
    <row r="57" spans="1:9">
      <c r="A57" s="1">
        <v>53</v>
      </c>
      <c r="B57" s="1" t="s">
        <v>469</v>
      </c>
      <c r="C57" s="1" t="s">
        <v>470</v>
      </c>
      <c r="D57" s="1" t="s">
        <v>469</v>
      </c>
      <c r="E57" s="1">
        <v>1</v>
      </c>
      <c r="F57" s="1" t="s">
        <v>201</v>
      </c>
      <c r="G57" s="45" t="s">
        <v>172</v>
      </c>
      <c r="H57" s="51" t="s">
        <v>2101</v>
      </c>
      <c r="I57" s="1"/>
    </row>
    <row r="58" spans="1:9">
      <c r="A58" s="1">
        <v>54</v>
      </c>
      <c r="B58" s="1" t="s">
        <v>475</v>
      </c>
      <c r="C58" s="1" t="s">
        <v>476</v>
      </c>
      <c r="D58" s="1" t="s">
        <v>475</v>
      </c>
      <c r="E58" s="1">
        <v>1</v>
      </c>
      <c r="F58" s="1" t="s">
        <v>201</v>
      </c>
      <c r="G58" s="45" t="s">
        <v>172</v>
      </c>
      <c r="H58" s="51" t="s">
        <v>2101</v>
      </c>
      <c r="I58" s="1"/>
    </row>
    <row r="59" spans="1:9">
      <c r="A59" s="1">
        <v>55</v>
      </c>
      <c r="B59" s="1" t="s">
        <v>480</v>
      </c>
      <c r="C59" s="1" t="s">
        <v>481</v>
      </c>
      <c r="D59" s="1" t="s">
        <v>482</v>
      </c>
      <c r="E59" s="1">
        <v>1</v>
      </c>
      <c r="F59" s="1" t="s">
        <v>201</v>
      </c>
      <c r="G59" s="45" t="s">
        <v>172</v>
      </c>
      <c r="H59" s="51" t="s">
        <v>2101</v>
      </c>
      <c r="I59" s="1"/>
    </row>
    <row r="60" spans="1:9">
      <c r="A60" s="1">
        <v>56</v>
      </c>
      <c r="B60" s="1" t="s">
        <v>486</v>
      </c>
      <c r="C60" s="1" t="s">
        <v>487</v>
      </c>
      <c r="D60" s="1" t="s">
        <v>486</v>
      </c>
      <c r="E60" s="1">
        <v>1</v>
      </c>
      <c r="F60" s="1" t="s">
        <v>201</v>
      </c>
      <c r="G60" s="45" t="s">
        <v>172</v>
      </c>
      <c r="H60" s="51" t="s">
        <v>2101</v>
      </c>
      <c r="I60" s="1"/>
    </row>
    <row r="61" spans="1:9">
      <c r="A61" s="1">
        <v>57</v>
      </c>
      <c r="B61" s="1" t="s">
        <v>491</v>
      </c>
      <c r="C61" s="1" t="s">
        <v>492</v>
      </c>
      <c r="D61" s="1" t="s">
        <v>491</v>
      </c>
      <c r="E61" s="1">
        <v>1</v>
      </c>
      <c r="F61" s="1" t="s">
        <v>201</v>
      </c>
      <c r="G61" s="45" t="s">
        <v>172</v>
      </c>
      <c r="H61" s="51" t="s">
        <v>2101</v>
      </c>
      <c r="I61" s="1"/>
    </row>
    <row r="62" spans="1:9">
      <c r="A62" s="1">
        <v>58</v>
      </c>
      <c r="B62" s="1" t="s">
        <v>497</v>
      </c>
      <c r="C62" s="1" t="s">
        <v>498</v>
      </c>
      <c r="D62" s="1" t="s">
        <v>497</v>
      </c>
      <c r="E62" s="1">
        <v>1</v>
      </c>
      <c r="F62" s="1" t="s">
        <v>201</v>
      </c>
      <c r="G62" s="45" t="s">
        <v>172</v>
      </c>
      <c r="H62" s="51" t="s">
        <v>2101</v>
      </c>
      <c r="I62" s="1"/>
    </row>
    <row r="63" spans="1:9">
      <c r="A63" s="1">
        <v>59</v>
      </c>
      <c r="B63" s="1" t="s">
        <v>503</v>
      </c>
      <c r="C63" s="1" t="s">
        <v>504</v>
      </c>
      <c r="D63" s="1" t="s">
        <v>503</v>
      </c>
      <c r="E63" s="1">
        <v>1</v>
      </c>
      <c r="F63" s="1" t="s">
        <v>201</v>
      </c>
      <c r="G63" s="45" t="s">
        <v>172</v>
      </c>
      <c r="H63" s="51" t="s">
        <v>2101</v>
      </c>
      <c r="I63" s="1"/>
    </row>
    <row r="64" spans="1:9">
      <c r="A64" s="1">
        <v>60</v>
      </c>
      <c r="B64" s="1" t="s">
        <v>509</v>
      </c>
      <c r="C64" s="1" t="s">
        <v>510</v>
      </c>
      <c r="D64" s="1" t="s">
        <v>509</v>
      </c>
      <c r="E64" s="1">
        <v>1</v>
      </c>
      <c r="F64" s="1" t="s">
        <v>201</v>
      </c>
      <c r="G64" s="45" t="s">
        <v>172</v>
      </c>
      <c r="H64" s="51" t="s">
        <v>2101</v>
      </c>
      <c r="I64" s="1"/>
    </row>
    <row r="65" spans="1:9">
      <c r="A65" s="1">
        <v>61</v>
      </c>
      <c r="B65" s="1" t="s">
        <v>514</v>
      </c>
      <c r="C65" s="1" t="s">
        <v>515</v>
      </c>
      <c r="D65" s="1" t="s">
        <v>514</v>
      </c>
      <c r="E65" s="1">
        <v>1</v>
      </c>
      <c r="F65" s="1" t="s">
        <v>201</v>
      </c>
      <c r="G65" s="45" t="s">
        <v>172</v>
      </c>
      <c r="H65" s="51" t="s">
        <v>2101</v>
      </c>
      <c r="I65" s="1"/>
    </row>
    <row r="66" spans="1:9">
      <c r="A66" s="1">
        <v>62</v>
      </c>
      <c r="B66" s="1" t="s">
        <v>519</v>
      </c>
      <c r="C66" s="1" t="s">
        <v>520</v>
      </c>
      <c r="D66" s="1" t="s">
        <v>519</v>
      </c>
      <c r="E66" s="1">
        <v>1</v>
      </c>
      <c r="F66" s="1" t="s">
        <v>201</v>
      </c>
      <c r="G66" s="45" t="s">
        <v>172</v>
      </c>
      <c r="H66" s="51" t="s">
        <v>2101</v>
      </c>
      <c r="I66" s="1"/>
    </row>
    <row r="67" spans="1:9">
      <c r="A67" s="1">
        <v>63</v>
      </c>
      <c r="B67" s="1" t="s">
        <v>525</v>
      </c>
      <c r="C67" s="1" t="s">
        <v>526</v>
      </c>
      <c r="D67" s="1" t="s">
        <v>527</v>
      </c>
      <c r="E67" s="1">
        <v>1</v>
      </c>
      <c r="F67" s="1" t="s">
        <v>201</v>
      </c>
      <c r="G67" s="45" t="s">
        <v>172</v>
      </c>
      <c r="H67" s="51" t="s">
        <v>2101</v>
      </c>
      <c r="I67" s="1"/>
    </row>
    <row r="68" spans="1:9">
      <c r="A68" s="1">
        <v>64</v>
      </c>
      <c r="B68" s="1" t="s">
        <v>532</v>
      </c>
      <c r="C68" s="1" t="s">
        <v>533</v>
      </c>
      <c r="D68" s="1" t="s">
        <v>534</v>
      </c>
      <c r="E68" s="1">
        <v>1</v>
      </c>
      <c r="F68" s="1" t="s">
        <v>201</v>
      </c>
      <c r="G68" s="45" t="s">
        <v>172</v>
      </c>
      <c r="H68" s="51" t="s">
        <v>2101</v>
      </c>
      <c r="I68" s="1"/>
    </row>
    <row r="69" spans="1:9">
      <c r="A69" s="1">
        <v>65</v>
      </c>
      <c r="B69" s="1" t="s">
        <v>539</v>
      </c>
      <c r="C69" s="1" t="s">
        <v>540</v>
      </c>
      <c r="D69" s="1" t="s">
        <v>539</v>
      </c>
      <c r="E69" s="1">
        <v>1</v>
      </c>
      <c r="F69" s="1" t="s">
        <v>201</v>
      </c>
      <c r="G69" s="45" t="s">
        <v>172</v>
      </c>
      <c r="H69" s="51" t="s">
        <v>2101</v>
      </c>
      <c r="I69" s="1"/>
    </row>
    <row r="70" spans="1:9">
      <c r="A70" s="1">
        <v>66</v>
      </c>
      <c r="B70" s="1" t="s">
        <v>545</v>
      </c>
      <c r="C70" s="1" t="s">
        <v>546</v>
      </c>
      <c r="D70" s="1" t="s">
        <v>545</v>
      </c>
      <c r="E70" s="1">
        <v>1</v>
      </c>
      <c r="F70" s="1" t="s">
        <v>201</v>
      </c>
      <c r="G70" s="45" t="s">
        <v>172</v>
      </c>
      <c r="H70" s="51" t="s">
        <v>2101</v>
      </c>
      <c r="I70" s="1"/>
    </row>
    <row r="71" spans="1:9">
      <c r="A71" s="1">
        <v>67</v>
      </c>
      <c r="B71" s="1" t="s">
        <v>551</v>
      </c>
      <c r="C71" s="1" t="s">
        <v>552</v>
      </c>
      <c r="D71" s="1" t="s">
        <v>553</v>
      </c>
      <c r="E71" s="1">
        <v>1</v>
      </c>
      <c r="F71" s="1" t="s">
        <v>201</v>
      </c>
      <c r="G71" s="45" t="s">
        <v>172</v>
      </c>
      <c r="H71" s="51" t="s">
        <v>2101</v>
      </c>
      <c r="I71" s="1"/>
    </row>
    <row r="72" spans="1:9">
      <c r="A72" s="1">
        <v>68</v>
      </c>
      <c r="B72" s="1" t="s">
        <v>558</v>
      </c>
      <c r="C72" s="1" t="s">
        <v>559</v>
      </c>
      <c r="D72" s="1" t="s">
        <v>558</v>
      </c>
      <c r="E72" s="1">
        <v>1</v>
      </c>
      <c r="F72" s="1" t="s">
        <v>201</v>
      </c>
      <c r="G72" s="45" t="s">
        <v>172</v>
      </c>
      <c r="H72" s="51" t="s">
        <v>2101</v>
      </c>
      <c r="I72" s="1"/>
    </row>
    <row r="73" spans="1:9">
      <c r="A73" s="1">
        <v>69</v>
      </c>
      <c r="B73" s="1" t="s">
        <v>564</v>
      </c>
      <c r="C73" s="1" t="s">
        <v>565</v>
      </c>
      <c r="D73" s="1" t="s">
        <v>564</v>
      </c>
      <c r="E73" s="1">
        <v>1</v>
      </c>
      <c r="F73" s="1" t="s">
        <v>567</v>
      </c>
      <c r="G73" s="45" t="s">
        <v>172</v>
      </c>
      <c r="H73" s="51" t="s">
        <v>2101</v>
      </c>
      <c r="I73" s="1"/>
    </row>
    <row r="74" spans="1:9">
      <c r="A74" s="1">
        <v>70</v>
      </c>
      <c r="B74" s="1" t="s">
        <v>571</v>
      </c>
      <c r="C74" s="1" t="s">
        <v>572</v>
      </c>
      <c r="D74" s="1" t="s">
        <v>571</v>
      </c>
      <c r="E74" s="1">
        <v>1</v>
      </c>
      <c r="F74" s="1" t="s">
        <v>201</v>
      </c>
      <c r="G74" s="45" t="s">
        <v>172</v>
      </c>
      <c r="H74" s="51" t="s">
        <v>2101</v>
      </c>
      <c r="I74" s="1"/>
    </row>
    <row r="75" spans="1:9">
      <c r="A75" s="1">
        <v>71</v>
      </c>
      <c r="B75" s="1" t="s">
        <v>577</v>
      </c>
      <c r="C75" s="1" t="s">
        <v>578</v>
      </c>
      <c r="D75" s="1" t="s">
        <v>579</v>
      </c>
      <c r="E75" s="1">
        <v>1</v>
      </c>
      <c r="F75" s="1" t="s">
        <v>201</v>
      </c>
      <c r="G75" s="45" t="s">
        <v>172</v>
      </c>
      <c r="H75" s="51" t="s">
        <v>2101</v>
      </c>
      <c r="I75" s="1"/>
    </row>
    <row r="76" spans="1:9">
      <c r="A76" s="1">
        <v>72</v>
      </c>
      <c r="B76" s="1" t="s">
        <v>583</v>
      </c>
      <c r="C76" s="1" t="s">
        <v>584</v>
      </c>
      <c r="D76" s="1" t="s">
        <v>583</v>
      </c>
      <c r="E76" s="1">
        <v>1</v>
      </c>
      <c r="F76" s="1" t="s">
        <v>201</v>
      </c>
      <c r="G76" s="45" t="s">
        <v>172</v>
      </c>
      <c r="H76" s="51" t="s">
        <v>2101</v>
      </c>
      <c r="I76" s="1"/>
    </row>
    <row r="77" spans="1:9">
      <c r="A77" s="1">
        <v>73</v>
      </c>
      <c r="B77" s="1" t="s">
        <v>587</v>
      </c>
      <c r="C77" s="1" t="s">
        <v>588</v>
      </c>
      <c r="D77" s="1" t="s">
        <v>587</v>
      </c>
      <c r="E77" s="1">
        <v>1</v>
      </c>
      <c r="F77" s="1" t="s">
        <v>201</v>
      </c>
      <c r="G77" s="45" t="s">
        <v>172</v>
      </c>
      <c r="H77" s="51" t="s">
        <v>2101</v>
      </c>
      <c r="I77" s="1"/>
    </row>
    <row r="78" spans="1:9">
      <c r="A78" s="1">
        <v>74</v>
      </c>
      <c r="B78" s="1" t="s">
        <v>592</v>
      </c>
      <c r="C78" s="1" t="s">
        <v>593</v>
      </c>
      <c r="D78" s="1" t="s">
        <v>594</v>
      </c>
      <c r="E78" s="1">
        <v>1</v>
      </c>
      <c r="F78" s="1" t="s">
        <v>201</v>
      </c>
      <c r="G78" s="45" t="s">
        <v>172</v>
      </c>
      <c r="H78" s="51" t="s">
        <v>2101</v>
      </c>
      <c r="I78" s="1"/>
    </row>
    <row r="79" spans="1:9">
      <c r="A79" s="1">
        <v>75</v>
      </c>
      <c r="B79" s="1" t="s">
        <v>598</v>
      </c>
      <c r="C79" s="1" t="s">
        <v>599</v>
      </c>
      <c r="D79" s="1" t="s">
        <v>600</v>
      </c>
      <c r="E79" s="1">
        <v>1</v>
      </c>
      <c r="F79" s="1" t="s">
        <v>201</v>
      </c>
      <c r="G79" s="45" t="s">
        <v>172</v>
      </c>
      <c r="H79" s="51" t="s">
        <v>2101</v>
      </c>
      <c r="I79" s="1"/>
    </row>
    <row r="80" spans="1:9">
      <c r="A80" s="1">
        <v>76</v>
      </c>
      <c r="B80" s="1" t="s">
        <v>603</v>
      </c>
      <c r="C80" s="1" t="s">
        <v>604</v>
      </c>
      <c r="D80" s="1" t="s">
        <v>605</v>
      </c>
      <c r="E80" s="1">
        <v>1</v>
      </c>
      <c r="F80" s="1" t="s">
        <v>201</v>
      </c>
      <c r="G80" s="45" t="s">
        <v>172</v>
      </c>
      <c r="H80" s="51" t="s">
        <v>2101</v>
      </c>
      <c r="I80" s="1"/>
    </row>
    <row r="81" spans="1:9">
      <c r="A81" s="1">
        <v>77</v>
      </c>
      <c r="B81" s="1" t="s">
        <v>608</v>
      </c>
      <c r="C81" s="1" t="s">
        <v>609</v>
      </c>
      <c r="D81" s="1" t="s">
        <v>610</v>
      </c>
      <c r="E81" s="1">
        <v>1</v>
      </c>
      <c r="F81" s="1" t="s">
        <v>372</v>
      </c>
      <c r="G81" s="45" t="s">
        <v>172</v>
      </c>
      <c r="H81" s="51" t="s">
        <v>2101</v>
      </c>
      <c r="I81" s="1"/>
    </row>
    <row r="82" spans="1:9">
      <c r="A82" s="1">
        <v>78</v>
      </c>
      <c r="B82" s="1" t="s">
        <v>615</v>
      </c>
      <c r="C82" s="1" t="s">
        <v>616</v>
      </c>
      <c r="D82" s="1" t="s">
        <v>617</v>
      </c>
      <c r="E82" s="1">
        <v>1</v>
      </c>
      <c r="F82" s="1" t="s">
        <v>201</v>
      </c>
      <c r="G82" s="45" t="s">
        <v>172</v>
      </c>
      <c r="H82" s="51" t="s">
        <v>2101</v>
      </c>
      <c r="I82" s="1"/>
    </row>
    <row r="83" spans="1:9">
      <c r="A83" s="1">
        <v>79</v>
      </c>
      <c r="B83" s="1" t="s">
        <v>620</v>
      </c>
      <c r="C83" s="1" t="s">
        <v>621</v>
      </c>
      <c r="D83" s="1" t="s">
        <v>620</v>
      </c>
      <c r="E83" s="1">
        <v>1</v>
      </c>
      <c r="F83" s="1" t="s">
        <v>201</v>
      </c>
      <c r="G83" s="45" t="s">
        <v>172</v>
      </c>
      <c r="H83" s="51" t="s">
        <v>2101</v>
      </c>
      <c r="I83" s="1"/>
    </row>
    <row r="84" spans="1:9">
      <c r="A84" s="1">
        <v>80</v>
      </c>
      <c r="B84" s="1" t="s">
        <v>626</v>
      </c>
      <c r="C84" s="1" t="s">
        <v>627</v>
      </c>
      <c r="D84" s="1" t="s">
        <v>626</v>
      </c>
      <c r="E84" s="1">
        <v>1</v>
      </c>
      <c r="F84" s="1" t="s">
        <v>201</v>
      </c>
      <c r="G84" s="45" t="s">
        <v>172</v>
      </c>
      <c r="H84" s="51" t="s">
        <v>2101</v>
      </c>
      <c r="I84" s="1"/>
    </row>
    <row r="85" spans="1:9">
      <c r="A85" s="1">
        <v>81</v>
      </c>
      <c r="B85" s="1" t="s">
        <v>631</v>
      </c>
      <c r="C85" s="1" t="s">
        <v>632</v>
      </c>
      <c r="D85" s="1" t="s">
        <v>631</v>
      </c>
      <c r="E85" s="1">
        <v>1</v>
      </c>
      <c r="F85" s="1" t="s">
        <v>201</v>
      </c>
      <c r="G85" s="45" t="s">
        <v>172</v>
      </c>
      <c r="H85" s="51" t="s">
        <v>2101</v>
      </c>
      <c r="I85" s="1"/>
    </row>
    <row r="86" spans="1:9">
      <c r="A86" s="1">
        <v>82</v>
      </c>
      <c r="B86" s="1" t="s">
        <v>636</v>
      </c>
      <c r="C86" s="1" t="s">
        <v>637</v>
      </c>
      <c r="D86" s="1" t="s">
        <v>638</v>
      </c>
      <c r="E86" s="1">
        <v>1</v>
      </c>
      <c r="F86" s="1" t="s">
        <v>201</v>
      </c>
      <c r="G86" s="45" t="s">
        <v>172</v>
      </c>
      <c r="H86" s="51" t="s">
        <v>2101</v>
      </c>
      <c r="I86" s="1"/>
    </row>
    <row r="87" spans="1:9">
      <c r="A87" s="1">
        <v>83</v>
      </c>
      <c r="B87" s="1" t="s">
        <v>643</v>
      </c>
      <c r="C87" s="1" t="s">
        <v>644</v>
      </c>
      <c r="D87" s="1" t="s">
        <v>643</v>
      </c>
      <c r="E87" s="1">
        <v>1</v>
      </c>
      <c r="F87" s="1" t="s">
        <v>201</v>
      </c>
      <c r="G87" s="45" t="s">
        <v>172</v>
      </c>
      <c r="H87" s="51" t="s">
        <v>2101</v>
      </c>
      <c r="I87" s="1"/>
    </row>
    <row r="88" spans="1:9">
      <c r="A88" s="1">
        <v>84</v>
      </c>
      <c r="B88" s="1" t="s">
        <v>648</v>
      </c>
      <c r="C88" s="1" t="s">
        <v>649</v>
      </c>
      <c r="D88" s="1" t="s">
        <v>650</v>
      </c>
      <c r="E88" s="1">
        <v>1</v>
      </c>
      <c r="F88" s="1" t="s">
        <v>201</v>
      </c>
      <c r="G88" s="45" t="s">
        <v>172</v>
      </c>
      <c r="H88" s="51" t="s">
        <v>2101</v>
      </c>
      <c r="I88" s="1"/>
    </row>
    <row r="89" spans="1:9">
      <c r="A89" s="1">
        <v>85</v>
      </c>
      <c r="B89" s="1" t="s">
        <v>653</v>
      </c>
      <c r="C89" s="1" t="s">
        <v>654</v>
      </c>
      <c r="D89" s="1" t="s">
        <v>655</v>
      </c>
      <c r="E89" s="1">
        <v>1</v>
      </c>
      <c r="F89" s="1" t="s">
        <v>201</v>
      </c>
      <c r="G89" s="45" t="s">
        <v>172</v>
      </c>
      <c r="H89" s="51" t="s">
        <v>2101</v>
      </c>
      <c r="I89" s="1"/>
    </row>
    <row r="90" spans="1:9">
      <c r="A90" s="1">
        <v>86</v>
      </c>
      <c r="B90" s="1" t="s">
        <v>659</v>
      </c>
      <c r="C90" s="1" t="s">
        <v>660</v>
      </c>
      <c r="D90" s="1" t="s">
        <v>661</v>
      </c>
      <c r="E90" s="1">
        <v>1</v>
      </c>
      <c r="F90" s="1" t="s">
        <v>201</v>
      </c>
      <c r="G90" s="45" t="s">
        <v>172</v>
      </c>
      <c r="H90" s="51" t="s">
        <v>2101</v>
      </c>
      <c r="I90" s="1"/>
    </row>
    <row r="91" spans="1:9">
      <c r="A91" s="1">
        <v>87</v>
      </c>
      <c r="B91" s="1" t="s">
        <v>665</v>
      </c>
      <c r="C91" s="1" t="s">
        <v>666</v>
      </c>
      <c r="D91" s="1" t="s">
        <v>667</v>
      </c>
      <c r="E91" s="1">
        <v>1</v>
      </c>
      <c r="F91" s="1" t="s">
        <v>201</v>
      </c>
      <c r="G91" s="45" t="s">
        <v>172</v>
      </c>
      <c r="H91" s="51" t="s">
        <v>2101</v>
      </c>
      <c r="I91" s="1"/>
    </row>
    <row r="92" spans="1:9">
      <c r="A92" s="1">
        <v>88</v>
      </c>
      <c r="B92" s="1" t="s">
        <v>670</v>
      </c>
      <c r="C92" s="1" t="s">
        <v>671</v>
      </c>
      <c r="D92" s="1" t="s">
        <v>672</v>
      </c>
      <c r="E92" s="1">
        <v>1</v>
      </c>
      <c r="F92" s="1" t="s">
        <v>201</v>
      </c>
      <c r="G92" s="45" t="s">
        <v>172</v>
      </c>
      <c r="H92" s="51" t="s">
        <v>2101</v>
      </c>
      <c r="I92" s="1"/>
    </row>
    <row r="93" spans="1:9">
      <c r="A93" s="1">
        <v>89</v>
      </c>
      <c r="B93" s="1" t="s">
        <v>676</v>
      </c>
      <c r="C93" s="1" t="s">
        <v>677</v>
      </c>
      <c r="D93" s="1" t="s">
        <v>678</v>
      </c>
      <c r="E93" s="1">
        <v>1</v>
      </c>
      <c r="F93" s="1" t="s">
        <v>201</v>
      </c>
      <c r="G93" s="45" t="s">
        <v>172</v>
      </c>
      <c r="H93" s="51" t="s">
        <v>2101</v>
      </c>
      <c r="I93" s="1"/>
    </row>
    <row r="94" spans="1:9">
      <c r="A94" s="1">
        <v>90</v>
      </c>
      <c r="B94" s="1" t="s">
        <v>683</v>
      </c>
      <c r="C94" s="1" t="s">
        <v>684</v>
      </c>
      <c r="D94" s="1" t="s">
        <v>670</v>
      </c>
      <c r="E94" s="1">
        <v>1</v>
      </c>
      <c r="F94" s="1" t="s">
        <v>372</v>
      </c>
      <c r="G94" s="45" t="s">
        <v>172</v>
      </c>
      <c r="H94" s="51" t="s">
        <v>2101</v>
      </c>
      <c r="I94" s="1"/>
    </row>
    <row r="95" spans="1:9">
      <c r="A95" s="1">
        <v>91</v>
      </c>
      <c r="B95" s="1" t="s">
        <v>688</v>
      </c>
      <c r="C95" s="1" t="s">
        <v>689</v>
      </c>
      <c r="D95" s="1" t="s">
        <v>690</v>
      </c>
      <c r="E95" s="1">
        <v>1</v>
      </c>
      <c r="F95" s="1" t="s">
        <v>201</v>
      </c>
      <c r="G95" s="45" t="s">
        <v>172</v>
      </c>
      <c r="H95" s="51" t="s">
        <v>2101</v>
      </c>
      <c r="I95" s="1"/>
    </row>
    <row r="96" spans="1:9">
      <c r="A96" s="1">
        <v>92</v>
      </c>
      <c r="B96" s="1" t="s">
        <v>693</v>
      </c>
      <c r="C96" s="1" t="s">
        <v>694</v>
      </c>
      <c r="D96" s="1" t="s">
        <v>695</v>
      </c>
      <c r="E96" s="1">
        <v>1</v>
      </c>
      <c r="F96" s="1" t="s">
        <v>201</v>
      </c>
      <c r="G96" s="45" t="s">
        <v>172</v>
      </c>
      <c r="H96" s="51" t="s">
        <v>2101</v>
      </c>
      <c r="I96" s="1"/>
    </row>
    <row r="97" spans="1:9">
      <c r="A97" s="1">
        <v>93</v>
      </c>
      <c r="B97" s="1" t="s">
        <v>698</v>
      </c>
      <c r="C97" s="1" t="s">
        <v>699</v>
      </c>
      <c r="D97" s="1" t="s">
        <v>700</v>
      </c>
      <c r="E97" s="1">
        <v>1</v>
      </c>
      <c r="F97" s="1" t="s">
        <v>201</v>
      </c>
      <c r="G97" s="45" t="s">
        <v>172</v>
      </c>
      <c r="H97" s="51" t="s">
        <v>2101</v>
      </c>
      <c r="I97" s="1"/>
    </row>
    <row r="98" spans="1:9">
      <c r="A98" s="1">
        <v>94</v>
      </c>
      <c r="B98" s="1" t="s">
        <v>703</v>
      </c>
      <c r="C98" s="1" t="s">
        <v>704</v>
      </c>
      <c r="D98" s="1" t="s">
        <v>705</v>
      </c>
      <c r="E98" s="1">
        <v>1</v>
      </c>
      <c r="F98" s="1" t="s">
        <v>201</v>
      </c>
      <c r="G98" s="45" t="s">
        <v>172</v>
      </c>
      <c r="H98" s="51" t="s">
        <v>2101</v>
      </c>
      <c r="I98" s="1"/>
    </row>
    <row r="99" spans="1:9">
      <c r="A99" s="1">
        <v>95</v>
      </c>
      <c r="B99" s="1" t="s">
        <v>708</v>
      </c>
      <c r="C99" s="1" t="s">
        <v>709</v>
      </c>
      <c r="D99" s="1" t="s">
        <v>710</v>
      </c>
      <c r="E99" s="1">
        <v>1</v>
      </c>
      <c r="F99" s="1" t="s">
        <v>201</v>
      </c>
      <c r="G99" s="45" t="s">
        <v>172</v>
      </c>
      <c r="H99" s="51" t="s">
        <v>2101</v>
      </c>
      <c r="I99" s="1"/>
    </row>
    <row r="100" spans="1:9">
      <c r="A100" s="1">
        <v>96</v>
      </c>
      <c r="B100" s="1" t="s">
        <v>713</v>
      </c>
      <c r="C100" s="1" t="s">
        <v>714</v>
      </c>
      <c r="D100" s="1" t="s">
        <v>715</v>
      </c>
      <c r="E100" s="1">
        <v>1</v>
      </c>
      <c r="F100" s="1" t="s">
        <v>201</v>
      </c>
      <c r="G100" s="45" t="s">
        <v>172</v>
      </c>
      <c r="H100" s="51" t="s">
        <v>2101</v>
      </c>
      <c r="I100" s="1"/>
    </row>
    <row r="101" spans="1:9">
      <c r="A101" s="1">
        <v>97</v>
      </c>
      <c r="B101" s="1" t="s">
        <v>718</v>
      </c>
      <c r="C101" s="1" t="s">
        <v>719</v>
      </c>
      <c r="D101" s="1" t="s">
        <v>720</v>
      </c>
      <c r="E101" s="1">
        <v>1</v>
      </c>
      <c r="F101" s="1" t="s">
        <v>201</v>
      </c>
      <c r="G101" s="45" t="s">
        <v>172</v>
      </c>
      <c r="H101" s="51" t="s">
        <v>2101</v>
      </c>
      <c r="I101" s="1"/>
    </row>
    <row r="102" spans="1:9">
      <c r="A102" s="1">
        <v>98</v>
      </c>
      <c r="B102" s="1" t="s">
        <v>724</v>
      </c>
      <c r="C102" s="1" t="s">
        <v>725</v>
      </c>
      <c r="D102" s="1" t="s">
        <v>726</v>
      </c>
      <c r="E102" s="1">
        <v>1</v>
      </c>
      <c r="F102" s="1" t="s">
        <v>201</v>
      </c>
      <c r="G102" s="45" t="s">
        <v>172</v>
      </c>
      <c r="H102" s="51" t="s">
        <v>2101</v>
      </c>
      <c r="I102" s="1"/>
    </row>
    <row r="103" spans="1:9">
      <c r="A103" s="1">
        <v>99</v>
      </c>
      <c r="B103" s="1" t="s">
        <v>731</v>
      </c>
      <c r="C103" s="1" t="s">
        <v>732</v>
      </c>
      <c r="D103" s="1" t="s">
        <v>733</v>
      </c>
      <c r="E103" s="1">
        <v>1</v>
      </c>
      <c r="F103" s="1" t="s">
        <v>201</v>
      </c>
      <c r="G103" s="45" t="s">
        <v>172</v>
      </c>
      <c r="H103" s="51" t="s">
        <v>2101</v>
      </c>
      <c r="I103" s="1"/>
    </row>
    <row r="104" spans="1:9">
      <c r="A104" s="1">
        <v>100</v>
      </c>
      <c r="B104" s="1" t="s">
        <v>738</v>
      </c>
      <c r="C104" s="1" t="s">
        <v>739</v>
      </c>
      <c r="D104" s="1" t="s">
        <v>740</v>
      </c>
      <c r="E104" s="1">
        <v>1</v>
      </c>
      <c r="F104" s="1" t="s">
        <v>201</v>
      </c>
      <c r="G104" s="45" t="s">
        <v>172</v>
      </c>
      <c r="H104" s="51" t="s">
        <v>2101</v>
      </c>
      <c r="I104" s="1"/>
    </row>
    <row r="105" spans="1:9">
      <c r="A105" s="1">
        <v>101</v>
      </c>
      <c r="B105" s="1" t="s">
        <v>745</v>
      </c>
      <c r="C105" s="1" t="s">
        <v>746</v>
      </c>
      <c r="D105" s="1" t="s">
        <v>747</v>
      </c>
      <c r="E105" s="1">
        <v>1</v>
      </c>
      <c r="F105" s="1" t="s">
        <v>201</v>
      </c>
      <c r="G105" s="45" t="s">
        <v>172</v>
      </c>
      <c r="H105" s="51" t="s">
        <v>2101</v>
      </c>
      <c r="I105" s="1"/>
    </row>
    <row r="106" spans="1:9">
      <c r="A106" s="1">
        <v>102</v>
      </c>
      <c r="B106" s="1" t="s">
        <v>752</v>
      </c>
      <c r="C106" s="1" t="s">
        <v>753</v>
      </c>
      <c r="D106" s="1" t="s">
        <v>754</v>
      </c>
      <c r="E106" s="1">
        <v>2</v>
      </c>
      <c r="F106" s="1" t="s">
        <v>201</v>
      </c>
      <c r="G106" s="45" t="s">
        <v>172</v>
      </c>
      <c r="H106" s="51" t="s">
        <v>2101</v>
      </c>
      <c r="I106" s="1" t="s">
        <v>2102</v>
      </c>
    </row>
    <row r="107" spans="1:9">
      <c r="A107" s="1">
        <v>103</v>
      </c>
      <c r="B107" s="1" t="s">
        <v>759</v>
      </c>
      <c r="C107" s="1" t="s">
        <v>760</v>
      </c>
      <c r="D107" s="1" t="s">
        <v>761</v>
      </c>
      <c r="E107" s="1">
        <v>1</v>
      </c>
      <c r="F107" s="1" t="s">
        <v>201</v>
      </c>
      <c r="G107" s="45" t="s">
        <v>172</v>
      </c>
      <c r="H107" s="51" t="s">
        <v>2101</v>
      </c>
      <c r="I107" s="1"/>
    </row>
    <row r="108" spans="1:9">
      <c r="A108" s="1">
        <v>104</v>
      </c>
      <c r="B108" s="1" t="s">
        <v>765</v>
      </c>
      <c r="C108" s="1" t="s">
        <v>766</v>
      </c>
      <c r="D108" s="1" t="s">
        <v>767</v>
      </c>
      <c r="E108" s="1">
        <v>1</v>
      </c>
      <c r="F108" s="1" t="s">
        <v>201</v>
      </c>
      <c r="G108" s="45" t="s">
        <v>172</v>
      </c>
      <c r="H108" s="51" t="s">
        <v>2101</v>
      </c>
      <c r="I108" s="1"/>
    </row>
    <row r="109" spans="1:9">
      <c r="A109" s="1">
        <v>105</v>
      </c>
      <c r="B109" s="1" t="s">
        <v>771</v>
      </c>
      <c r="C109" s="1" t="s">
        <v>772</v>
      </c>
      <c r="D109" s="1" t="s">
        <v>773</v>
      </c>
      <c r="E109" s="1">
        <v>1</v>
      </c>
      <c r="F109" s="1" t="s">
        <v>201</v>
      </c>
      <c r="G109" s="45" t="s">
        <v>172</v>
      </c>
      <c r="H109" s="51" t="s">
        <v>2101</v>
      </c>
      <c r="I109" s="1"/>
    </row>
    <row r="110" spans="1:9">
      <c r="A110" s="1">
        <v>106</v>
      </c>
      <c r="B110" s="1" t="s">
        <v>777</v>
      </c>
      <c r="C110" s="1" t="s">
        <v>778</v>
      </c>
      <c r="D110" s="1" t="s">
        <v>779</v>
      </c>
      <c r="E110" s="1">
        <v>1</v>
      </c>
      <c r="F110" s="1" t="s">
        <v>201</v>
      </c>
      <c r="G110" s="45" t="s">
        <v>172</v>
      </c>
      <c r="H110" s="51" t="s">
        <v>2101</v>
      </c>
      <c r="I110" s="1"/>
    </row>
    <row r="111" spans="1:9">
      <c r="A111" s="1">
        <v>107</v>
      </c>
      <c r="B111" s="1" t="s">
        <v>783</v>
      </c>
      <c r="C111" s="1" t="s">
        <v>784</v>
      </c>
      <c r="D111" s="1" t="s">
        <v>785</v>
      </c>
      <c r="E111" s="1">
        <v>1</v>
      </c>
      <c r="F111" s="1" t="s">
        <v>201</v>
      </c>
      <c r="G111" s="45" t="s">
        <v>172</v>
      </c>
      <c r="H111" s="51" t="s">
        <v>2101</v>
      </c>
      <c r="I111" s="1"/>
    </row>
    <row r="112" spans="1:9">
      <c r="A112" s="1">
        <v>108</v>
      </c>
      <c r="B112" s="1" t="s">
        <v>789</v>
      </c>
      <c r="C112" s="1" t="s">
        <v>790</v>
      </c>
      <c r="D112" s="1" t="s">
        <v>791</v>
      </c>
      <c r="E112" s="1">
        <v>1</v>
      </c>
      <c r="F112" s="1" t="s">
        <v>372</v>
      </c>
      <c r="G112" s="45" t="s">
        <v>172</v>
      </c>
      <c r="H112" s="51" t="s">
        <v>2101</v>
      </c>
      <c r="I112" s="1"/>
    </row>
    <row r="113" spans="1:9">
      <c r="A113" s="1">
        <v>109</v>
      </c>
      <c r="B113" s="1" t="s">
        <v>796</v>
      </c>
      <c r="C113" s="1" t="s">
        <v>797</v>
      </c>
      <c r="D113" s="1" t="s">
        <v>798</v>
      </c>
      <c r="E113" s="1">
        <v>1</v>
      </c>
      <c r="F113" s="1" t="s">
        <v>201</v>
      </c>
      <c r="G113" s="45" t="s">
        <v>172</v>
      </c>
      <c r="H113" s="51" t="s">
        <v>2101</v>
      </c>
      <c r="I113" s="1"/>
    </row>
    <row r="114" spans="1:9">
      <c r="A114" s="1">
        <v>110</v>
      </c>
      <c r="B114" s="1" t="s">
        <v>803</v>
      </c>
      <c r="C114" s="1" t="s">
        <v>804</v>
      </c>
      <c r="D114" s="1" t="s">
        <v>805</v>
      </c>
      <c r="E114" s="1">
        <v>1</v>
      </c>
      <c r="F114" s="1" t="s">
        <v>201</v>
      </c>
      <c r="G114" s="45" t="s">
        <v>172</v>
      </c>
      <c r="H114" s="51" t="s">
        <v>2101</v>
      </c>
      <c r="I114" s="1"/>
    </row>
    <row r="115" spans="1:9">
      <c r="A115" s="1">
        <v>111</v>
      </c>
      <c r="B115" s="1" t="s">
        <v>808</v>
      </c>
      <c r="C115" s="1" t="s">
        <v>809</v>
      </c>
      <c r="D115" s="1" t="s">
        <v>810</v>
      </c>
      <c r="E115" s="1">
        <v>1</v>
      </c>
      <c r="F115" s="1" t="s">
        <v>201</v>
      </c>
      <c r="G115" s="45" t="s">
        <v>172</v>
      </c>
      <c r="H115" s="51" t="s">
        <v>2101</v>
      </c>
      <c r="I115" s="1"/>
    </row>
    <row r="116" spans="1:9">
      <c r="A116" s="1">
        <v>112</v>
      </c>
      <c r="B116" s="1" t="s">
        <v>815</v>
      </c>
      <c r="C116" s="1" t="s">
        <v>816</v>
      </c>
      <c r="D116" s="1" t="s">
        <v>817</v>
      </c>
      <c r="E116" s="1">
        <v>2</v>
      </c>
      <c r="F116" s="1" t="s">
        <v>201</v>
      </c>
      <c r="G116" s="45" t="s">
        <v>172</v>
      </c>
      <c r="H116" s="51" t="s">
        <v>2101</v>
      </c>
      <c r="I116" s="1" t="s">
        <v>2102</v>
      </c>
    </row>
    <row r="117" spans="1:9">
      <c r="A117" s="1">
        <v>113</v>
      </c>
      <c r="B117" s="1" t="s">
        <v>822</v>
      </c>
      <c r="C117" s="1" t="s">
        <v>823</v>
      </c>
      <c r="D117" s="1" t="s">
        <v>824</v>
      </c>
      <c r="E117" s="1">
        <v>1</v>
      </c>
      <c r="F117" s="1" t="s">
        <v>201</v>
      </c>
      <c r="G117" s="45" t="s">
        <v>172</v>
      </c>
      <c r="H117" s="51" t="s">
        <v>2101</v>
      </c>
      <c r="I117" s="1"/>
    </row>
    <row r="118" spans="1:9">
      <c r="A118" s="1">
        <v>114</v>
      </c>
      <c r="B118" s="1" t="s">
        <v>829</v>
      </c>
      <c r="C118" s="1" t="s">
        <v>830</v>
      </c>
      <c r="D118" s="1" t="s">
        <v>831</v>
      </c>
      <c r="E118" s="1">
        <v>1</v>
      </c>
      <c r="F118" s="1" t="s">
        <v>201</v>
      </c>
      <c r="G118" s="45" t="s">
        <v>172</v>
      </c>
      <c r="H118" s="51" t="s">
        <v>2101</v>
      </c>
      <c r="I118" s="1"/>
    </row>
    <row r="119" spans="1:9">
      <c r="A119" s="1">
        <v>115</v>
      </c>
      <c r="B119" s="1" t="s">
        <v>836</v>
      </c>
      <c r="C119" s="1" t="s">
        <v>837</v>
      </c>
      <c r="D119" s="1" t="s">
        <v>836</v>
      </c>
      <c r="E119" s="1">
        <v>1</v>
      </c>
      <c r="F119" s="1" t="s">
        <v>201</v>
      </c>
      <c r="G119" s="45" t="s">
        <v>172</v>
      </c>
      <c r="H119" s="51" t="s">
        <v>2101</v>
      </c>
      <c r="I119" s="1"/>
    </row>
    <row r="120" spans="1:9">
      <c r="A120" s="1">
        <v>116</v>
      </c>
      <c r="B120" s="1" t="s">
        <v>842</v>
      </c>
      <c r="C120" s="1" t="s">
        <v>843</v>
      </c>
      <c r="D120" s="1" t="s">
        <v>842</v>
      </c>
      <c r="E120" s="1">
        <v>1</v>
      </c>
      <c r="F120" s="1" t="s">
        <v>567</v>
      </c>
      <c r="G120" s="45" t="s">
        <v>172</v>
      </c>
      <c r="H120" s="51" t="s">
        <v>2101</v>
      </c>
      <c r="I120" s="1"/>
    </row>
    <row r="121" spans="1:9">
      <c r="A121" s="1">
        <v>117</v>
      </c>
      <c r="B121" s="1" t="s">
        <v>848</v>
      </c>
      <c r="C121" s="1" t="s">
        <v>849</v>
      </c>
      <c r="D121" s="1" t="s">
        <v>848</v>
      </c>
      <c r="E121" s="1">
        <v>1</v>
      </c>
      <c r="F121" s="1" t="s">
        <v>201</v>
      </c>
      <c r="G121" s="45" t="s">
        <v>172</v>
      </c>
      <c r="H121" s="51" t="s">
        <v>2101</v>
      </c>
      <c r="I121" s="1"/>
    </row>
    <row r="122" spans="1:9">
      <c r="A122" s="1">
        <v>118</v>
      </c>
      <c r="B122" s="1" t="s">
        <v>854</v>
      </c>
      <c r="C122" s="1" t="s">
        <v>855</v>
      </c>
      <c r="D122" s="1" t="s">
        <v>854</v>
      </c>
      <c r="E122" s="1">
        <v>1</v>
      </c>
      <c r="F122" s="1" t="s">
        <v>201</v>
      </c>
      <c r="G122" s="45" t="s">
        <v>172</v>
      </c>
      <c r="H122" s="51" t="s">
        <v>2101</v>
      </c>
      <c r="I122" s="1"/>
    </row>
    <row r="123" spans="1:9">
      <c r="A123" s="1">
        <v>119</v>
      </c>
      <c r="B123" s="1" t="s">
        <v>860</v>
      </c>
      <c r="C123" s="1" t="s">
        <v>861</v>
      </c>
      <c r="D123" s="1" t="s">
        <v>862</v>
      </c>
      <c r="E123" s="1">
        <v>1</v>
      </c>
      <c r="F123" s="1" t="s">
        <v>201</v>
      </c>
      <c r="G123" s="45" t="s">
        <v>172</v>
      </c>
      <c r="H123" s="51" t="s">
        <v>2101</v>
      </c>
      <c r="I123" s="1"/>
    </row>
    <row r="124" spans="1:9">
      <c r="A124" s="1">
        <v>120</v>
      </c>
      <c r="B124" s="1" t="s">
        <v>867</v>
      </c>
      <c r="C124" s="1" t="s">
        <v>868</v>
      </c>
      <c r="D124" s="1" t="s">
        <v>869</v>
      </c>
      <c r="E124" s="1">
        <v>1</v>
      </c>
      <c r="F124" s="1" t="s">
        <v>201</v>
      </c>
      <c r="G124" s="45" t="s">
        <v>172</v>
      </c>
      <c r="H124" s="51" t="s">
        <v>2101</v>
      </c>
      <c r="I124" s="1"/>
    </row>
    <row r="125" spans="1:9">
      <c r="A125" s="1">
        <v>121</v>
      </c>
      <c r="B125" s="1" t="s">
        <v>874</v>
      </c>
      <c r="C125" s="1" t="s">
        <v>875</v>
      </c>
      <c r="D125" s="1" t="s">
        <v>874</v>
      </c>
      <c r="E125" s="1">
        <v>1</v>
      </c>
      <c r="F125" s="1" t="s">
        <v>201</v>
      </c>
      <c r="G125" s="45" t="s">
        <v>172</v>
      </c>
      <c r="H125" s="51" t="s">
        <v>2101</v>
      </c>
      <c r="I125" s="1"/>
    </row>
    <row r="126" spans="1:9">
      <c r="A126" s="1">
        <v>122</v>
      </c>
      <c r="B126" s="1" t="s">
        <v>879</v>
      </c>
      <c r="C126" s="1" t="s">
        <v>880</v>
      </c>
      <c r="D126" s="1" t="s">
        <v>879</v>
      </c>
      <c r="E126" s="1">
        <v>1</v>
      </c>
      <c r="F126" s="1" t="s">
        <v>201</v>
      </c>
      <c r="G126" s="45" t="s">
        <v>172</v>
      </c>
      <c r="H126" s="51" t="s">
        <v>2101</v>
      </c>
      <c r="I126" s="1"/>
    </row>
    <row r="127" spans="1:9">
      <c r="A127" s="1">
        <v>123</v>
      </c>
      <c r="B127" s="1" t="s">
        <v>885</v>
      </c>
      <c r="C127" s="1" t="s">
        <v>886</v>
      </c>
      <c r="D127" s="1" t="s">
        <v>885</v>
      </c>
      <c r="E127" s="1">
        <v>1</v>
      </c>
      <c r="F127" s="1" t="s">
        <v>201</v>
      </c>
      <c r="G127" s="45" t="s">
        <v>172</v>
      </c>
      <c r="H127" s="51" t="s">
        <v>2101</v>
      </c>
      <c r="I127" s="1"/>
    </row>
    <row r="128" spans="1:9">
      <c r="A128" s="1">
        <v>124</v>
      </c>
      <c r="B128" s="1" t="s">
        <v>891</v>
      </c>
      <c r="C128" s="1" t="s">
        <v>892</v>
      </c>
      <c r="D128" s="1" t="s">
        <v>893</v>
      </c>
      <c r="E128" s="1">
        <v>1</v>
      </c>
      <c r="F128" s="1" t="s">
        <v>201</v>
      </c>
      <c r="G128" s="45" t="s">
        <v>172</v>
      </c>
      <c r="H128" s="51" t="s">
        <v>2101</v>
      </c>
      <c r="I128" s="1"/>
    </row>
    <row r="129" spans="1:9">
      <c r="A129" s="1">
        <v>125</v>
      </c>
      <c r="B129" s="1" t="s">
        <v>898</v>
      </c>
      <c r="C129" s="1" t="s">
        <v>899</v>
      </c>
      <c r="D129" s="1" t="s">
        <v>900</v>
      </c>
      <c r="E129" s="1">
        <v>1</v>
      </c>
      <c r="F129" s="1" t="s">
        <v>201</v>
      </c>
      <c r="G129" s="45" t="s">
        <v>172</v>
      </c>
      <c r="H129" s="51" t="s">
        <v>2101</v>
      </c>
      <c r="I129" s="1"/>
    </row>
    <row r="130" spans="1:9">
      <c r="A130" s="1">
        <v>126</v>
      </c>
      <c r="B130" s="1" t="s">
        <v>905</v>
      </c>
      <c r="C130" s="1" t="s">
        <v>906</v>
      </c>
      <c r="D130" s="1" t="s">
        <v>907</v>
      </c>
      <c r="E130" s="1">
        <v>1</v>
      </c>
      <c r="F130" s="1" t="s">
        <v>201</v>
      </c>
      <c r="G130" s="45" t="s">
        <v>172</v>
      </c>
      <c r="H130" s="51" t="s">
        <v>2101</v>
      </c>
      <c r="I130" s="1"/>
    </row>
    <row r="131" spans="1:9">
      <c r="A131" s="1">
        <v>127</v>
      </c>
      <c r="B131" s="1" t="s">
        <v>911</v>
      </c>
      <c r="C131" s="1" t="s">
        <v>912</v>
      </c>
      <c r="D131" s="1" t="s">
        <v>913</v>
      </c>
      <c r="E131" s="1">
        <v>1</v>
      </c>
      <c r="F131" s="1" t="s">
        <v>201</v>
      </c>
      <c r="G131" s="45" t="s">
        <v>172</v>
      </c>
      <c r="H131" s="51" t="s">
        <v>2101</v>
      </c>
      <c r="I131" s="1"/>
    </row>
    <row r="132" spans="1:9">
      <c r="A132" s="1">
        <v>128</v>
      </c>
      <c r="B132" s="1" t="s">
        <v>918</v>
      </c>
      <c r="C132" s="1" t="s">
        <v>919</v>
      </c>
      <c r="D132" s="1" t="s">
        <v>254</v>
      </c>
      <c r="E132" s="1">
        <v>1</v>
      </c>
      <c r="F132" s="1" t="s">
        <v>372</v>
      </c>
      <c r="G132" s="45" t="s">
        <v>172</v>
      </c>
      <c r="H132" s="51" t="s">
        <v>2101</v>
      </c>
      <c r="I132" s="1"/>
    </row>
    <row r="133" spans="1:9">
      <c r="A133" s="1">
        <v>129</v>
      </c>
      <c r="B133" s="1" t="s">
        <v>924</v>
      </c>
      <c r="C133" s="1" t="s">
        <v>925</v>
      </c>
      <c r="D133" s="1" t="s">
        <v>926</v>
      </c>
      <c r="E133" s="1">
        <v>1</v>
      </c>
      <c r="F133" s="1" t="s">
        <v>201</v>
      </c>
      <c r="G133" s="45" t="s">
        <v>172</v>
      </c>
      <c r="H133" s="51" t="s">
        <v>2101</v>
      </c>
      <c r="I133" s="1"/>
    </row>
    <row r="134" spans="1:9">
      <c r="A134" s="1">
        <v>130</v>
      </c>
      <c r="B134" s="1" t="s">
        <v>930</v>
      </c>
      <c r="C134" s="1" t="s">
        <v>931</v>
      </c>
      <c r="D134" s="1" t="s">
        <v>932</v>
      </c>
      <c r="E134" s="1">
        <v>1</v>
      </c>
      <c r="F134" s="1" t="s">
        <v>201</v>
      </c>
      <c r="G134" s="45" t="s">
        <v>172</v>
      </c>
      <c r="H134" s="51" t="s">
        <v>2101</v>
      </c>
      <c r="I134" s="1"/>
    </row>
    <row r="135" spans="1:9">
      <c r="A135" s="1">
        <v>131</v>
      </c>
      <c r="B135" s="1" t="s">
        <v>937</v>
      </c>
      <c r="C135" s="1" t="s">
        <v>938</v>
      </c>
      <c r="D135" s="1" t="s">
        <v>939</v>
      </c>
      <c r="E135" s="1">
        <v>1</v>
      </c>
      <c r="F135" s="1" t="s">
        <v>201</v>
      </c>
      <c r="G135" s="45" t="s">
        <v>172</v>
      </c>
      <c r="H135" s="51" t="s">
        <v>2101</v>
      </c>
      <c r="I135" s="1"/>
    </row>
    <row r="136" spans="1:9">
      <c r="A136" s="1">
        <v>132</v>
      </c>
      <c r="B136" s="1" t="s">
        <v>944</v>
      </c>
      <c r="C136" s="1" t="s">
        <v>945</v>
      </c>
      <c r="D136" s="1" t="s">
        <v>946</v>
      </c>
      <c r="E136" s="1">
        <v>1</v>
      </c>
      <c r="F136" s="1" t="s">
        <v>201</v>
      </c>
      <c r="G136" s="45" t="s">
        <v>172</v>
      </c>
      <c r="H136" s="51" t="s">
        <v>2101</v>
      </c>
      <c r="I136" s="1"/>
    </row>
    <row r="137" spans="1:9">
      <c r="A137" s="1">
        <v>133</v>
      </c>
      <c r="B137" s="1" t="s">
        <v>951</v>
      </c>
      <c r="C137" s="1" t="s">
        <v>952</v>
      </c>
      <c r="D137" s="1" t="s">
        <v>953</v>
      </c>
      <c r="E137" s="1">
        <v>1</v>
      </c>
      <c r="F137" s="1" t="s">
        <v>201</v>
      </c>
      <c r="G137" s="45" t="s">
        <v>172</v>
      </c>
      <c r="H137" s="51" t="s">
        <v>2101</v>
      </c>
      <c r="I137" s="1"/>
    </row>
    <row r="138" spans="1:9">
      <c r="A138" s="1">
        <v>134</v>
      </c>
      <c r="B138" s="1" t="s">
        <v>958</v>
      </c>
      <c r="C138" s="1" t="s">
        <v>959</v>
      </c>
      <c r="D138" s="1" t="s">
        <v>960</v>
      </c>
      <c r="E138" s="1">
        <v>1</v>
      </c>
      <c r="F138" s="1" t="s">
        <v>201</v>
      </c>
      <c r="G138" s="45" t="s">
        <v>172</v>
      </c>
      <c r="H138" s="51" t="s">
        <v>2101</v>
      </c>
      <c r="I138" s="1"/>
    </row>
    <row r="139" spans="1:9">
      <c r="A139" s="1">
        <v>135</v>
      </c>
      <c r="B139" s="1" t="s">
        <v>965</v>
      </c>
      <c r="C139" s="1" t="s">
        <v>966</v>
      </c>
      <c r="D139" s="1" t="s">
        <v>967</v>
      </c>
      <c r="E139" s="1">
        <v>1</v>
      </c>
      <c r="F139" s="1" t="s">
        <v>201</v>
      </c>
      <c r="G139" s="45" t="s">
        <v>172</v>
      </c>
      <c r="H139" s="51" t="s">
        <v>2101</v>
      </c>
      <c r="I139" s="1"/>
    </row>
    <row r="140" spans="1:9">
      <c r="A140" s="1">
        <v>136</v>
      </c>
      <c r="B140" s="1" t="s">
        <v>972</v>
      </c>
      <c r="C140" s="1" t="s">
        <v>973</v>
      </c>
      <c r="D140" s="1" t="s">
        <v>974</v>
      </c>
      <c r="E140" s="1">
        <v>1</v>
      </c>
      <c r="F140" s="1" t="s">
        <v>201</v>
      </c>
      <c r="G140" s="45" t="s">
        <v>172</v>
      </c>
      <c r="H140" s="51" t="s">
        <v>2101</v>
      </c>
      <c r="I140" s="1"/>
    </row>
    <row r="141" spans="1:9">
      <c r="A141" s="1">
        <v>137</v>
      </c>
      <c r="B141" s="1" t="s">
        <v>979</v>
      </c>
      <c r="C141" s="1" t="s">
        <v>980</v>
      </c>
      <c r="D141" s="1" t="s">
        <v>981</v>
      </c>
      <c r="E141" s="1">
        <v>1</v>
      </c>
      <c r="F141" s="1" t="s">
        <v>201</v>
      </c>
      <c r="G141" s="45" t="s">
        <v>172</v>
      </c>
      <c r="H141" s="51" t="s">
        <v>2101</v>
      </c>
      <c r="I141" s="1"/>
    </row>
    <row r="142" spans="1:9">
      <c r="A142" s="1">
        <v>138</v>
      </c>
      <c r="B142" s="1" t="s">
        <v>986</v>
      </c>
      <c r="C142" s="1" t="s">
        <v>987</v>
      </c>
      <c r="D142" s="1" t="s">
        <v>988</v>
      </c>
      <c r="E142" s="1">
        <v>1</v>
      </c>
      <c r="F142" s="1" t="s">
        <v>201</v>
      </c>
      <c r="G142" s="45" t="s">
        <v>172</v>
      </c>
      <c r="H142" s="51" t="s">
        <v>2101</v>
      </c>
      <c r="I142" s="1"/>
    </row>
    <row r="143" spans="1:9">
      <c r="A143" s="1">
        <v>139</v>
      </c>
      <c r="B143" s="1" t="s">
        <v>993</v>
      </c>
      <c r="C143" s="1" t="s">
        <v>994</v>
      </c>
      <c r="D143" s="1" t="s">
        <v>995</v>
      </c>
      <c r="E143" s="1">
        <v>1</v>
      </c>
      <c r="F143" s="1" t="s">
        <v>201</v>
      </c>
      <c r="G143" s="45" t="s">
        <v>172</v>
      </c>
      <c r="H143" s="51" t="s">
        <v>2101</v>
      </c>
      <c r="I143" s="1"/>
    </row>
    <row r="144" spans="1:9">
      <c r="A144" s="1">
        <v>140</v>
      </c>
      <c r="B144" s="1" t="s">
        <v>1000</v>
      </c>
      <c r="C144" s="1" t="s">
        <v>1001</v>
      </c>
      <c r="D144" s="1" t="s">
        <v>1002</v>
      </c>
      <c r="E144" s="1">
        <v>1</v>
      </c>
      <c r="F144" s="1" t="s">
        <v>201</v>
      </c>
      <c r="G144" s="45" t="s">
        <v>172</v>
      </c>
      <c r="H144" s="51" t="s">
        <v>2101</v>
      </c>
      <c r="I144" s="1"/>
    </row>
    <row r="145" spans="1:9">
      <c r="A145" s="1">
        <v>141</v>
      </c>
      <c r="B145" s="1" t="s">
        <v>1007</v>
      </c>
      <c r="C145" s="1" t="s">
        <v>1008</v>
      </c>
      <c r="D145" s="1" t="s">
        <v>1009</v>
      </c>
      <c r="E145" s="1">
        <v>1</v>
      </c>
      <c r="F145" s="1" t="s">
        <v>201</v>
      </c>
      <c r="G145" s="45" t="s">
        <v>172</v>
      </c>
      <c r="H145" s="51" t="s">
        <v>2101</v>
      </c>
      <c r="I145" s="1"/>
    </row>
    <row r="146" spans="1:9">
      <c r="A146" s="1">
        <v>142</v>
      </c>
      <c r="B146" s="1" t="s">
        <v>1013</v>
      </c>
      <c r="C146" s="1" t="s">
        <v>1014</v>
      </c>
      <c r="D146" s="1" t="s">
        <v>1015</v>
      </c>
      <c r="E146" s="1">
        <v>1</v>
      </c>
      <c r="F146" s="1" t="s">
        <v>201</v>
      </c>
      <c r="G146" s="45" t="s">
        <v>172</v>
      </c>
      <c r="H146" s="51" t="s">
        <v>2101</v>
      </c>
      <c r="I146" s="1"/>
    </row>
    <row r="147" spans="1:9">
      <c r="A147" s="1">
        <v>143</v>
      </c>
      <c r="B147" s="1" t="s">
        <v>1019</v>
      </c>
      <c r="C147" s="1" t="s">
        <v>1020</v>
      </c>
      <c r="D147" s="1" t="s">
        <v>1021</v>
      </c>
      <c r="E147" s="1">
        <v>1</v>
      </c>
      <c r="F147" s="1" t="s">
        <v>201</v>
      </c>
      <c r="G147" s="45" t="s">
        <v>172</v>
      </c>
      <c r="H147" s="51" t="s">
        <v>2101</v>
      </c>
      <c r="I147" s="1"/>
    </row>
    <row r="148" spans="1:9">
      <c r="A148" s="1">
        <v>144</v>
      </c>
      <c r="B148" s="1" t="s">
        <v>1025</v>
      </c>
      <c r="C148" s="1" t="s">
        <v>1026</v>
      </c>
      <c r="D148" s="1" t="s">
        <v>1027</v>
      </c>
      <c r="E148" s="1">
        <v>1</v>
      </c>
      <c r="F148" s="1" t="s">
        <v>201</v>
      </c>
      <c r="G148" s="45" t="s">
        <v>172</v>
      </c>
      <c r="H148" s="51" t="s">
        <v>2101</v>
      </c>
      <c r="I148" s="1"/>
    </row>
    <row r="149" spans="1:9">
      <c r="A149" s="1">
        <v>145</v>
      </c>
      <c r="B149" s="1" t="s">
        <v>1031</v>
      </c>
      <c r="C149" s="1" t="s">
        <v>1032</v>
      </c>
      <c r="D149" s="1" t="s">
        <v>1031</v>
      </c>
      <c r="E149" s="1">
        <v>1</v>
      </c>
      <c r="F149" s="1" t="s">
        <v>201</v>
      </c>
      <c r="G149" s="45" t="s">
        <v>172</v>
      </c>
      <c r="H149" s="51" t="s">
        <v>2101</v>
      </c>
      <c r="I149" s="1"/>
    </row>
    <row r="150" spans="1:9">
      <c r="A150" s="1">
        <v>146</v>
      </c>
      <c r="B150" s="1" t="s">
        <v>1036</v>
      </c>
      <c r="C150" s="1" t="s">
        <v>1037</v>
      </c>
      <c r="D150" s="1" t="s">
        <v>1038</v>
      </c>
      <c r="E150" s="1">
        <v>1</v>
      </c>
      <c r="F150" s="1" t="s">
        <v>201</v>
      </c>
      <c r="G150" s="45" t="s">
        <v>172</v>
      </c>
      <c r="H150" s="51" t="s">
        <v>2101</v>
      </c>
      <c r="I150" s="1"/>
    </row>
    <row r="151" spans="1:9">
      <c r="A151" s="1">
        <v>147</v>
      </c>
      <c r="B151" s="1" t="s">
        <v>1043</v>
      </c>
      <c r="C151" s="1" t="s">
        <v>1044</v>
      </c>
      <c r="D151" s="1" t="s">
        <v>1045</v>
      </c>
      <c r="E151" s="1">
        <v>1</v>
      </c>
      <c r="F151" s="1" t="s">
        <v>201</v>
      </c>
      <c r="G151" s="45" t="s">
        <v>172</v>
      </c>
      <c r="H151" s="51" t="s">
        <v>2101</v>
      </c>
      <c r="I151" s="1"/>
    </row>
    <row r="152" spans="1:9">
      <c r="A152" s="1">
        <v>148</v>
      </c>
      <c r="B152" s="1" t="s">
        <v>1050</v>
      </c>
      <c r="C152" s="1" t="s">
        <v>1051</v>
      </c>
      <c r="D152" s="1" t="s">
        <v>1050</v>
      </c>
      <c r="E152" s="1">
        <v>1</v>
      </c>
      <c r="F152" s="1" t="s">
        <v>201</v>
      </c>
      <c r="G152" s="45" t="s">
        <v>172</v>
      </c>
      <c r="H152" s="51" t="s">
        <v>2101</v>
      </c>
      <c r="I152" s="1"/>
    </row>
    <row r="153" spans="1:9">
      <c r="A153" s="1">
        <v>149</v>
      </c>
      <c r="B153" s="1" t="s">
        <v>1055</v>
      </c>
      <c r="C153" s="1" t="s">
        <v>1056</v>
      </c>
      <c r="D153" s="1" t="s">
        <v>1055</v>
      </c>
      <c r="E153" s="1">
        <v>1</v>
      </c>
      <c r="F153" s="1" t="s">
        <v>201</v>
      </c>
      <c r="G153" s="45" t="s">
        <v>172</v>
      </c>
      <c r="H153" s="51" t="s">
        <v>2101</v>
      </c>
      <c r="I153" s="1"/>
    </row>
    <row r="154" spans="1:9">
      <c r="A154" s="1">
        <v>150</v>
      </c>
      <c r="B154" s="1" t="s">
        <v>1060</v>
      </c>
      <c r="C154" s="1" t="s">
        <v>1061</v>
      </c>
      <c r="D154" s="1" t="s">
        <v>1060</v>
      </c>
      <c r="E154" s="1">
        <v>1</v>
      </c>
      <c r="F154" s="1" t="s">
        <v>201</v>
      </c>
      <c r="G154" s="45" t="s">
        <v>172</v>
      </c>
      <c r="H154" s="51" t="s">
        <v>2101</v>
      </c>
      <c r="I154" s="1"/>
    </row>
    <row r="155" spans="1:9">
      <c r="A155" s="1">
        <v>151</v>
      </c>
      <c r="B155" s="1" t="s">
        <v>1065</v>
      </c>
      <c r="C155" s="1" t="s">
        <v>1066</v>
      </c>
      <c r="D155" s="1" t="s">
        <v>1067</v>
      </c>
      <c r="E155" s="1">
        <v>1</v>
      </c>
      <c r="F155" s="1" t="s">
        <v>201</v>
      </c>
      <c r="G155" s="45" t="s">
        <v>172</v>
      </c>
      <c r="H155" s="51" t="s">
        <v>2101</v>
      </c>
      <c r="I155" s="1"/>
    </row>
    <row r="156" spans="1:9">
      <c r="A156" s="1">
        <v>152</v>
      </c>
      <c r="B156" s="1" t="s">
        <v>1072</v>
      </c>
      <c r="C156" s="1" t="s">
        <v>1073</v>
      </c>
      <c r="D156" s="1" t="s">
        <v>1074</v>
      </c>
      <c r="E156" s="1">
        <v>1</v>
      </c>
      <c r="F156" s="1" t="s">
        <v>201</v>
      </c>
      <c r="G156" s="45" t="s">
        <v>172</v>
      </c>
      <c r="H156" s="51" t="s">
        <v>2101</v>
      </c>
      <c r="I156" s="1"/>
    </row>
    <row r="157" spans="1:9">
      <c r="A157" s="1">
        <v>153</v>
      </c>
      <c r="B157" s="1" t="s">
        <v>1078</v>
      </c>
      <c r="C157" s="1" t="s">
        <v>1079</v>
      </c>
      <c r="D157" s="1" t="s">
        <v>1078</v>
      </c>
      <c r="E157" s="1">
        <v>1</v>
      </c>
      <c r="F157" s="1" t="s">
        <v>201</v>
      </c>
      <c r="G157" s="45" t="s">
        <v>172</v>
      </c>
      <c r="H157" s="51" t="s">
        <v>2101</v>
      </c>
      <c r="I157" s="1"/>
    </row>
    <row r="158" spans="1:9">
      <c r="A158" s="1">
        <v>154</v>
      </c>
      <c r="B158" s="1" t="s">
        <v>1083</v>
      </c>
      <c r="C158" s="1" t="s">
        <v>1084</v>
      </c>
      <c r="D158" s="1" t="s">
        <v>1085</v>
      </c>
      <c r="E158" s="1">
        <v>1</v>
      </c>
      <c r="F158" s="1" t="s">
        <v>201</v>
      </c>
      <c r="G158" s="45" t="s">
        <v>172</v>
      </c>
      <c r="H158" s="51" t="s">
        <v>2101</v>
      </c>
      <c r="I158" s="1"/>
    </row>
    <row r="159" spans="1:9">
      <c r="A159" s="1">
        <v>155</v>
      </c>
      <c r="B159" s="1" t="s">
        <v>1089</v>
      </c>
      <c r="C159" s="1" t="s">
        <v>1090</v>
      </c>
      <c r="D159" s="1" t="s">
        <v>1091</v>
      </c>
      <c r="E159" s="1">
        <v>1</v>
      </c>
      <c r="F159" s="1" t="s">
        <v>201</v>
      </c>
      <c r="G159" s="45" t="s">
        <v>172</v>
      </c>
      <c r="H159" s="51" t="s">
        <v>2101</v>
      </c>
      <c r="I159" s="1"/>
    </row>
    <row r="160" spans="1:9">
      <c r="A160" s="1">
        <v>156</v>
      </c>
      <c r="B160" s="1" t="s">
        <v>1095</v>
      </c>
      <c r="C160" s="1" t="s">
        <v>1096</v>
      </c>
      <c r="D160" s="1" t="s">
        <v>1095</v>
      </c>
      <c r="E160" s="1">
        <v>1</v>
      </c>
      <c r="F160" s="1" t="s">
        <v>201</v>
      </c>
      <c r="G160" s="45" t="s">
        <v>172</v>
      </c>
      <c r="H160" s="51" t="s">
        <v>2101</v>
      </c>
      <c r="I160" s="1"/>
    </row>
    <row r="161" spans="1:9">
      <c r="A161" s="1">
        <v>157</v>
      </c>
      <c r="B161" s="1" t="s">
        <v>1099</v>
      </c>
      <c r="C161" s="1" t="s">
        <v>1100</v>
      </c>
      <c r="D161" s="1" t="s">
        <v>1101</v>
      </c>
      <c r="E161" s="1">
        <v>1</v>
      </c>
      <c r="F161" s="1" t="s">
        <v>201</v>
      </c>
      <c r="G161" s="45" t="s">
        <v>172</v>
      </c>
      <c r="H161" s="51" t="s">
        <v>2101</v>
      </c>
      <c r="I161" s="1"/>
    </row>
    <row r="162" spans="1:9">
      <c r="A162" s="1">
        <v>158</v>
      </c>
      <c r="B162" s="1" t="s">
        <v>1106</v>
      </c>
      <c r="C162" s="1" t="s">
        <v>1107</v>
      </c>
      <c r="D162" s="1" t="s">
        <v>1108</v>
      </c>
      <c r="E162" s="1">
        <v>1</v>
      </c>
      <c r="F162" s="1" t="s">
        <v>201</v>
      </c>
      <c r="G162" s="45" t="s">
        <v>172</v>
      </c>
      <c r="H162" s="51" t="s">
        <v>2101</v>
      </c>
      <c r="I162" s="1"/>
    </row>
    <row r="163" spans="1:9">
      <c r="A163" s="1">
        <v>159</v>
      </c>
      <c r="B163" s="1" t="s">
        <v>1113</v>
      </c>
      <c r="C163" s="1" t="s">
        <v>1114</v>
      </c>
      <c r="D163" s="1" t="s">
        <v>1115</v>
      </c>
      <c r="E163" s="1">
        <v>1</v>
      </c>
      <c r="F163" s="1" t="s">
        <v>201</v>
      </c>
      <c r="G163" s="45" t="s">
        <v>172</v>
      </c>
      <c r="H163" s="51" t="s">
        <v>2101</v>
      </c>
      <c r="I163" s="1"/>
    </row>
    <row r="164" spans="1:9">
      <c r="A164" s="1">
        <v>160</v>
      </c>
      <c r="B164" s="1" t="s">
        <v>1120</v>
      </c>
      <c r="C164" s="1" t="s">
        <v>1121</v>
      </c>
      <c r="D164" s="1" t="s">
        <v>1122</v>
      </c>
      <c r="E164" s="1">
        <v>1</v>
      </c>
      <c r="F164" s="1" t="s">
        <v>201</v>
      </c>
      <c r="G164" s="45" t="s">
        <v>172</v>
      </c>
      <c r="H164" s="51" t="s">
        <v>2101</v>
      </c>
      <c r="I164" s="1"/>
    </row>
    <row r="165" spans="1:9">
      <c r="A165" s="1">
        <v>161</v>
      </c>
      <c r="B165" s="1" t="s">
        <v>1127</v>
      </c>
      <c r="C165" s="1" t="s">
        <v>1128</v>
      </c>
      <c r="D165" s="1" t="s">
        <v>1129</v>
      </c>
      <c r="E165" s="1">
        <v>1</v>
      </c>
      <c r="F165" s="1" t="s">
        <v>201</v>
      </c>
      <c r="G165" s="45" t="s">
        <v>172</v>
      </c>
      <c r="H165" s="51" t="s">
        <v>2101</v>
      </c>
      <c r="I165" s="1"/>
    </row>
    <row r="166" spans="1:9">
      <c r="A166" s="1">
        <v>162</v>
      </c>
      <c r="B166" s="1" t="s">
        <v>1134</v>
      </c>
      <c r="C166" s="1" t="s">
        <v>1135</v>
      </c>
      <c r="D166" s="1" t="s">
        <v>1136</v>
      </c>
      <c r="E166" s="1">
        <v>1</v>
      </c>
      <c r="F166" s="1" t="s">
        <v>201</v>
      </c>
      <c r="G166" s="45" t="s">
        <v>172</v>
      </c>
      <c r="H166" s="51" t="s">
        <v>2101</v>
      </c>
      <c r="I166" s="1"/>
    </row>
    <row r="167" spans="1:9">
      <c r="A167" s="1">
        <v>163</v>
      </c>
      <c r="B167" s="1" t="s">
        <v>1141</v>
      </c>
      <c r="C167" s="1" t="s">
        <v>1142</v>
      </c>
      <c r="D167" s="1" t="s">
        <v>1143</v>
      </c>
      <c r="E167" s="1">
        <v>1</v>
      </c>
      <c r="F167" s="1" t="s">
        <v>201</v>
      </c>
      <c r="G167" s="45" t="s">
        <v>172</v>
      </c>
      <c r="H167" s="51" t="s">
        <v>2101</v>
      </c>
      <c r="I167" s="1"/>
    </row>
    <row r="168" spans="1:9">
      <c r="A168" s="1">
        <v>164</v>
      </c>
      <c r="B168" s="1" t="s">
        <v>1148</v>
      </c>
      <c r="C168" s="1" t="s">
        <v>1149</v>
      </c>
      <c r="D168" s="1" t="s">
        <v>1150</v>
      </c>
      <c r="E168" s="1">
        <v>1</v>
      </c>
      <c r="F168" s="1" t="s">
        <v>201</v>
      </c>
      <c r="G168" s="45" t="s">
        <v>172</v>
      </c>
      <c r="H168" s="51" t="s">
        <v>2101</v>
      </c>
      <c r="I168" s="1"/>
    </row>
    <row r="169" spans="1:9">
      <c r="A169" s="1">
        <v>165</v>
      </c>
      <c r="B169" s="1" t="s">
        <v>1155</v>
      </c>
      <c r="C169" s="1" t="s">
        <v>1156</v>
      </c>
      <c r="D169" s="1" t="s">
        <v>1157</v>
      </c>
      <c r="E169" s="1">
        <v>1</v>
      </c>
      <c r="F169" s="1" t="s">
        <v>201</v>
      </c>
      <c r="G169" s="45" t="s">
        <v>172</v>
      </c>
      <c r="H169" s="51" t="s">
        <v>2101</v>
      </c>
      <c r="I169" s="1"/>
    </row>
    <row r="170" spans="1:9">
      <c r="A170" s="1">
        <v>166</v>
      </c>
      <c r="B170" s="1" t="s">
        <v>1162</v>
      </c>
      <c r="C170" s="1" t="s">
        <v>1163</v>
      </c>
      <c r="D170" s="1" t="s">
        <v>1164</v>
      </c>
      <c r="E170" s="1">
        <v>1</v>
      </c>
      <c r="F170" s="1" t="s">
        <v>201</v>
      </c>
      <c r="G170" s="45" t="s">
        <v>172</v>
      </c>
      <c r="H170" s="51" t="s">
        <v>2101</v>
      </c>
      <c r="I170" s="1"/>
    </row>
    <row r="171" spans="1:9">
      <c r="A171" s="1">
        <v>167</v>
      </c>
      <c r="B171" s="1" t="s">
        <v>1169</v>
      </c>
      <c r="C171" s="1" t="s">
        <v>1170</v>
      </c>
      <c r="D171" s="1" t="s">
        <v>1171</v>
      </c>
      <c r="E171" s="1">
        <v>1</v>
      </c>
      <c r="F171" s="1" t="s">
        <v>201</v>
      </c>
      <c r="G171" s="45" t="s">
        <v>172</v>
      </c>
      <c r="H171" s="51" t="s">
        <v>2101</v>
      </c>
      <c r="I171" s="1"/>
    </row>
    <row r="172" spans="1:9">
      <c r="A172" s="1">
        <v>168</v>
      </c>
      <c r="B172" s="1" t="s">
        <v>1176</v>
      </c>
      <c r="C172" s="1" t="s">
        <v>1177</v>
      </c>
      <c r="D172" s="1" t="s">
        <v>1178</v>
      </c>
      <c r="E172" s="1">
        <v>1</v>
      </c>
      <c r="F172" s="1" t="s">
        <v>201</v>
      </c>
      <c r="G172" s="45" t="s">
        <v>172</v>
      </c>
      <c r="H172" s="51" t="s">
        <v>2101</v>
      </c>
      <c r="I172" s="1"/>
    </row>
    <row r="173" spans="1:9">
      <c r="A173" s="1">
        <v>169</v>
      </c>
      <c r="B173" s="1" t="s">
        <v>1183</v>
      </c>
      <c r="C173" s="1" t="s">
        <v>1184</v>
      </c>
      <c r="D173" s="1" t="s">
        <v>1185</v>
      </c>
      <c r="E173" s="1">
        <v>1</v>
      </c>
      <c r="F173" s="1" t="s">
        <v>201</v>
      </c>
      <c r="G173" s="45" t="s">
        <v>172</v>
      </c>
      <c r="H173" s="51" t="s">
        <v>2101</v>
      </c>
      <c r="I173" s="1"/>
    </row>
    <row r="174" spans="1:9">
      <c r="A174" s="1">
        <v>170</v>
      </c>
      <c r="B174" s="1" t="s">
        <v>1190</v>
      </c>
      <c r="C174" s="1" t="s">
        <v>1191</v>
      </c>
      <c r="D174" s="1" t="s">
        <v>1192</v>
      </c>
      <c r="E174" s="1">
        <v>1</v>
      </c>
      <c r="F174" s="1" t="s">
        <v>201</v>
      </c>
      <c r="G174" s="45" t="s">
        <v>172</v>
      </c>
      <c r="H174" s="51" t="s">
        <v>2101</v>
      </c>
      <c r="I174" s="1"/>
    </row>
    <row r="175" spans="1:9">
      <c r="A175" s="1">
        <v>171</v>
      </c>
      <c r="B175" s="1" t="s">
        <v>1197</v>
      </c>
      <c r="C175" s="1" t="s">
        <v>1198</v>
      </c>
      <c r="D175" s="1" t="s">
        <v>1199</v>
      </c>
      <c r="E175" s="1">
        <v>1</v>
      </c>
      <c r="F175" s="1" t="s">
        <v>201</v>
      </c>
      <c r="G175" s="45" t="s">
        <v>172</v>
      </c>
      <c r="H175" s="51" t="s">
        <v>2101</v>
      </c>
      <c r="I175" s="1"/>
    </row>
    <row r="176" spans="1:9">
      <c r="A176" s="1">
        <v>172</v>
      </c>
      <c r="B176" s="1" t="s">
        <v>1204</v>
      </c>
      <c r="C176" s="1" t="s">
        <v>1205</v>
      </c>
      <c r="D176" s="1" t="s">
        <v>1206</v>
      </c>
      <c r="E176" s="1">
        <v>1</v>
      </c>
      <c r="F176" s="1" t="s">
        <v>201</v>
      </c>
      <c r="G176" s="45" t="s">
        <v>172</v>
      </c>
      <c r="H176" s="51" t="s">
        <v>2101</v>
      </c>
      <c r="I176" s="1"/>
    </row>
    <row r="177" spans="1:9">
      <c r="A177" s="1">
        <v>173</v>
      </c>
      <c r="B177" s="1" t="s">
        <v>1211</v>
      </c>
      <c r="C177" s="1" t="s">
        <v>1212</v>
      </c>
      <c r="D177" s="1" t="s">
        <v>1213</v>
      </c>
      <c r="E177" s="1">
        <v>1</v>
      </c>
      <c r="F177" s="1" t="s">
        <v>201</v>
      </c>
      <c r="G177" s="45" t="s">
        <v>172</v>
      </c>
      <c r="H177" s="51" t="s">
        <v>2101</v>
      </c>
      <c r="I177" s="1"/>
    </row>
    <row r="178" spans="1:9">
      <c r="A178" s="1">
        <v>174</v>
      </c>
      <c r="B178" s="1" t="s">
        <v>1218</v>
      </c>
      <c r="C178" s="1" t="s">
        <v>1219</v>
      </c>
      <c r="D178" s="1" t="s">
        <v>1220</v>
      </c>
      <c r="E178" s="1">
        <v>1</v>
      </c>
      <c r="F178" s="1" t="s">
        <v>201</v>
      </c>
      <c r="G178" s="45" t="s">
        <v>172</v>
      </c>
      <c r="H178" s="51" t="s">
        <v>2101</v>
      </c>
      <c r="I178" s="1"/>
    </row>
    <row r="179" spans="1:9">
      <c r="A179" s="1">
        <v>175</v>
      </c>
      <c r="B179" s="1" t="s">
        <v>1225</v>
      </c>
      <c r="C179" s="1" t="s">
        <v>1226</v>
      </c>
      <c r="D179" s="1" t="s">
        <v>1227</v>
      </c>
      <c r="E179" s="1">
        <v>1</v>
      </c>
      <c r="F179" s="1" t="s">
        <v>201</v>
      </c>
      <c r="G179" s="45" t="s">
        <v>172</v>
      </c>
      <c r="H179" s="51" t="s">
        <v>2101</v>
      </c>
      <c r="I179" s="1"/>
    </row>
    <row r="180" spans="1:9">
      <c r="A180" s="1">
        <v>176</v>
      </c>
      <c r="B180" s="1" t="s">
        <v>1232</v>
      </c>
      <c r="C180" s="1" t="s">
        <v>1233</v>
      </c>
      <c r="D180" s="1" t="s">
        <v>1232</v>
      </c>
      <c r="E180" s="1">
        <v>1</v>
      </c>
      <c r="F180" s="1" t="s">
        <v>201</v>
      </c>
      <c r="G180" s="45" t="s">
        <v>172</v>
      </c>
      <c r="H180" s="51" t="s">
        <v>2101</v>
      </c>
      <c r="I180" s="1"/>
    </row>
    <row r="181" spans="1:9">
      <c r="A181" s="1">
        <v>177</v>
      </c>
      <c r="B181" s="1" t="s">
        <v>1238</v>
      </c>
      <c r="C181" s="1" t="s">
        <v>1239</v>
      </c>
      <c r="D181" s="1" t="s">
        <v>1240</v>
      </c>
      <c r="E181" s="1">
        <v>1</v>
      </c>
      <c r="F181" s="1" t="s">
        <v>201</v>
      </c>
      <c r="G181" s="45" t="s">
        <v>172</v>
      </c>
      <c r="H181" s="51" t="s">
        <v>2101</v>
      </c>
      <c r="I181" s="1"/>
    </row>
    <row r="182" spans="1:9">
      <c r="A182" s="1">
        <v>178</v>
      </c>
      <c r="B182" s="1" t="s">
        <v>1244</v>
      </c>
      <c r="C182" s="1" t="s">
        <v>1245</v>
      </c>
      <c r="D182" s="1" t="s">
        <v>1246</v>
      </c>
      <c r="E182" s="1">
        <v>1</v>
      </c>
      <c r="F182" s="1" t="s">
        <v>201</v>
      </c>
      <c r="G182" s="45" t="s">
        <v>172</v>
      </c>
      <c r="H182" s="51" t="s">
        <v>2101</v>
      </c>
      <c r="I182" s="1"/>
    </row>
    <row r="183" spans="1:9">
      <c r="A183" s="1">
        <v>179</v>
      </c>
      <c r="B183" s="1" t="s">
        <v>1250</v>
      </c>
      <c r="C183" s="1" t="s">
        <v>1251</v>
      </c>
      <c r="D183" s="1" t="s">
        <v>1252</v>
      </c>
      <c r="E183" s="1">
        <v>1</v>
      </c>
      <c r="F183" s="1" t="s">
        <v>201</v>
      </c>
      <c r="G183" s="45" t="s">
        <v>172</v>
      </c>
      <c r="H183" s="51" t="s">
        <v>2101</v>
      </c>
      <c r="I183" s="1"/>
    </row>
    <row r="184" spans="1:9">
      <c r="A184" s="1">
        <v>180</v>
      </c>
      <c r="B184" s="1" t="s">
        <v>1257</v>
      </c>
      <c r="C184" s="1" t="s">
        <v>1258</v>
      </c>
      <c r="D184" s="1" t="s">
        <v>1259</v>
      </c>
      <c r="E184" s="1">
        <v>1</v>
      </c>
      <c r="F184" s="1" t="s">
        <v>201</v>
      </c>
      <c r="G184" s="45" t="s">
        <v>172</v>
      </c>
      <c r="H184" s="51" t="s">
        <v>2101</v>
      </c>
      <c r="I184" s="1"/>
    </row>
    <row r="185" spans="1:9">
      <c r="A185" s="1">
        <v>181</v>
      </c>
      <c r="B185" s="1" t="s">
        <v>1263</v>
      </c>
      <c r="C185" s="1" t="s">
        <v>1264</v>
      </c>
      <c r="D185" s="1" t="s">
        <v>1265</v>
      </c>
      <c r="E185" s="1">
        <v>1</v>
      </c>
      <c r="F185" s="1" t="s">
        <v>201</v>
      </c>
      <c r="G185" s="45" t="s">
        <v>172</v>
      </c>
      <c r="H185" s="51" t="s">
        <v>2101</v>
      </c>
      <c r="I185" s="1"/>
    </row>
    <row r="186" spans="1:9">
      <c r="A186" s="1">
        <v>182</v>
      </c>
      <c r="B186" s="1" t="s">
        <v>1269</v>
      </c>
      <c r="C186" s="1" t="s">
        <v>1270</v>
      </c>
      <c r="D186" s="1" t="s">
        <v>1269</v>
      </c>
      <c r="E186" s="1">
        <v>1</v>
      </c>
      <c r="F186" s="1" t="s">
        <v>201</v>
      </c>
      <c r="G186" s="45" t="s">
        <v>172</v>
      </c>
      <c r="H186" s="51" t="s">
        <v>2101</v>
      </c>
      <c r="I186" s="1"/>
    </row>
    <row r="187" spans="1:9">
      <c r="A187" s="1">
        <v>183</v>
      </c>
      <c r="B187" s="1" t="s">
        <v>1274</v>
      </c>
      <c r="C187" s="1" t="s">
        <v>1275</v>
      </c>
      <c r="D187" s="1" t="s">
        <v>1274</v>
      </c>
      <c r="E187" s="1">
        <v>1</v>
      </c>
      <c r="F187" s="1" t="s">
        <v>201</v>
      </c>
      <c r="G187" s="45" t="s">
        <v>172</v>
      </c>
      <c r="H187" s="51" t="s">
        <v>2101</v>
      </c>
      <c r="I187" s="1"/>
    </row>
    <row r="188" spans="1:9">
      <c r="A188" s="1">
        <v>184</v>
      </c>
      <c r="B188" s="1" t="s">
        <v>1279</v>
      </c>
      <c r="C188" s="1" t="s">
        <v>1280</v>
      </c>
      <c r="D188" s="1" t="s">
        <v>1281</v>
      </c>
      <c r="E188" s="1">
        <v>1</v>
      </c>
      <c r="F188" s="1" t="s">
        <v>201</v>
      </c>
      <c r="G188" s="45" t="s">
        <v>172</v>
      </c>
      <c r="H188" s="51" t="s">
        <v>2101</v>
      </c>
      <c r="I188" s="1"/>
    </row>
    <row r="189" spans="1:9">
      <c r="A189" s="1">
        <v>185</v>
      </c>
      <c r="B189" s="1" t="s">
        <v>1286</v>
      </c>
      <c r="C189" s="1" t="s">
        <v>1287</v>
      </c>
      <c r="D189" s="1" t="s">
        <v>1288</v>
      </c>
      <c r="E189" s="1">
        <v>1</v>
      </c>
      <c r="F189" s="1" t="s">
        <v>201</v>
      </c>
      <c r="G189" s="45" t="s">
        <v>172</v>
      </c>
      <c r="H189" s="51" t="s">
        <v>2101</v>
      </c>
      <c r="I189" s="1"/>
    </row>
    <row r="190" spans="1:9">
      <c r="A190" s="1">
        <v>186</v>
      </c>
      <c r="B190" s="1" t="s">
        <v>1292</v>
      </c>
      <c r="C190" s="1" t="s">
        <v>1293</v>
      </c>
      <c r="D190" s="1" t="s">
        <v>1294</v>
      </c>
      <c r="E190" s="1">
        <v>1</v>
      </c>
      <c r="F190" s="1" t="s">
        <v>201</v>
      </c>
      <c r="G190" s="45" t="s">
        <v>172</v>
      </c>
      <c r="H190" s="51" t="s">
        <v>2101</v>
      </c>
      <c r="I190" s="1"/>
    </row>
    <row r="191" spans="1:9">
      <c r="A191" s="1">
        <v>187</v>
      </c>
      <c r="B191" s="1" t="s">
        <v>1298</v>
      </c>
      <c r="C191" s="1" t="s">
        <v>1299</v>
      </c>
      <c r="D191" s="1" t="s">
        <v>1300</v>
      </c>
      <c r="E191" s="1">
        <v>1</v>
      </c>
      <c r="F191" s="1" t="s">
        <v>201</v>
      </c>
      <c r="G191" s="45" t="s">
        <v>172</v>
      </c>
      <c r="H191" s="51" t="s">
        <v>2101</v>
      </c>
      <c r="I191" s="1"/>
    </row>
    <row r="192" spans="1:9">
      <c r="A192" s="1">
        <v>188</v>
      </c>
      <c r="B192" s="1" t="s">
        <v>1303</v>
      </c>
      <c r="C192" s="1" t="s">
        <v>1304</v>
      </c>
      <c r="D192" s="1" t="s">
        <v>1305</v>
      </c>
      <c r="E192" s="1">
        <v>1</v>
      </c>
      <c r="F192" s="1" t="s">
        <v>201</v>
      </c>
      <c r="G192" s="45" t="s">
        <v>172</v>
      </c>
      <c r="H192" s="51" t="s">
        <v>2101</v>
      </c>
      <c r="I192" s="1"/>
    </row>
    <row r="193" spans="1:9">
      <c r="A193" s="1">
        <v>189</v>
      </c>
      <c r="B193" s="1" t="s">
        <v>1308</v>
      </c>
      <c r="C193" s="1" t="s">
        <v>1309</v>
      </c>
      <c r="D193" s="1" t="s">
        <v>1310</v>
      </c>
      <c r="E193" s="1">
        <v>1</v>
      </c>
      <c r="F193" s="1" t="s">
        <v>201</v>
      </c>
      <c r="G193" s="45" t="s">
        <v>172</v>
      </c>
      <c r="H193" s="51" t="s">
        <v>2101</v>
      </c>
      <c r="I193" s="1"/>
    </row>
    <row r="194" spans="1:9">
      <c r="A194" s="1">
        <v>190</v>
      </c>
      <c r="B194" s="1" t="s">
        <v>1315</v>
      </c>
      <c r="C194" s="1" t="s">
        <v>1316</v>
      </c>
      <c r="D194" s="1" t="s">
        <v>1317</v>
      </c>
      <c r="E194" s="1">
        <v>1</v>
      </c>
      <c r="F194" s="1" t="s">
        <v>201</v>
      </c>
      <c r="G194" s="45" t="s">
        <v>172</v>
      </c>
      <c r="H194" s="51" t="s">
        <v>2101</v>
      </c>
      <c r="I194" s="1"/>
    </row>
    <row r="195" spans="1:9">
      <c r="A195" s="1">
        <v>191</v>
      </c>
      <c r="B195" s="1" t="s">
        <v>1322</v>
      </c>
      <c r="C195" s="1" t="s">
        <v>1323</v>
      </c>
      <c r="D195" s="1" t="s">
        <v>1324</v>
      </c>
      <c r="E195" s="1">
        <v>1</v>
      </c>
      <c r="F195" s="1" t="s">
        <v>201</v>
      </c>
      <c r="G195" s="45" t="s">
        <v>172</v>
      </c>
      <c r="H195" s="51" t="s">
        <v>2101</v>
      </c>
      <c r="I195" s="1"/>
    </row>
    <row r="196" spans="1:9">
      <c r="A196" s="1">
        <v>192</v>
      </c>
      <c r="B196" s="1" t="s">
        <v>1329</v>
      </c>
      <c r="C196" s="1" t="s">
        <v>1330</v>
      </c>
      <c r="D196" s="1" t="s">
        <v>1331</v>
      </c>
      <c r="E196" s="1">
        <v>1</v>
      </c>
      <c r="F196" s="1" t="s">
        <v>201</v>
      </c>
      <c r="G196" s="45" t="s">
        <v>172</v>
      </c>
      <c r="H196" s="51" t="s">
        <v>2101</v>
      </c>
      <c r="I196" s="1"/>
    </row>
    <row r="197" spans="1:9">
      <c r="A197" s="1">
        <v>193</v>
      </c>
      <c r="B197" s="1" t="s">
        <v>1336</v>
      </c>
      <c r="C197" s="1" t="s">
        <v>1337</v>
      </c>
      <c r="D197" s="1" t="s">
        <v>1336</v>
      </c>
      <c r="E197" s="1">
        <v>1</v>
      </c>
      <c r="F197" s="1" t="s">
        <v>201</v>
      </c>
      <c r="G197" s="45" t="s">
        <v>172</v>
      </c>
      <c r="H197" s="51" t="s">
        <v>2101</v>
      </c>
      <c r="I197" s="1"/>
    </row>
    <row r="198" spans="1:9">
      <c r="A198" s="1">
        <v>194</v>
      </c>
      <c r="B198" s="1" t="s">
        <v>1342</v>
      </c>
      <c r="C198" s="1" t="s">
        <v>1343</v>
      </c>
      <c r="D198" s="1" t="s">
        <v>1342</v>
      </c>
      <c r="E198" s="1">
        <v>1</v>
      </c>
      <c r="F198" s="1" t="s">
        <v>201</v>
      </c>
      <c r="G198" s="45" t="s">
        <v>172</v>
      </c>
      <c r="H198" s="51" t="s">
        <v>2101</v>
      </c>
      <c r="I198" s="1"/>
    </row>
    <row r="199" spans="1:9">
      <c r="A199" s="1">
        <v>195</v>
      </c>
      <c r="B199" s="1" t="s">
        <v>1348</v>
      </c>
      <c r="C199" s="1" t="s">
        <v>1349</v>
      </c>
      <c r="D199" s="1" t="s">
        <v>1350</v>
      </c>
      <c r="E199" s="1">
        <v>1</v>
      </c>
      <c r="F199" s="1" t="s">
        <v>201</v>
      </c>
      <c r="G199" s="45" t="s">
        <v>172</v>
      </c>
      <c r="H199" s="51" t="s">
        <v>2101</v>
      </c>
      <c r="I199" s="1"/>
    </row>
    <row r="200" spans="1:9">
      <c r="A200" s="1">
        <v>196</v>
      </c>
      <c r="B200" s="1" t="s">
        <v>1355</v>
      </c>
      <c r="C200" s="1" t="s">
        <v>1356</v>
      </c>
      <c r="D200" s="1" t="s">
        <v>1355</v>
      </c>
      <c r="E200" s="1">
        <v>1</v>
      </c>
      <c r="F200" s="1" t="s">
        <v>201</v>
      </c>
      <c r="G200" s="45" t="s">
        <v>172</v>
      </c>
      <c r="H200" s="51" t="s">
        <v>2101</v>
      </c>
      <c r="I200" s="1"/>
    </row>
    <row r="201" spans="1:9">
      <c r="A201" s="1">
        <v>197</v>
      </c>
      <c r="B201" s="1" t="s">
        <v>1361</v>
      </c>
      <c r="C201" s="1" t="s">
        <v>1362</v>
      </c>
      <c r="D201" s="1" t="s">
        <v>1363</v>
      </c>
      <c r="E201" s="1">
        <v>1</v>
      </c>
      <c r="F201" s="1" t="s">
        <v>201</v>
      </c>
      <c r="G201" s="45" t="s">
        <v>172</v>
      </c>
      <c r="H201" s="51" t="s">
        <v>2101</v>
      </c>
      <c r="I201" s="1"/>
    </row>
    <row r="202" spans="1:9">
      <c r="A202" s="1">
        <v>198</v>
      </c>
      <c r="B202" s="1" t="s">
        <v>1368</v>
      </c>
      <c r="C202" s="1" t="s">
        <v>1369</v>
      </c>
      <c r="D202" s="1" t="s">
        <v>1370</v>
      </c>
      <c r="E202" s="1">
        <v>1</v>
      </c>
      <c r="F202" s="1" t="s">
        <v>201</v>
      </c>
      <c r="G202" s="45" t="s">
        <v>172</v>
      </c>
      <c r="H202" s="51" t="s">
        <v>2101</v>
      </c>
      <c r="I202" s="1"/>
    </row>
    <row r="203" spans="1:9">
      <c r="A203" s="1">
        <v>199</v>
      </c>
      <c r="B203" s="1" t="s">
        <v>1375</v>
      </c>
      <c r="C203" s="1" t="s">
        <v>1376</v>
      </c>
      <c r="D203" s="1" t="s">
        <v>1377</v>
      </c>
      <c r="E203" s="1">
        <v>1</v>
      </c>
      <c r="F203" s="1" t="s">
        <v>201</v>
      </c>
      <c r="G203" s="45" t="s">
        <v>172</v>
      </c>
      <c r="H203" s="51" t="s">
        <v>2101</v>
      </c>
      <c r="I203" s="1"/>
    </row>
    <row r="204" spans="1:9">
      <c r="A204" s="1">
        <v>200</v>
      </c>
      <c r="B204" s="1" t="s">
        <v>1382</v>
      </c>
      <c r="C204" s="1" t="s">
        <v>1383</v>
      </c>
      <c r="D204" s="1" t="s">
        <v>1382</v>
      </c>
      <c r="E204" s="1">
        <v>1</v>
      </c>
      <c r="F204" s="1" t="s">
        <v>201</v>
      </c>
      <c r="G204" s="45" t="s">
        <v>172</v>
      </c>
      <c r="H204" s="51" t="s">
        <v>2101</v>
      </c>
      <c r="I204" s="1"/>
    </row>
    <row r="205" spans="1:9">
      <c r="A205" s="1">
        <v>201</v>
      </c>
      <c r="B205" s="1" t="s">
        <v>1388</v>
      </c>
      <c r="C205" s="1" t="s">
        <v>1389</v>
      </c>
      <c r="D205" s="1" t="s">
        <v>1388</v>
      </c>
      <c r="E205" s="1">
        <v>1</v>
      </c>
      <c r="F205" s="1" t="s">
        <v>201</v>
      </c>
      <c r="G205" s="45" t="s">
        <v>172</v>
      </c>
      <c r="H205" s="51" t="s">
        <v>2101</v>
      </c>
      <c r="I205" s="1"/>
    </row>
    <row r="206" spans="1:9">
      <c r="A206" s="1">
        <v>202</v>
      </c>
      <c r="B206" s="1" t="s">
        <v>1394</v>
      </c>
      <c r="C206" s="1" t="s">
        <v>1395</v>
      </c>
      <c r="D206" s="1" t="s">
        <v>1396</v>
      </c>
      <c r="E206" s="1">
        <v>1</v>
      </c>
      <c r="F206" s="1" t="s">
        <v>201</v>
      </c>
      <c r="G206" s="45" t="s">
        <v>172</v>
      </c>
      <c r="H206" s="51" t="s">
        <v>2101</v>
      </c>
      <c r="I206" s="1"/>
    </row>
    <row r="207" spans="1:9">
      <c r="A207" s="1">
        <v>203</v>
      </c>
      <c r="B207" s="1" t="s">
        <v>1401</v>
      </c>
      <c r="C207" s="1" t="s">
        <v>1402</v>
      </c>
      <c r="D207" s="1" t="s">
        <v>1401</v>
      </c>
      <c r="E207" s="1">
        <v>1</v>
      </c>
      <c r="F207" s="1" t="s">
        <v>201</v>
      </c>
      <c r="G207" s="45" t="s">
        <v>172</v>
      </c>
      <c r="H207" s="51" t="s">
        <v>2101</v>
      </c>
      <c r="I207" s="1"/>
    </row>
    <row r="208" spans="1:9">
      <c r="A208" s="1">
        <v>204</v>
      </c>
      <c r="B208" s="1" t="s">
        <v>1407</v>
      </c>
      <c r="C208" s="1" t="s">
        <v>1408</v>
      </c>
      <c r="D208" s="1" t="s">
        <v>1407</v>
      </c>
      <c r="E208" s="1">
        <v>1</v>
      </c>
      <c r="F208" s="1" t="s">
        <v>201</v>
      </c>
      <c r="G208" s="45" t="s">
        <v>172</v>
      </c>
      <c r="H208" s="51" t="s">
        <v>2101</v>
      </c>
      <c r="I208" s="1"/>
    </row>
    <row r="209" spans="1:9">
      <c r="A209" s="1">
        <v>205</v>
      </c>
      <c r="B209" s="1" t="s">
        <v>815</v>
      </c>
      <c r="C209" s="1" t="s">
        <v>816</v>
      </c>
      <c r="D209" s="1" t="s">
        <v>817</v>
      </c>
      <c r="E209" s="1">
        <v>2</v>
      </c>
      <c r="F209" s="1" t="s">
        <v>201</v>
      </c>
      <c r="G209" s="45" t="s">
        <v>172</v>
      </c>
      <c r="H209" s="51" t="s">
        <v>2101</v>
      </c>
      <c r="I209" s="1" t="s">
        <v>2102</v>
      </c>
    </row>
    <row r="210" spans="1:9">
      <c r="A210" s="1">
        <v>206</v>
      </c>
      <c r="B210" s="1" t="s">
        <v>1413</v>
      </c>
      <c r="C210" s="1" t="s">
        <v>1414</v>
      </c>
      <c r="D210" s="1" t="s">
        <v>1415</v>
      </c>
      <c r="E210" s="1">
        <v>1</v>
      </c>
      <c r="F210" s="1" t="s">
        <v>201</v>
      </c>
      <c r="G210" s="45" t="s">
        <v>172</v>
      </c>
      <c r="H210" s="51" t="s">
        <v>2101</v>
      </c>
      <c r="I210" s="1"/>
    </row>
    <row r="211" spans="1:9">
      <c r="A211" s="1">
        <v>207</v>
      </c>
      <c r="B211" s="1" t="s">
        <v>1419</v>
      </c>
      <c r="C211" s="1" t="s">
        <v>1420</v>
      </c>
      <c r="D211" s="1" t="s">
        <v>1419</v>
      </c>
      <c r="E211" s="1">
        <v>1</v>
      </c>
      <c r="F211" s="1" t="s">
        <v>201</v>
      </c>
      <c r="G211" s="45" t="s">
        <v>172</v>
      </c>
      <c r="H211" s="51" t="s">
        <v>2101</v>
      </c>
      <c r="I211" s="1"/>
    </row>
    <row r="212" spans="1:9">
      <c r="A212" s="1">
        <v>208</v>
      </c>
      <c r="B212" s="1" t="s">
        <v>1425</v>
      </c>
      <c r="C212" s="1" t="s">
        <v>1426</v>
      </c>
      <c r="D212" s="1" t="s">
        <v>1427</v>
      </c>
      <c r="E212" s="1">
        <v>1</v>
      </c>
      <c r="F212" s="1" t="s">
        <v>201</v>
      </c>
      <c r="G212" s="45" t="s">
        <v>172</v>
      </c>
      <c r="H212" s="51" t="s">
        <v>2101</v>
      </c>
      <c r="I212" s="1"/>
    </row>
    <row r="213" spans="1:9">
      <c r="A213" s="1">
        <v>209</v>
      </c>
      <c r="B213" s="1" t="s">
        <v>1432</v>
      </c>
      <c r="C213" s="1" t="s">
        <v>1433</v>
      </c>
      <c r="D213" s="1" t="s">
        <v>1434</v>
      </c>
      <c r="E213" s="1">
        <v>1</v>
      </c>
      <c r="F213" s="1" t="s">
        <v>201</v>
      </c>
      <c r="G213" s="45" t="s">
        <v>172</v>
      </c>
      <c r="H213" s="51" t="s">
        <v>2101</v>
      </c>
      <c r="I213" s="1"/>
    </row>
    <row r="214" spans="1:9">
      <c r="A214" s="1">
        <v>210</v>
      </c>
      <c r="B214" s="1" t="s">
        <v>1439</v>
      </c>
      <c r="C214" s="1" t="s">
        <v>1440</v>
      </c>
      <c r="D214" s="1" t="s">
        <v>1441</v>
      </c>
      <c r="E214" s="1">
        <v>1</v>
      </c>
      <c r="F214" s="1" t="s">
        <v>201</v>
      </c>
      <c r="G214" s="45" t="s">
        <v>172</v>
      </c>
      <c r="H214" s="51" t="s">
        <v>2101</v>
      </c>
      <c r="I214" s="1"/>
    </row>
    <row r="215" spans="1:9">
      <c r="A215" s="1">
        <v>211</v>
      </c>
      <c r="B215" s="1" t="s">
        <v>1446</v>
      </c>
      <c r="C215" s="1" t="s">
        <v>1447</v>
      </c>
      <c r="D215" s="1" t="s">
        <v>1448</v>
      </c>
      <c r="E215" s="1">
        <v>1</v>
      </c>
      <c r="F215" s="1" t="s">
        <v>201</v>
      </c>
      <c r="G215" s="45" t="s">
        <v>172</v>
      </c>
      <c r="H215" s="51" t="s">
        <v>2101</v>
      </c>
      <c r="I215" s="1"/>
    </row>
    <row r="216" spans="1:9">
      <c r="A216" s="1">
        <v>212</v>
      </c>
      <c r="B216" s="1" t="s">
        <v>1453</v>
      </c>
      <c r="C216" s="1" t="s">
        <v>1454</v>
      </c>
      <c r="D216" s="1" t="s">
        <v>1455</v>
      </c>
      <c r="E216" s="1">
        <v>1</v>
      </c>
      <c r="F216" s="1" t="s">
        <v>201</v>
      </c>
      <c r="G216" s="45" t="s">
        <v>172</v>
      </c>
      <c r="H216" s="51" t="s">
        <v>2101</v>
      </c>
      <c r="I216" s="1"/>
    </row>
    <row r="217" spans="1:9">
      <c r="A217" s="1">
        <v>213</v>
      </c>
      <c r="B217" s="1" t="s">
        <v>1460</v>
      </c>
      <c r="C217" s="1" t="s">
        <v>1461</v>
      </c>
      <c r="D217" s="1" t="s">
        <v>1460</v>
      </c>
      <c r="E217" s="1">
        <v>1</v>
      </c>
      <c r="F217" s="1" t="s">
        <v>201</v>
      </c>
      <c r="G217" s="45" t="s">
        <v>172</v>
      </c>
      <c r="H217" s="51" t="s">
        <v>2101</v>
      </c>
      <c r="I217" s="1"/>
    </row>
    <row r="218" spans="1:9">
      <c r="A218" s="1">
        <v>214</v>
      </c>
      <c r="B218" s="1" t="s">
        <v>1466</v>
      </c>
      <c r="C218" s="1" t="s">
        <v>1467</v>
      </c>
      <c r="D218" s="1" t="s">
        <v>1466</v>
      </c>
      <c r="E218" s="1">
        <v>1</v>
      </c>
      <c r="F218" s="1" t="s">
        <v>201</v>
      </c>
      <c r="G218" s="45" t="s">
        <v>172</v>
      </c>
      <c r="H218" s="51" t="s">
        <v>2101</v>
      </c>
      <c r="I218" s="1"/>
    </row>
    <row r="219" spans="1:9">
      <c r="A219" s="1">
        <v>215</v>
      </c>
      <c r="B219" s="1" t="s">
        <v>1472</v>
      </c>
      <c r="C219" s="1" t="s">
        <v>1473</v>
      </c>
      <c r="D219" s="1" t="s">
        <v>1472</v>
      </c>
      <c r="E219" s="1">
        <v>1</v>
      </c>
      <c r="F219" s="1" t="s">
        <v>201</v>
      </c>
      <c r="G219" s="45" t="s">
        <v>172</v>
      </c>
      <c r="H219" s="51" t="s">
        <v>2101</v>
      </c>
      <c r="I219" s="1"/>
    </row>
    <row r="220" spans="1:9">
      <c r="A220" s="1">
        <v>216</v>
      </c>
      <c r="B220" s="1" t="s">
        <v>1478</v>
      </c>
      <c r="C220" s="1" t="s">
        <v>1479</v>
      </c>
      <c r="D220" s="1" t="s">
        <v>1480</v>
      </c>
      <c r="E220" s="1">
        <v>1</v>
      </c>
      <c r="F220" s="1" t="s">
        <v>201</v>
      </c>
      <c r="G220" s="45" t="s">
        <v>172</v>
      </c>
      <c r="H220" s="51" t="s">
        <v>2101</v>
      </c>
      <c r="I220" s="1"/>
    </row>
    <row r="221" spans="1:9">
      <c r="A221" s="1">
        <v>217</v>
      </c>
      <c r="B221" s="1" t="s">
        <v>1485</v>
      </c>
      <c r="C221" s="1" t="s">
        <v>1486</v>
      </c>
      <c r="D221" s="1" t="s">
        <v>1480</v>
      </c>
      <c r="E221" s="1">
        <v>1</v>
      </c>
      <c r="F221" s="1" t="s">
        <v>372</v>
      </c>
      <c r="G221" s="45" t="s">
        <v>172</v>
      </c>
      <c r="H221" s="51" t="s">
        <v>2101</v>
      </c>
      <c r="I221" s="1"/>
    </row>
    <row r="222" spans="1:9">
      <c r="A222" s="1">
        <v>218</v>
      </c>
      <c r="B222" s="1" t="s">
        <v>1491</v>
      </c>
      <c r="C222" s="1" t="s">
        <v>1492</v>
      </c>
      <c r="D222" s="1" t="s">
        <v>1493</v>
      </c>
      <c r="E222" s="1">
        <v>1</v>
      </c>
      <c r="F222" s="1" t="s">
        <v>201</v>
      </c>
      <c r="G222" s="45" t="s">
        <v>172</v>
      </c>
      <c r="H222" s="51" t="s">
        <v>2101</v>
      </c>
      <c r="I222" s="1"/>
    </row>
    <row r="223" spans="1:9">
      <c r="A223" s="1">
        <v>219</v>
      </c>
      <c r="B223" s="1" t="s">
        <v>1498</v>
      </c>
      <c r="C223" s="1" t="s">
        <v>1499</v>
      </c>
      <c r="D223" s="1" t="s">
        <v>1498</v>
      </c>
      <c r="E223" s="1">
        <v>1</v>
      </c>
      <c r="F223" s="1" t="s">
        <v>201</v>
      </c>
      <c r="G223" s="45" t="s">
        <v>172</v>
      </c>
      <c r="H223" s="51" t="s">
        <v>2101</v>
      </c>
      <c r="I223" s="1"/>
    </row>
    <row r="224" spans="1:9">
      <c r="A224" s="1">
        <v>220</v>
      </c>
      <c r="B224" s="1" t="s">
        <v>1504</v>
      </c>
      <c r="C224" s="1" t="s">
        <v>1505</v>
      </c>
      <c r="D224" s="1" t="s">
        <v>1504</v>
      </c>
      <c r="E224" s="1">
        <v>1</v>
      </c>
      <c r="F224" s="1" t="s">
        <v>201</v>
      </c>
      <c r="G224" s="45" t="s">
        <v>172</v>
      </c>
      <c r="H224" s="51" t="s">
        <v>2101</v>
      </c>
      <c r="I224" s="1"/>
    </row>
    <row r="225" spans="1:9">
      <c r="A225" s="1">
        <v>221</v>
      </c>
      <c r="B225" s="1" t="s">
        <v>1510</v>
      </c>
      <c r="C225" s="1" t="s">
        <v>1511</v>
      </c>
      <c r="D225" s="1" t="s">
        <v>1512</v>
      </c>
      <c r="E225" s="1">
        <v>1</v>
      </c>
      <c r="F225" s="1" t="s">
        <v>201</v>
      </c>
      <c r="G225" s="45" t="s">
        <v>172</v>
      </c>
      <c r="H225" s="51" t="s">
        <v>2101</v>
      </c>
      <c r="I225" s="1"/>
    </row>
    <row r="226" spans="1:9">
      <c r="A226" s="1">
        <v>222</v>
      </c>
      <c r="B226" s="1" t="s">
        <v>1517</v>
      </c>
      <c r="C226" s="1" t="s">
        <v>1518</v>
      </c>
      <c r="D226" s="1" t="s">
        <v>1517</v>
      </c>
      <c r="E226" s="1">
        <v>1</v>
      </c>
      <c r="F226" s="1" t="s">
        <v>201</v>
      </c>
      <c r="G226" s="45" t="s">
        <v>172</v>
      </c>
      <c r="H226" s="51" t="s">
        <v>2101</v>
      </c>
      <c r="I226" s="1"/>
    </row>
    <row r="227" spans="1:9">
      <c r="A227" s="1">
        <v>223</v>
      </c>
      <c r="B227" s="1" t="s">
        <v>1523</v>
      </c>
      <c r="C227" s="1" t="s">
        <v>1524</v>
      </c>
      <c r="D227" s="1" t="s">
        <v>1523</v>
      </c>
      <c r="E227" s="1">
        <v>1</v>
      </c>
      <c r="F227" s="1" t="s">
        <v>201</v>
      </c>
      <c r="G227" s="45" t="s">
        <v>172</v>
      </c>
      <c r="H227" s="51" t="s">
        <v>2101</v>
      </c>
      <c r="I227" s="1"/>
    </row>
    <row r="228" spans="1:9">
      <c r="A228" s="1">
        <v>224</v>
      </c>
      <c r="B228" s="1" t="s">
        <v>1529</v>
      </c>
      <c r="C228" s="1" t="s">
        <v>1530</v>
      </c>
      <c r="D228" s="1" t="s">
        <v>1531</v>
      </c>
      <c r="E228" s="1">
        <v>1</v>
      </c>
      <c r="F228" s="1" t="s">
        <v>201</v>
      </c>
      <c r="G228" s="45" t="s">
        <v>172</v>
      </c>
      <c r="H228" s="51" t="s">
        <v>2101</v>
      </c>
      <c r="I228" s="1"/>
    </row>
    <row r="229" spans="1:9">
      <c r="A229" s="1">
        <v>225</v>
      </c>
      <c r="B229" s="1" t="s">
        <v>1536</v>
      </c>
      <c r="C229" s="1" t="s">
        <v>1537</v>
      </c>
      <c r="D229" s="1" t="s">
        <v>1536</v>
      </c>
      <c r="E229" s="1">
        <v>1</v>
      </c>
      <c r="F229" s="1" t="s">
        <v>201</v>
      </c>
      <c r="G229" s="45" t="s">
        <v>172</v>
      </c>
      <c r="H229" s="51" t="s">
        <v>2101</v>
      </c>
      <c r="I229" s="1"/>
    </row>
    <row r="230" spans="1:9">
      <c r="A230" s="1">
        <v>226</v>
      </c>
      <c r="B230" s="1" t="s">
        <v>1542</v>
      </c>
      <c r="C230" s="1" t="s">
        <v>1543</v>
      </c>
      <c r="D230" s="1" t="s">
        <v>1544</v>
      </c>
      <c r="E230" s="1">
        <v>1</v>
      </c>
      <c r="F230" s="1" t="s">
        <v>201</v>
      </c>
      <c r="G230" s="45" t="s">
        <v>172</v>
      </c>
      <c r="H230" s="51" t="s">
        <v>2101</v>
      </c>
      <c r="I230" s="1"/>
    </row>
    <row r="231" spans="1:9">
      <c r="A231" s="1">
        <v>227</v>
      </c>
      <c r="B231" s="1" t="s">
        <v>1549</v>
      </c>
      <c r="C231" s="1" t="s">
        <v>1550</v>
      </c>
      <c r="D231" s="1" t="s">
        <v>1551</v>
      </c>
      <c r="E231" s="1">
        <v>1</v>
      </c>
      <c r="F231" s="1" t="s">
        <v>201</v>
      </c>
      <c r="G231" s="45" t="s">
        <v>172</v>
      </c>
      <c r="H231" s="51" t="s">
        <v>2101</v>
      </c>
      <c r="I231" s="1"/>
    </row>
    <row r="232" spans="1:9">
      <c r="A232" s="1">
        <v>228</v>
      </c>
      <c r="B232" s="1" t="s">
        <v>1556</v>
      </c>
      <c r="C232" s="1" t="s">
        <v>1557</v>
      </c>
      <c r="D232" s="1" t="s">
        <v>1558</v>
      </c>
      <c r="E232" s="1">
        <v>1</v>
      </c>
      <c r="F232" s="1" t="s">
        <v>201</v>
      </c>
      <c r="G232" s="45" t="s">
        <v>172</v>
      </c>
      <c r="H232" s="51" t="s">
        <v>2101</v>
      </c>
      <c r="I232" s="1"/>
    </row>
    <row r="233" spans="1:9">
      <c r="A233" s="1">
        <v>229</v>
      </c>
      <c r="B233" s="1" t="s">
        <v>1563</v>
      </c>
      <c r="C233" s="1" t="s">
        <v>1564</v>
      </c>
      <c r="D233" s="1" t="s">
        <v>1565</v>
      </c>
      <c r="E233" s="1">
        <v>1</v>
      </c>
      <c r="F233" s="1" t="s">
        <v>201</v>
      </c>
      <c r="G233" s="45" t="s">
        <v>172</v>
      </c>
      <c r="H233" s="51" t="s">
        <v>2101</v>
      </c>
      <c r="I233" s="1"/>
    </row>
    <row r="234" spans="1:9">
      <c r="A234" s="1">
        <v>230</v>
      </c>
      <c r="B234" s="1" t="s">
        <v>1570</v>
      </c>
      <c r="C234" s="1" t="s">
        <v>1571</v>
      </c>
      <c r="D234" s="1" t="s">
        <v>1570</v>
      </c>
      <c r="E234" s="1">
        <v>1</v>
      </c>
      <c r="F234" s="1" t="s">
        <v>201</v>
      </c>
      <c r="G234" s="45" t="s">
        <v>172</v>
      </c>
      <c r="H234" s="51" t="s">
        <v>2101</v>
      </c>
      <c r="I234" s="1"/>
    </row>
    <row r="235" spans="1:9">
      <c r="A235" s="1">
        <v>231</v>
      </c>
      <c r="B235" s="1" t="s">
        <v>1576</v>
      </c>
      <c r="C235" s="1" t="s">
        <v>1577</v>
      </c>
      <c r="D235" s="1" t="s">
        <v>1576</v>
      </c>
      <c r="E235" s="1">
        <v>1</v>
      </c>
      <c r="F235" s="1" t="s">
        <v>201</v>
      </c>
      <c r="G235" s="45" t="s">
        <v>172</v>
      </c>
      <c r="H235" s="51" t="s">
        <v>2101</v>
      </c>
      <c r="I235" s="1"/>
    </row>
    <row r="236" spans="1:9">
      <c r="A236" s="1">
        <v>232</v>
      </c>
      <c r="B236" s="1" t="s">
        <v>1582</v>
      </c>
      <c r="C236" s="1" t="s">
        <v>1583</v>
      </c>
      <c r="D236" s="1" t="s">
        <v>1584</v>
      </c>
      <c r="E236" s="1">
        <v>1</v>
      </c>
      <c r="F236" s="1" t="s">
        <v>201</v>
      </c>
      <c r="G236" s="45" t="s">
        <v>172</v>
      </c>
      <c r="H236" s="51" t="s">
        <v>2101</v>
      </c>
      <c r="I236" s="1"/>
    </row>
    <row r="237" spans="1:9">
      <c r="A237" s="1">
        <v>233</v>
      </c>
      <c r="B237" s="1" t="s">
        <v>1589</v>
      </c>
      <c r="C237" s="1" t="s">
        <v>1590</v>
      </c>
      <c r="D237" s="1" t="s">
        <v>1591</v>
      </c>
      <c r="E237" s="1">
        <v>1</v>
      </c>
      <c r="F237" s="1" t="s">
        <v>567</v>
      </c>
      <c r="G237" s="45" t="s">
        <v>172</v>
      </c>
      <c r="H237" s="51" t="s">
        <v>2101</v>
      </c>
      <c r="I237" s="1"/>
    </row>
    <row r="238" spans="1:9">
      <c r="A238" s="1">
        <v>234</v>
      </c>
      <c r="B238" s="1" t="s">
        <v>1596</v>
      </c>
      <c r="C238" s="1" t="s">
        <v>1597</v>
      </c>
      <c r="D238" s="1" t="s">
        <v>1570</v>
      </c>
      <c r="E238" s="1">
        <v>1</v>
      </c>
      <c r="F238" s="1" t="s">
        <v>372</v>
      </c>
      <c r="G238" s="45" t="s">
        <v>172</v>
      </c>
      <c r="H238" s="51" t="s">
        <v>2101</v>
      </c>
      <c r="I238" s="1"/>
    </row>
    <row r="239" spans="1:9">
      <c r="A239" s="1">
        <v>235</v>
      </c>
      <c r="B239" s="1" t="s">
        <v>1602</v>
      </c>
      <c r="C239" s="1" t="s">
        <v>1603</v>
      </c>
      <c r="D239" s="1" t="s">
        <v>1604</v>
      </c>
      <c r="E239" s="1">
        <v>1</v>
      </c>
      <c r="F239" s="1" t="s">
        <v>567</v>
      </c>
      <c r="G239" s="45" t="s">
        <v>172</v>
      </c>
      <c r="H239" s="51" t="s">
        <v>2101</v>
      </c>
      <c r="I239" s="1"/>
    </row>
    <row r="240" spans="1:9">
      <c r="A240" s="1">
        <v>236</v>
      </c>
      <c r="B240" s="1" t="s">
        <v>1609</v>
      </c>
      <c r="C240" s="1" t="s">
        <v>1610</v>
      </c>
      <c r="D240" s="1" t="s">
        <v>1611</v>
      </c>
      <c r="E240" s="1">
        <v>1</v>
      </c>
      <c r="F240" s="1" t="s">
        <v>201</v>
      </c>
      <c r="G240" s="45" t="s">
        <v>172</v>
      </c>
      <c r="H240" s="51" t="s">
        <v>2101</v>
      </c>
      <c r="I240" s="1"/>
    </row>
    <row r="241" spans="1:9">
      <c r="A241" s="1">
        <v>237</v>
      </c>
      <c r="B241" s="1" t="s">
        <v>1616</v>
      </c>
      <c r="C241" s="1" t="s">
        <v>1617</v>
      </c>
      <c r="D241" s="1" t="s">
        <v>1618</v>
      </c>
      <c r="E241" s="1">
        <v>1</v>
      </c>
      <c r="F241" s="1" t="s">
        <v>201</v>
      </c>
      <c r="G241" s="45" t="s">
        <v>172</v>
      </c>
      <c r="H241" s="51" t="s">
        <v>2101</v>
      </c>
      <c r="I241" s="1"/>
    </row>
    <row r="242" spans="1:9">
      <c r="A242" s="1">
        <v>238</v>
      </c>
      <c r="B242" s="1" t="s">
        <v>1623</v>
      </c>
      <c r="C242" s="1" t="s">
        <v>1624</v>
      </c>
      <c r="D242" s="1" t="s">
        <v>1625</v>
      </c>
      <c r="E242" s="1">
        <v>1</v>
      </c>
      <c r="F242" s="1" t="s">
        <v>201</v>
      </c>
      <c r="G242" s="45" t="s">
        <v>172</v>
      </c>
      <c r="H242" s="51" t="s">
        <v>2101</v>
      </c>
      <c r="I242" s="1"/>
    </row>
    <row r="243" spans="1:9">
      <c r="A243" s="1">
        <v>239</v>
      </c>
      <c r="B243" s="1" t="s">
        <v>752</v>
      </c>
      <c r="C243" s="1" t="s">
        <v>753</v>
      </c>
      <c r="D243" s="1" t="s">
        <v>754</v>
      </c>
      <c r="E243" s="1">
        <v>2</v>
      </c>
      <c r="F243" s="1" t="s">
        <v>201</v>
      </c>
      <c r="G243" s="45" t="s">
        <v>172</v>
      </c>
      <c r="H243" s="51" t="s">
        <v>2101</v>
      </c>
      <c r="I243" s="1" t="s">
        <v>2102</v>
      </c>
    </row>
    <row r="244" spans="1:9">
      <c r="A244" s="1">
        <v>240</v>
      </c>
      <c r="B244" s="1" t="s">
        <v>1630</v>
      </c>
      <c r="C244" s="1" t="s">
        <v>1631</v>
      </c>
      <c r="D244" s="1" t="s">
        <v>1630</v>
      </c>
      <c r="E244" s="1">
        <v>1</v>
      </c>
      <c r="F244" s="1" t="s">
        <v>201</v>
      </c>
      <c r="G244" s="45" t="s">
        <v>172</v>
      </c>
      <c r="H244" s="51" t="s">
        <v>2101</v>
      </c>
      <c r="I244" s="1"/>
    </row>
    <row r="245" spans="1:9">
      <c r="A245" s="1">
        <v>241</v>
      </c>
      <c r="B245" s="1" t="s">
        <v>1636</v>
      </c>
      <c r="C245" s="1" t="s">
        <v>1637</v>
      </c>
      <c r="D245" s="1" t="s">
        <v>1636</v>
      </c>
      <c r="E245" s="1">
        <v>1</v>
      </c>
      <c r="F245" s="1" t="s">
        <v>201</v>
      </c>
      <c r="G245" s="45" t="s">
        <v>172</v>
      </c>
      <c r="H245" s="51" t="s">
        <v>2101</v>
      </c>
      <c r="I245" s="1"/>
    </row>
    <row r="246" spans="1:9">
      <c r="A246" s="1">
        <v>242</v>
      </c>
      <c r="B246" s="1" t="s">
        <v>1642</v>
      </c>
      <c r="C246" s="1" t="s">
        <v>1643</v>
      </c>
      <c r="D246" s="1" t="s">
        <v>1644</v>
      </c>
      <c r="E246" s="1">
        <v>1</v>
      </c>
      <c r="F246" s="1" t="s">
        <v>201</v>
      </c>
      <c r="G246" s="45" t="s">
        <v>172</v>
      </c>
      <c r="H246" s="51" t="s">
        <v>2101</v>
      </c>
      <c r="I246" s="1"/>
    </row>
    <row r="247" spans="1:9">
      <c r="A247" s="1">
        <v>243</v>
      </c>
      <c r="B247" s="1" t="s">
        <v>1649</v>
      </c>
      <c r="C247" s="1" t="s">
        <v>1650</v>
      </c>
      <c r="D247" s="1" t="s">
        <v>1649</v>
      </c>
      <c r="E247" s="1">
        <v>1</v>
      </c>
      <c r="F247" s="1" t="s">
        <v>567</v>
      </c>
      <c r="G247" s="45" t="s">
        <v>172</v>
      </c>
      <c r="H247" s="51" t="s">
        <v>2101</v>
      </c>
      <c r="I247" s="1"/>
    </row>
    <row r="248" spans="1:9">
      <c r="A248" s="1">
        <v>244</v>
      </c>
      <c r="B248" s="1" t="s">
        <v>1655</v>
      </c>
      <c r="C248" s="1" t="s">
        <v>1656</v>
      </c>
      <c r="D248" s="1" t="s">
        <v>1657</v>
      </c>
      <c r="E248" s="1">
        <v>1</v>
      </c>
      <c r="F248" s="1" t="s">
        <v>201</v>
      </c>
      <c r="G248" s="45" t="s">
        <v>172</v>
      </c>
      <c r="H248" s="51" t="s">
        <v>2101</v>
      </c>
      <c r="I248" s="1"/>
    </row>
    <row r="249" spans="1:9">
      <c r="A249" s="1">
        <v>245</v>
      </c>
      <c r="B249" s="1" t="s">
        <v>275</v>
      </c>
      <c r="C249" s="1" t="s">
        <v>276</v>
      </c>
      <c r="D249" s="1" t="s">
        <v>277</v>
      </c>
      <c r="E249" s="1">
        <v>2</v>
      </c>
      <c r="F249" s="1" t="s">
        <v>201</v>
      </c>
      <c r="G249" s="45" t="s">
        <v>172</v>
      </c>
      <c r="H249" s="51" t="s">
        <v>2101</v>
      </c>
      <c r="I249" s="1" t="s">
        <v>2102</v>
      </c>
    </row>
    <row r="250" spans="1:9">
      <c r="A250" s="1">
        <v>246</v>
      </c>
      <c r="B250" s="1" t="s">
        <v>1662</v>
      </c>
      <c r="C250" s="1" t="s">
        <v>1663</v>
      </c>
      <c r="D250" s="1" t="s">
        <v>1664</v>
      </c>
      <c r="E250" s="1">
        <v>1</v>
      </c>
      <c r="F250" s="1" t="s">
        <v>201</v>
      </c>
      <c r="G250" s="45" t="s">
        <v>172</v>
      </c>
      <c r="H250" s="51" t="s">
        <v>2101</v>
      </c>
      <c r="I250" s="1"/>
    </row>
    <row r="251" spans="1:9">
      <c r="A251" s="1">
        <v>247</v>
      </c>
      <c r="B251" s="1" t="s">
        <v>1669</v>
      </c>
      <c r="C251" s="1" t="s">
        <v>1670</v>
      </c>
      <c r="D251" s="1" t="s">
        <v>1671</v>
      </c>
      <c r="E251" s="1">
        <v>1</v>
      </c>
      <c r="F251" s="1" t="s">
        <v>201</v>
      </c>
      <c r="G251" s="45" t="s">
        <v>172</v>
      </c>
      <c r="H251" s="51" t="s">
        <v>2101</v>
      </c>
      <c r="I251" s="1"/>
    </row>
    <row r="252" spans="1:9">
      <c r="A252" s="1">
        <v>248</v>
      </c>
      <c r="B252" s="1" t="s">
        <v>1676</v>
      </c>
      <c r="C252" s="1" t="s">
        <v>1677</v>
      </c>
      <c r="D252" s="1" t="s">
        <v>1678</v>
      </c>
      <c r="E252" s="1">
        <v>1</v>
      </c>
      <c r="F252" s="1" t="s">
        <v>201</v>
      </c>
      <c r="G252" s="45" t="s">
        <v>172</v>
      </c>
      <c r="H252" s="51" t="s">
        <v>2101</v>
      </c>
      <c r="I252" s="1"/>
    </row>
    <row r="253" spans="1:9">
      <c r="A253" s="1">
        <v>249</v>
      </c>
      <c r="B253" s="1" t="s">
        <v>1683</v>
      </c>
      <c r="C253" s="1" t="s">
        <v>1684</v>
      </c>
      <c r="D253" s="1" t="s">
        <v>1685</v>
      </c>
      <c r="E253" s="1">
        <v>1</v>
      </c>
      <c r="F253" s="1" t="s">
        <v>201</v>
      </c>
      <c r="G253" s="45" t="s">
        <v>172</v>
      </c>
      <c r="H253" s="51" t="s">
        <v>2101</v>
      </c>
      <c r="I253" s="1"/>
    </row>
    <row r="254" spans="1:9">
      <c r="A254" s="1">
        <v>250</v>
      </c>
      <c r="B254" s="1" t="s">
        <v>1690</v>
      </c>
      <c r="C254" s="1" t="s">
        <v>1691</v>
      </c>
      <c r="D254" s="1" t="s">
        <v>1692</v>
      </c>
      <c r="E254" s="1">
        <v>1</v>
      </c>
      <c r="F254" s="1" t="s">
        <v>201</v>
      </c>
      <c r="G254" s="45" t="s">
        <v>172</v>
      </c>
      <c r="H254" s="51" t="s">
        <v>2101</v>
      </c>
      <c r="I254" s="1"/>
    </row>
    <row r="255" spans="1:9">
      <c r="A255" s="1">
        <v>251</v>
      </c>
      <c r="B255" s="1" t="s">
        <v>1695</v>
      </c>
      <c r="C255" s="1" t="s">
        <v>1696</v>
      </c>
      <c r="D255" s="1" t="s">
        <v>1697</v>
      </c>
      <c r="E255" s="1">
        <v>1</v>
      </c>
      <c r="F255" s="1" t="s">
        <v>567</v>
      </c>
      <c r="G255" s="45" t="s">
        <v>172</v>
      </c>
      <c r="H255" s="51" t="s">
        <v>2101</v>
      </c>
      <c r="I255" s="1"/>
    </row>
    <row r="256" spans="1:9">
      <c r="A256" s="1">
        <v>252</v>
      </c>
      <c r="B256" s="1" t="s">
        <v>1700</v>
      </c>
      <c r="C256" s="1" t="s">
        <v>1701</v>
      </c>
      <c r="D256" s="1" t="s">
        <v>1702</v>
      </c>
      <c r="E256" s="1">
        <v>1</v>
      </c>
      <c r="F256" s="1" t="s">
        <v>201</v>
      </c>
      <c r="G256" s="45" t="s">
        <v>172</v>
      </c>
      <c r="H256" s="51" t="s">
        <v>2101</v>
      </c>
      <c r="I256" s="1"/>
    </row>
    <row r="257" spans="1:9">
      <c r="A257" s="1">
        <v>253</v>
      </c>
      <c r="B257" s="1" t="s">
        <v>1707</v>
      </c>
      <c r="C257" s="1" t="s">
        <v>1708</v>
      </c>
      <c r="D257" s="1" t="s">
        <v>1707</v>
      </c>
      <c r="E257" s="1">
        <v>1</v>
      </c>
      <c r="F257" s="1" t="s">
        <v>201</v>
      </c>
      <c r="G257" s="45" t="s">
        <v>172</v>
      </c>
      <c r="H257" s="51" t="s">
        <v>2101</v>
      </c>
      <c r="I257" s="1"/>
    </row>
    <row r="258" spans="1:9">
      <c r="A258" s="1">
        <v>254</v>
      </c>
      <c r="B258" s="1" t="s">
        <v>1713</v>
      </c>
      <c r="C258" s="1" t="s">
        <v>1714</v>
      </c>
      <c r="D258" s="1" t="s">
        <v>1715</v>
      </c>
      <c r="E258" s="1">
        <v>1</v>
      </c>
      <c r="F258" s="1" t="s">
        <v>201</v>
      </c>
      <c r="G258" s="45" t="s">
        <v>172</v>
      </c>
      <c r="H258" s="51" t="s">
        <v>2101</v>
      </c>
      <c r="I258" s="1"/>
    </row>
    <row r="259" spans="1:9">
      <c r="A259" s="1">
        <v>255</v>
      </c>
      <c r="B259" s="1" t="s">
        <v>1720</v>
      </c>
      <c r="C259" s="1" t="s">
        <v>1721</v>
      </c>
      <c r="D259" s="1" t="s">
        <v>1722</v>
      </c>
      <c r="E259" s="1">
        <v>1</v>
      </c>
      <c r="F259" s="1" t="s">
        <v>201</v>
      </c>
      <c r="G259" s="45" t="s">
        <v>172</v>
      </c>
      <c r="H259" s="51" t="s">
        <v>2101</v>
      </c>
      <c r="I259" s="1"/>
    </row>
    <row r="260" spans="1:9">
      <c r="A260" s="1">
        <v>256</v>
      </c>
      <c r="B260" s="1" t="s">
        <v>1727</v>
      </c>
      <c r="C260" s="1" t="s">
        <v>1728</v>
      </c>
      <c r="D260" s="1" t="s">
        <v>1727</v>
      </c>
      <c r="E260" s="1">
        <v>1</v>
      </c>
      <c r="F260" s="1" t="s">
        <v>201</v>
      </c>
      <c r="G260" s="45" t="s">
        <v>172</v>
      </c>
      <c r="H260" s="51" t="s">
        <v>2101</v>
      </c>
      <c r="I260" s="1"/>
    </row>
    <row r="261" spans="1:9">
      <c r="A261" s="1">
        <v>257</v>
      </c>
      <c r="B261" s="1" t="s">
        <v>1733</v>
      </c>
      <c r="C261" s="1" t="s">
        <v>1734</v>
      </c>
      <c r="D261" s="1" t="s">
        <v>1733</v>
      </c>
      <c r="E261" s="1">
        <v>1</v>
      </c>
      <c r="F261" s="1" t="s">
        <v>201</v>
      </c>
      <c r="G261" s="45" t="s">
        <v>172</v>
      </c>
      <c r="H261" s="51" t="s">
        <v>2101</v>
      </c>
      <c r="I261" s="1"/>
    </row>
    <row r="262" spans="1:9">
      <c r="A262" s="1">
        <v>258</v>
      </c>
      <c r="B262" s="1" t="s">
        <v>1739</v>
      </c>
      <c r="C262" s="1" t="s">
        <v>1740</v>
      </c>
      <c r="D262" s="1" t="s">
        <v>1739</v>
      </c>
      <c r="E262" s="1">
        <v>1</v>
      </c>
      <c r="F262" s="1" t="s">
        <v>201</v>
      </c>
      <c r="G262" s="45" t="s">
        <v>172</v>
      </c>
      <c r="H262" s="51" t="s">
        <v>2101</v>
      </c>
      <c r="I262" s="1"/>
    </row>
    <row r="263" spans="1:9">
      <c r="A263" s="1">
        <v>259</v>
      </c>
      <c r="B263" s="1" t="s">
        <v>1745</v>
      </c>
      <c r="C263" s="1" t="s">
        <v>1746</v>
      </c>
      <c r="D263" s="1" t="s">
        <v>1745</v>
      </c>
      <c r="E263" s="1">
        <v>1</v>
      </c>
      <c r="F263" s="1" t="s">
        <v>201</v>
      </c>
      <c r="G263" s="45" t="s">
        <v>172</v>
      </c>
      <c r="H263" s="51" t="s">
        <v>2101</v>
      </c>
      <c r="I263" s="1"/>
    </row>
    <row r="264" spans="1:9">
      <c r="A264" s="1">
        <v>260</v>
      </c>
      <c r="B264" s="1" t="s">
        <v>1751</v>
      </c>
      <c r="C264" s="1" t="s">
        <v>1752</v>
      </c>
      <c r="D264" s="1" t="s">
        <v>1753</v>
      </c>
      <c r="E264" s="1">
        <v>1</v>
      </c>
      <c r="F264" s="1" t="s">
        <v>201</v>
      </c>
      <c r="G264" s="45" t="s">
        <v>172</v>
      </c>
      <c r="H264" s="51" t="s">
        <v>2101</v>
      </c>
      <c r="I264" s="1"/>
    </row>
    <row r="265" spans="1:9">
      <c r="A265" s="1">
        <v>261</v>
      </c>
      <c r="B265" s="1" t="s">
        <v>1758</v>
      </c>
      <c r="C265" s="1" t="s">
        <v>1759</v>
      </c>
      <c r="D265" s="1" t="s">
        <v>1760</v>
      </c>
      <c r="E265" s="1">
        <v>1</v>
      </c>
      <c r="F265" s="1" t="s">
        <v>201</v>
      </c>
      <c r="G265" s="45" t="s">
        <v>172</v>
      </c>
      <c r="H265" s="51" t="s">
        <v>2101</v>
      </c>
      <c r="I265" s="1"/>
    </row>
    <row r="266" spans="1:9">
      <c r="A266" s="1">
        <v>262</v>
      </c>
      <c r="B266" s="1" t="s">
        <v>1765</v>
      </c>
      <c r="C266" s="1" t="s">
        <v>1766</v>
      </c>
      <c r="D266" s="1" t="s">
        <v>1767</v>
      </c>
      <c r="E266" s="1">
        <v>1</v>
      </c>
      <c r="F266" s="1" t="s">
        <v>201</v>
      </c>
      <c r="G266" s="45" t="s">
        <v>172</v>
      </c>
      <c r="H266" s="51" t="s">
        <v>2101</v>
      </c>
      <c r="I266" s="1"/>
    </row>
    <row r="267" spans="1:9">
      <c r="A267" s="1">
        <v>263</v>
      </c>
      <c r="B267" s="1" t="s">
        <v>1772</v>
      </c>
      <c r="C267" s="1" t="s">
        <v>1773</v>
      </c>
      <c r="D267" s="1" t="s">
        <v>1772</v>
      </c>
      <c r="E267" s="1">
        <v>1</v>
      </c>
      <c r="F267" s="1" t="s">
        <v>201</v>
      </c>
      <c r="G267" s="45" t="s">
        <v>172</v>
      </c>
      <c r="H267" s="51" t="s">
        <v>2101</v>
      </c>
      <c r="I267" s="1"/>
    </row>
    <row r="268" spans="1:9">
      <c r="A268" s="1">
        <v>264</v>
      </c>
      <c r="B268" s="1" t="s">
        <v>1778</v>
      </c>
      <c r="C268" s="1" t="s">
        <v>1779</v>
      </c>
      <c r="D268" s="1" t="s">
        <v>1778</v>
      </c>
      <c r="E268" s="1">
        <v>1</v>
      </c>
      <c r="F268" s="1" t="s">
        <v>201</v>
      </c>
      <c r="G268" s="45" t="s">
        <v>172</v>
      </c>
      <c r="H268" s="51" t="s">
        <v>2101</v>
      </c>
      <c r="I268" s="1"/>
    </row>
    <row r="269" spans="1:9">
      <c r="A269" s="1">
        <v>265</v>
      </c>
      <c r="B269" s="1" t="s">
        <v>1784</v>
      </c>
      <c r="C269" s="1" t="s">
        <v>1785</v>
      </c>
      <c r="D269" s="1" t="s">
        <v>1786</v>
      </c>
      <c r="E269" s="1">
        <v>1</v>
      </c>
      <c r="F269" s="1" t="s">
        <v>201</v>
      </c>
      <c r="G269" s="45" t="s">
        <v>172</v>
      </c>
      <c r="H269" s="51" t="s">
        <v>2101</v>
      </c>
      <c r="I269" s="1"/>
    </row>
    <row r="270" spans="1:9">
      <c r="A270" s="1">
        <v>266</v>
      </c>
      <c r="B270" s="1" t="s">
        <v>1791</v>
      </c>
      <c r="C270" s="1" t="s">
        <v>1792</v>
      </c>
      <c r="D270" s="1" t="s">
        <v>1793</v>
      </c>
      <c r="E270" s="1">
        <v>1</v>
      </c>
      <c r="F270" s="1" t="s">
        <v>201</v>
      </c>
      <c r="G270" s="45" t="s">
        <v>172</v>
      </c>
      <c r="H270" s="51" t="s">
        <v>2101</v>
      </c>
      <c r="I270" s="1"/>
    </row>
    <row r="271" spans="1:9">
      <c r="A271" s="1">
        <v>267</v>
      </c>
      <c r="B271" s="1" t="s">
        <v>1798</v>
      </c>
      <c r="C271" s="1" t="s">
        <v>1799</v>
      </c>
      <c r="D271" s="1" t="s">
        <v>1800</v>
      </c>
      <c r="E271" s="1">
        <v>1</v>
      </c>
      <c r="F271" s="1" t="s">
        <v>201</v>
      </c>
      <c r="G271" s="45" t="s">
        <v>172</v>
      </c>
      <c r="H271" s="51" t="s">
        <v>2101</v>
      </c>
      <c r="I271" s="1"/>
    </row>
    <row r="272" spans="1:9">
      <c r="A272" s="1">
        <v>268</v>
      </c>
      <c r="B272" s="1" t="s">
        <v>1805</v>
      </c>
      <c r="C272" s="1" t="s">
        <v>1806</v>
      </c>
      <c r="D272" s="1" t="s">
        <v>1807</v>
      </c>
      <c r="E272" s="1">
        <v>1</v>
      </c>
      <c r="F272" s="1" t="s">
        <v>201</v>
      </c>
      <c r="G272" s="45" t="s">
        <v>172</v>
      </c>
      <c r="H272" s="51" t="s">
        <v>2101</v>
      </c>
      <c r="I272" s="1"/>
    </row>
    <row r="273" spans="1:9">
      <c r="A273" s="1">
        <v>269</v>
      </c>
      <c r="B273" s="1" t="s">
        <v>1812</v>
      </c>
      <c r="C273" s="1" t="s">
        <v>1813</v>
      </c>
      <c r="D273" s="1" t="s">
        <v>1814</v>
      </c>
      <c r="E273" s="1">
        <v>1</v>
      </c>
      <c r="F273" s="1" t="s">
        <v>201</v>
      </c>
      <c r="G273" s="45" t="s">
        <v>172</v>
      </c>
      <c r="H273" s="51" t="s">
        <v>2101</v>
      </c>
      <c r="I273" s="1"/>
    </row>
    <row r="274" spans="1:9">
      <c r="A274" s="1">
        <v>270</v>
      </c>
      <c r="B274" s="1" t="s">
        <v>1819</v>
      </c>
      <c r="C274" s="1" t="s">
        <v>1820</v>
      </c>
      <c r="D274" s="1" t="s">
        <v>1821</v>
      </c>
      <c r="E274" s="1">
        <v>1</v>
      </c>
      <c r="F274" s="1" t="s">
        <v>201</v>
      </c>
      <c r="G274" s="45" t="s">
        <v>172</v>
      </c>
      <c r="H274" s="51" t="s">
        <v>2101</v>
      </c>
      <c r="I274" s="1"/>
    </row>
    <row r="275" spans="1:9">
      <c r="A275" s="1">
        <v>271</v>
      </c>
      <c r="B275" s="1" t="s">
        <v>1826</v>
      </c>
      <c r="C275" s="1" t="s">
        <v>1827</v>
      </c>
      <c r="D275" s="1" t="s">
        <v>1828</v>
      </c>
      <c r="E275" s="1">
        <v>1</v>
      </c>
      <c r="F275" s="1" t="s">
        <v>201</v>
      </c>
      <c r="G275" s="45" t="s">
        <v>172</v>
      </c>
      <c r="H275" s="51" t="s">
        <v>2101</v>
      </c>
      <c r="I275" s="1"/>
    </row>
    <row r="276" spans="1:9">
      <c r="A276" s="1">
        <v>272</v>
      </c>
      <c r="B276" s="1" t="s">
        <v>1833</v>
      </c>
      <c r="C276" s="1" t="s">
        <v>1834</v>
      </c>
      <c r="D276" s="1" t="s">
        <v>1835</v>
      </c>
      <c r="E276" s="1">
        <v>1</v>
      </c>
      <c r="F276" s="1" t="s">
        <v>201</v>
      </c>
      <c r="G276" s="45" t="s">
        <v>172</v>
      </c>
      <c r="H276" s="51" t="s">
        <v>2101</v>
      </c>
      <c r="I276" s="1"/>
    </row>
    <row r="277" spans="1:9">
      <c r="A277" s="1">
        <v>273</v>
      </c>
      <c r="B277" s="1" t="s">
        <v>1840</v>
      </c>
      <c r="C277" s="1" t="s">
        <v>1841</v>
      </c>
      <c r="D277" s="1" t="s">
        <v>1840</v>
      </c>
      <c r="E277" s="1">
        <v>1</v>
      </c>
      <c r="F277" s="1" t="s">
        <v>201</v>
      </c>
      <c r="G277" s="45" t="s">
        <v>172</v>
      </c>
      <c r="H277" s="51" t="s">
        <v>2101</v>
      </c>
      <c r="I277" s="1"/>
    </row>
    <row r="278" spans="1:9">
      <c r="A278" s="1">
        <v>274</v>
      </c>
      <c r="B278" s="1" t="s">
        <v>1846</v>
      </c>
      <c r="C278" s="1" t="s">
        <v>1847</v>
      </c>
      <c r="D278" s="1" t="s">
        <v>1848</v>
      </c>
      <c r="E278" s="1">
        <v>1</v>
      </c>
      <c r="F278" s="1" t="s">
        <v>201</v>
      </c>
      <c r="G278" s="45" t="s">
        <v>172</v>
      </c>
      <c r="H278" s="51" t="s">
        <v>2101</v>
      </c>
      <c r="I278" s="1"/>
    </row>
    <row r="279" spans="1:9">
      <c r="A279" s="1">
        <v>275</v>
      </c>
      <c r="B279" s="1" t="s">
        <v>1853</v>
      </c>
      <c r="C279" s="1" t="s">
        <v>1854</v>
      </c>
      <c r="D279" s="1" t="s">
        <v>1855</v>
      </c>
      <c r="E279" s="1">
        <v>1</v>
      </c>
      <c r="F279" s="1" t="s">
        <v>201</v>
      </c>
      <c r="G279" s="45" t="s">
        <v>172</v>
      </c>
      <c r="H279" s="51" t="s">
        <v>2101</v>
      </c>
      <c r="I279" s="1"/>
    </row>
    <row r="280" spans="1:9">
      <c r="A280" s="1">
        <v>276</v>
      </c>
      <c r="B280" s="1" t="s">
        <v>1860</v>
      </c>
      <c r="C280" s="1" t="s">
        <v>1861</v>
      </c>
      <c r="D280" s="1" t="s">
        <v>1862</v>
      </c>
      <c r="E280" s="1">
        <v>1</v>
      </c>
      <c r="F280" s="1" t="s">
        <v>201</v>
      </c>
      <c r="G280" s="45" t="s">
        <v>172</v>
      </c>
      <c r="H280" s="51" t="s">
        <v>2101</v>
      </c>
      <c r="I280" s="1"/>
    </row>
    <row r="281" spans="1:9">
      <c r="A281" s="1">
        <v>277</v>
      </c>
      <c r="B281" s="1" t="s">
        <v>1867</v>
      </c>
      <c r="C281" s="1" t="s">
        <v>1868</v>
      </c>
      <c r="D281" s="1" t="s">
        <v>1869</v>
      </c>
      <c r="E281" s="1">
        <v>1</v>
      </c>
      <c r="F281" s="1" t="s">
        <v>201</v>
      </c>
      <c r="G281" s="45" t="s">
        <v>172</v>
      </c>
      <c r="H281" s="51" t="s">
        <v>2101</v>
      </c>
      <c r="I281" s="1"/>
    </row>
    <row r="282" spans="1:9">
      <c r="A282" s="1">
        <v>278</v>
      </c>
      <c r="B282" s="1" t="s">
        <v>1874</v>
      </c>
      <c r="C282" s="1" t="s">
        <v>1875</v>
      </c>
      <c r="D282" s="1" t="s">
        <v>1876</v>
      </c>
      <c r="E282" s="1">
        <v>1</v>
      </c>
      <c r="F282" s="1" t="s">
        <v>201</v>
      </c>
      <c r="G282" s="45" t="s">
        <v>172</v>
      </c>
      <c r="H282" s="51" t="s">
        <v>2101</v>
      </c>
      <c r="I282" s="1"/>
    </row>
    <row r="283" spans="1:9">
      <c r="A283" s="1">
        <v>279</v>
      </c>
      <c r="B283" s="1" t="s">
        <v>1881</v>
      </c>
      <c r="C283" s="1" t="s">
        <v>1882</v>
      </c>
      <c r="D283" s="1" t="s">
        <v>1498</v>
      </c>
      <c r="E283" s="1">
        <v>1</v>
      </c>
      <c r="F283" s="1" t="s">
        <v>372</v>
      </c>
      <c r="G283" s="45" t="s">
        <v>172</v>
      </c>
      <c r="H283" s="51" t="s">
        <v>2101</v>
      </c>
      <c r="I283" s="1"/>
    </row>
    <row r="284" spans="1:9">
      <c r="A284" s="1">
        <v>280</v>
      </c>
      <c r="B284" s="1" t="s">
        <v>1887</v>
      </c>
      <c r="C284" s="1" t="s">
        <v>1888</v>
      </c>
      <c r="D284" s="1" t="s">
        <v>1889</v>
      </c>
      <c r="E284" s="1">
        <v>1</v>
      </c>
      <c r="F284" s="1" t="s">
        <v>201</v>
      </c>
      <c r="G284" s="45" t="s">
        <v>172</v>
      </c>
      <c r="H284" s="51" t="s">
        <v>2101</v>
      </c>
      <c r="I284" s="1"/>
    </row>
    <row r="285" spans="1:9">
      <c r="A285" s="1">
        <v>281</v>
      </c>
      <c r="B285" s="1" t="s">
        <v>1894</v>
      </c>
      <c r="C285" s="1" t="s">
        <v>1895</v>
      </c>
      <c r="D285" s="1" t="s">
        <v>1896</v>
      </c>
      <c r="E285" s="1">
        <v>1</v>
      </c>
      <c r="F285" s="1" t="s">
        <v>201</v>
      </c>
      <c r="G285" s="45" t="s">
        <v>172</v>
      </c>
      <c r="H285" s="51" t="s">
        <v>2101</v>
      </c>
      <c r="I285" s="1"/>
    </row>
    <row r="286" spans="1:9">
      <c r="A286" s="1">
        <v>282</v>
      </c>
      <c r="B286" s="1" t="s">
        <v>1899</v>
      </c>
      <c r="C286" s="1" t="s">
        <v>1900</v>
      </c>
      <c r="D286" s="1" t="s">
        <v>1901</v>
      </c>
      <c r="E286" s="1">
        <v>1</v>
      </c>
      <c r="F286" s="1" t="s">
        <v>201</v>
      </c>
      <c r="G286" s="45" t="s">
        <v>172</v>
      </c>
      <c r="H286" s="51" t="s">
        <v>2101</v>
      </c>
      <c r="I286" s="1"/>
    </row>
    <row r="287" spans="1:9">
      <c r="A287" s="1">
        <v>283</v>
      </c>
      <c r="B287" s="1" t="s">
        <v>1906</v>
      </c>
      <c r="C287" s="1" t="s">
        <v>1907</v>
      </c>
      <c r="D287" s="1" t="s">
        <v>1908</v>
      </c>
      <c r="E287" s="1">
        <v>1</v>
      </c>
      <c r="F287" s="1" t="s">
        <v>201</v>
      </c>
      <c r="G287" s="45" t="s">
        <v>172</v>
      </c>
      <c r="H287" s="51" t="s">
        <v>2101</v>
      </c>
      <c r="I287" s="1"/>
    </row>
    <row r="288" spans="1:9">
      <c r="A288" s="1">
        <v>284</v>
      </c>
      <c r="B288" s="1" t="s">
        <v>1913</v>
      </c>
      <c r="C288" s="1" t="s">
        <v>1914</v>
      </c>
      <c r="D288" s="1" t="s">
        <v>1915</v>
      </c>
      <c r="E288" s="1">
        <v>1</v>
      </c>
      <c r="F288" s="1" t="s">
        <v>201</v>
      </c>
      <c r="G288" s="45" t="s">
        <v>172</v>
      </c>
      <c r="H288" s="51" t="s">
        <v>2101</v>
      </c>
      <c r="I288" s="1"/>
    </row>
    <row r="289" spans="1:9">
      <c r="A289" s="1">
        <v>285</v>
      </c>
      <c r="B289" s="1" t="s">
        <v>1920</v>
      </c>
      <c r="C289" s="1" t="s">
        <v>1921</v>
      </c>
      <c r="D289" s="1" t="s">
        <v>1922</v>
      </c>
      <c r="E289" s="1">
        <v>1</v>
      </c>
      <c r="F289" s="1" t="s">
        <v>201</v>
      </c>
      <c r="G289" s="45" t="s">
        <v>172</v>
      </c>
      <c r="H289" s="51" t="s">
        <v>2101</v>
      </c>
      <c r="I289" s="1"/>
    </row>
    <row r="290" spans="1:9">
      <c r="A290" s="1">
        <v>286</v>
      </c>
      <c r="B290" s="1" t="s">
        <v>1927</v>
      </c>
      <c r="C290" s="1" t="s">
        <v>1928</v>
      </c>
      <c r="D290" s="1" t="s">
        <v>1929</v>
      </c>
      <c r="E290" s="1">
        <v>1</v>
      </c>
      <c r="F290" s="1" t="s">
        <v>567</v>
      </c>
      <c r="G290" s="45" t="s">
        <v>172</v>
      </c>
      <c r="H290" s="51" t="s">
        <v>2101</v>
      </c>
      <c r="I290" s="1"/>
    </row>
    <row r="291" spans="1:9">
      <c r="A291" s="1">
        <v>287</v>
      </c>
      <c r="B291" s="1" t="s">
        <v>1934</v>
      </c>
      <c r="C291" s="1" t="s">
        <v>1935</v>
      </c>
      <c r="D291" s="1" t="s">
        <v>791</v>
      </c>
      <c r="E291" s="1">
        <v>1</v>
      </c>
      <c r="F291" s="1" t="s">
        <v>201</v>
      </c>
      <c r="G291" s="45" t="s">
        <v>172</v>
      </c>
      <c r="H291" s="51" t="s">
        <v>2101</v>
      </c>
      <c r="I291" s="1"/>
    </row>
    <row r="292" spans="1:9">
      <c r="A292" s="1">
        <v>288</v>
      </c>
      <c r="B292" s="1" t="s">
        <v>1940</v>
      </c>
      <c r="C292" s="1" t="s">
        <v>1941</v>
      </c>
      <c r="D292" s="1" t="s">
        <v>1942</v>
      </c>
      <c r="E292" s="1">
        <v>1</v>
      </c>
      <c r="F292" s="1" t="s">
        <v>201</v>
      </c>
      <c r="G292" s="45" t="s">
        <v>172</v>
      </c>
      <c r="H292" s="51" t="s">
        <v>2101</v>
      </c>
      <c r="I292" s="1"/>
    </row>
    <row r="293" spans="1:9">
      <c r="A293" s="1">
        <v>289</v>
      </c>
      <c r="B293" s="1" t="s">
        <v>1947</v>
      </c>
      <c r="C293" s="1" t="s">
        <v>1948</v>
      </c>
      <c r="D293" s="1" t="s">
        <v>1949</v>
      </c>
      <c r="E293" s="1">
        <v>1</v>
      </c>
      <c r="F293" s="1" t="s">
        <v>201</v>
      </c>
      <c r="G293" s="45" t="s">
        <v>172</v>
      </c>
      <c r="H293" s="51" t="s">
        <v>2101</v>
      </c>
      <c r="I293" s="1"/>
    </row>
    <row r="294" spans="1:9">
      <c r="A294" s="1">
        <v>290</v>
      </c>
      <c r="B294" s="1" t="s">
        <v>1954</v>
      </c>
      <c r="C294" s="1" t="s">
        <v>1955</v>
      </c>
      <c r="D294" s="1" t="s">
        <v>1954</v>
      </c>
      <c r="E294" s="1">
        <v>1</v>
      </c>
      <c r="F294" s="1" t="s">
        <v>201</v>
      </c>
      <c r="G294" s="45" t="s">
        <v>172</v>
      </c>
      <c r="H294" s="51" t="s">
        <v>2101</v>
      </c>
      <c r="I294" s="1"/>
    </row>
    <row r="295" spans="1:9">
      <c r="A295" s="1">
        <v>291</v>
      </c>
      <c r="B295" s="1" t="s">
        <v>1960</v>
      </c>
      <c r="C295" s="1" t="s">
        <v>1961</v>
      </c>
      <c r="D295" s="1" t="s">
        <v>1960</v>
      </c>
      <c r="E295" s="1">
        <v>1</v>
      </c>
      <c r="F295" s="1" t="s">
        <v>201</v>
      </c>
      <c r="G295" s="45" t="s">
        <v>172</v>
      </c>
      <c r="H295" s="51" t="s">
        <v>2101</v>
      </c>
      <c r="I295" s="1"/>
    </row>
    <row r="296" spans="1:9">
      <c r="A296" s="1">
        <v>292</v>
      </c>
      <c r="B296" s="1" t="s">
        <v>1966</v>
      </c>
      <c r="C296" s="1" t="s">
        <v>1967</v>
      </c>
      <c r="D296" s="1" t="s">
        <v>1968</v>
      </c>
      <c r="E296" s="1">
        <v>1</v>
      </c>
      <c r="F296" s="1" t="s">
        <v>201</v>
      </c>
      <c r="G296" s="45" t="s">
        <v>172</v>
      </c>
      <c r="H296" s="51" t="s">
        <v>2101</v>
      </c>
      <c r="I296" s="1"/>
    </row>
    <row r="297" spans="1:9">
      <c r="A297" s="1">
        <v>293</v>
      </c>
      <c r="B297" s="1" t="s">
        <v>1973</v>
      </c>
      <c r="C297" s="1" t="s">
        <v>1974</v>
      </c>
      <c r="D297" s="1" t="s">
        <v>1973</v>
      </c>
      <c r="E297" s="1">
        <v>1</v>
      </c>
      <c r="F297" s="1" t="s">
        <v>201</v>
      </c>
      <c r="G297" s="45" t="s">
        <v>172</v>
      </c>
      <c r="H297" s="51" t="s">
        <v>2101</v>
      </c>
      <c r="I297" s="1"/>
    </row>
    <row r="298" spans="1:9">
      <c r="A298" s="1">
        <v>294</v>
      </c>
      <c r="B298" s="1" t="s">
        <v>1978</v>
      </c>
      <c r="C298" s="1" t="s">
        <v>1979</v>
      </c>
      <c r="D298" s="1" t="s">
        <v>1980</v>
      </c>
      <c r="E298" s="1">
        <v>1</v>
      </c>
      <c r="F298" s="1" t="s">
        <v>201</v>
      </c>
      <c r="G298" s="45" t="s">
        <v>172</v>
      </c>
      <c r="H298" s="51" t="s">
        <v>2101</v>
      </c>
      <c r="I298" s="1"/>
    </row>
    <row r="299" spans="1:9">
      <c r="A299" s="1">
        <v>295</v>
      </c>
      <c r="B299" s="1" t="s">
        <v>1985</v>
      </c>
      <c r="C299" s="1" t="s">
        <v>1986</v>
      </c>
      <c r="D299" s="1" t="s">
        <v>1987</v>
      </c>
      <c r="E299" s="1">
        <v>1</v>
      </c>
      <c r="F299" s="1" t="s">
        <v>201</v>
      </c>
      <c r="G299" s="45" t="s">
        <v>172</v>
      </c>
      <c r="H299" s="51" t="s">
        <v>2101</v>
      </c>
      <c r="I299" s="1"/>
    </row>
    <row r="300" spans="1:9">
      <c r="A300" s="1">
        <v>296</v>
      </c>
      <c r="B300" s="1" t="s">
        <v>1991</v>
      </c>
      <c r="C300" s="1" t="s">
        <v>1992</v>
      </c>
      <c r="D300" s="1" t="s">
        <v>1993</v>
      </c>
      <c r="E300" s="1">
        <v>1</v>
      </c>
      <c r="F300" s="1" t="s">
        <v>201</v>
      </c>
      <c r="G300" s="45" t="s">
        <v>172</v>
      </c>
      <c r="H300" s="51" t="s">
        <v>2101</v>
      </c>
      <c r="I300" s="1"/>
    </row>
    <row r="301" spans="1:9">
      <c r="A301" s="1">
        <v>297</v>
      </c>
      <c r="B301" s="1" t="s">
        <v>1997</v>
      </c>
      <c r="C301" s="1" t="s">
        <v>1998</v>
      </c>
      <c r="D301" s="1" t="s">
        <v>1999</v>
      </c>
      <c r="E301" s="1">
        <v>1</v>
      </c>
      <c r="F301" s="1" t="s">
        <v>201</v>
      </c>
      <c r="G301" s="45" t="s">
        <v>172</v>
      </c>
      <c r="H301" s="51" t="s">
        <v>2101</v>
      </c>
      <c r="I301" s="1"/>
    </row>
    <row r="302" spans="1:9">
      <c r="A302" s="1">
        <v>298</v>
      </c>
      <c r="B302" s="1" t="s">
        <v>2004</v>
      </c>
      <c r="C302" s="1" t="s">
        <v>2005</v>
      </c>
      <c r="D302" s="1" t="s">
        <v>2006</v>
      </c>
      <c r="E302" s="1">
        <v>1</v>
      </c>
      <c r="F302" s="1" t="s">
        <v>201</v>
      </c>
      <c r="G302" s="45" t="s">
        <v>172</v>
      </c>
      <c r="H302" s="51" t="s">
        <v>2101</v>
      </c>
      <c r="I302" s="1"/>
    </row>
    <row r="303" spans="1:9">
      <c r="A303" s="1">
        <v>299</v>
      </c>
      <c r="B303" s="1" t="s">
        <v>2011</v>
      </c>
      <c r="C303" s="1" t="s">
        <v>2012</v>
      </c>
      <c r="D303" s="1" t="s">
        <v>2013</v>
      </c>
      <c r="E303" s="1">
        <v>1</v>
      </c>
      <c r="F303" s="1" t="s">
        <v>201</v>
      </c>
      <c r="G303" s="45" t="s">
        <v>172</v>
      </c>
      <c r="H303" s="51" t="s">
        <v>2101</v>
      </c>
      <c r="I303" s="1"/>
    </row>
    <row r="304" spans="1:9">
      <c r="A304" s="1">
        <v>300</v>
      </c>
      <c r="B304" s="1" t="s">
        <v>2018</v>
      </c>
      <c r="C304" s="1" t="s">
        <v>2019</v>
      </c>
      <c r="D304" s="1" t="s">
        <v>2020</v>
      </c>
      <c r="E304" s="1">
        <v>1</v>
      </c>
      <c r="F304" s="1" t="s">
        <v>201</v>
      </c>
      <c r="G304" s="45" t="s">
        <v>172</v>
      </c>
      <c r="H304" s="51" t="s">
        <v>2101</v>
      </c>
      <c r="I304" s="1"/>
    </row>
    <row r="305" spans="1:9">
      <c r="A305" s="1">
        <v>301</v>
      </c>
      <c r="B305" s="1" t="s">
        <v>2025</v>
      </c>
      <c r="C305" s="1" t="s">
        <v>2026</v>
      </c>
      <c r="D305" s="1" t="s">
        <v>2027</v>
      </c>
      <c r="E305" s="1">
        <v>1</v>
      </c>
      <c r="F305" s="1" t="s">
        <v>201</v>
      </c>
      <c r="G305" s="45" t="s">
        <v>172</v>
      </c>
      <c r="H305" s="51" t="s">
        <v>2101</v>
      </c>
      <c r="I305" s="1"/>
    </row>
    <row r="306" spans="1:9">
      <c r="A306" s="1">
        <v>302</v>
      </c>
      <c r="B306" s="1" t="s">
        <v>2032</v>
      </c>
      <c r="C306" s="1" t="s">
        <v>2033</v>
      </c>
      <c r="D306" s="1" t="s">
        <v>2034</v>
      </c>
      <c r="E306" s="1">
        <v>1</v>
      </c>
      <c r="F306" s="1" t="s">
        <v>201</v>
      </c>
      <c r="G306" s="45" t="s">
        <v>172</v>
      </c>
      <c r="H306" s="51" t="s">
        <v>2101</v>
      </c>
      <c r="I306" s="1"/>
    </row>
    <row r="307" spans="1:9">
      <c r="A307" s="1">
        <v>303</v>
      </c>
      <c r="B307" s="1" t="s">
        <v>2039</v>
      </c>
      <c r="C307" s="1" t="s">
        <v>2040</v>
      </c>
      <c r="D307" s="1" t="s">
        <v>2041</v>
      </c>
      <c r="E307" s="1">
        <v>1</v>
      </c>
      <c r="F307" s="1" t="s">
        <v>201</v>
      </c>
      <c r="G307" s="45" t="s">
        <v>172</v>
      </c>
      <c r="H307" s="51" t="s">
        <v>2101</v>
      </c>
      <c r="I307" s="1"/>
    </row>
    <row r="308" spans="1:9">
      <c r="A308" s="1">
        <v>304</v>
      </c>
      <c r="B308" s="1" t="s">
        <v>2046</v>
      </c>
      <c r="C308" s="1" t="s">
        <v>2047</v>
      </c>
      <c r="D308" s="1" t="s">
        <v>2046</v>
      </c>
      <c r="E308" s="1">
        <v>1</v>
      </c>
      <c r="F308" s="1" t="s">
        <v>201</v>
      </c>
      <c r="G308" s="45" t="s">
        <v>172</v>
      </c>
      <c r="H308" s="51" t="s">
        <v>2101</v>
      </c>
      <c r="I308" s="1"/>
    </row>
    <row r="309" spans="1:9">
      <c r="A309" s="1">
        <v>305</v>
      </c>
      <c r="B309" s="1" t="s">
        <v>2052</v>
      </c>
      <c r="C309" s="1" t="s">
        <v>2053</v>
      </c>
      <c r="D309" s="1" t="s">
        <v>2054</v>
      </c>
      <c r="E309" s="1">
        <v>1</v>
      </c>
      <c r="F309" s="1" t="s">
        <v>201</v>
      </c>
      <c r="G309" s="45" t="s">
        <v>172</v>
      </c>
      <c r="H309" s="51" t="s">
        <v>2101</v>
      </c>
      <c r="I309" s="1"/>
    </row>
    <row r="310" spans="1:9">
      <c r="A310" s="1">
        <v>306</v>
      </c>
      <c r="B310" s="1" t="s">
        <v>2058</v>
      </c>
      <c r="C310" s="1" t="s">
        <v>2059</v>
      </c>
      <c r="D310" s="1" t="s">
        <v>2060</v>
      </c>
      <c r="E310" s="1">
        <v>1</v>
      </c>
      <c r="F310" s="1" t="s">
        <v>201</v>
      </c>
      <c r="G310" s="45" t="s">
        <v>172</v>
      </c>
      <c r="H310" s="51" t="s">
        <v>2101</v>
      </c>
      <c r="I310" s="1"/>
    </row>
    <row r="311" spans="1:9">
      <c r="A311" s="1">
        <v>307</v>
      </c>
      <c r="B311" s="1" t="s">
        <v>2064</v>
      </c>
      <c r="C311" s="1" t="s">
        <v>2065</v>
      </c>
      <c r="D311" s="1" t="s">
        <v>2066</v>
      </c>
      <c r="E311" s="1">
        <v>1</v>
      </c>
      <c r="F311" s="1" t="s">
        <v>201</v>
      </c>
      <c r="G311" s="45" t="s">
        <v>172</v>
      </c>
      <c r="H311" s="51" t="s">
        <v>2101</v>
      </c>
      <c r="I311" s="1"/>
    </row>
    <row r="312" spans="1:9">
      <c r="A312" s="1">
        <v>308</v>
      </c>
      <c r="B312" s="1" t="s">
        <v>2070</v>
      </c>
      <c r="C312" s="1" t="s">
        <v>2071</v>
      </c>
      <c r="D312" s="1" t="s">
        <v>2070</v>
      </c>
      <c r="E312" s="1">
        <v>1</v>
      </c>
      <c r="F312" s="1" t="s">
        <v>201</v>
      </c>
      <c r="G312" s="45" t="s">
        <v>172</v>
      </c>
      <c r="H312" s="51" t="s">
        <v>2101</v>
      </c>
      <c r="I312" s="1"/>
    </row>
    <row r="313" spans="1:9">
      <c r="A313" s="1">
        <v>309</v>
      </c>
      <c r="B313" s="1" t="s">
        <v>2075</v>
      </c>
      <c r="C313" s="1" t="s">
        <v>2076</v>
      </c>
      <c r="D313" s="1" t="s">
        <v>2075</v>
      </c>
      <c r="E313" s="1">
        <v>1</v>
      </c>
      <c r="F313" s="1" t="s">
        <v>201</v>
      </c>
      <c r="G313" s="45" t="s">
        <v>172</v>
      </c>
      <c r="H313" s="51" t="s">
        <v>2101</v>
      </c>
      <c r="I313" s="1"/>
    </row>
    <row r="314" spans="1:9">
      <c r="A314" s="1">
        <v>310</v>
      </c>
      <c r="B314" s="1" t="s">
        <v>2080</v>
      </c>
      <c r="C314" s="1" t="s">
        <v>2081</v>
      </c>
      <c r="D314" s="1" t="s">
        <v>2082</v>
      </c>
      <c r="E314" s="1">
        <v>1</v>
      </c>
      <c r="F314" s="1" t="s">
        <v>201</v>
      </c>
      <c r="G314" s="45" t="s">
        <v>172</v>
      </c>
      <c r="H314" s="51" t="s">
        <v>2101</v>
      </c>
      <c r="I314" s="1"/>
    </row>
    <row r="315" spans="1:9">
      <c r="A315" s="1">
        <v>311</v>
      </c>
      <c r="B315" s="1" t="s">
        <v>2086</v>
      </c>
      <c r="C315" s="1" t="s">
        <v>2087</v>
      </c>
      <c r="D315" s="1" t="s">
        <v>2088</v>
      </c>
      <c r="E315" s="1">
        <v>1</v>
      </c>
      <c r="F315" s="1" t="s">
        <v>201</v>
      </c>
      <c r="G315" s="45" t="s">
        <v>172</v>
      </c>
      <c r="H315" s="51" t="s">
        <v>2101</v>
      </c>
      <c r="I315" s="1"/>
    </row>
  </sheetData>
  <mergeCells count="2">
    <mergeCell ref="A1:I1"/>
    <mergeCell ref="A2:I2"/>
  </mergeCell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5"/>
  <sheetViews>
    <sheetView showGridLines="0" workbookViewId="0">
      <pane ySplit="4" topLeftCell="A5" activePane="bottomLeft" state="frozen"/>
      <selection pane="bottomLeft"/>
    </sheetView>
  </sheetViews>
  <sheetFormatPr defaultRowHeight="15"/>
  <cols>
    <col min="1" max="1" width="40" customWidth="1"/>
    <col min="2" max="3" width="20" customWidth="1"/>
    <col min="4" max="4" width="18" customWidth="1"/>
    <col min="5" max="5" width="70" customWidth="1"/>
  </cols>
  <sheetData>
    <row r="1" spans="1:5">
      <c r="A1" s="48" t="s">
        <v>2103</v>
      </c>
      <c r="B1" s="30"/>
      <c r="C1" s="30"/>
      <c r="D1" s="30"/>
      <c r="E1" s="30"/>
    </row>
    <row r="2" spans="1:5">
      <c r="A2" s="49" t="s">
        <v>2104</v>
      </c>
      <c r="B2" s="30"/>
      <c r="C2" s="30"/>
      <c r="D2" s="30"/>
      <c r="E2" s="30"/>
    </row>
    <row r="4" spans="1:5">
      <c r="A4" s="50" t="s">
        <v>2105</v>
      </c>
      <c r="B4" s="50" t="s">
        <v>2106</v>
      </c>
      <c r="C4" s="50" t="s">
        <v>2107</v>
      </c>
      <c r="D4" s="50" t="s">
        <v>2108</v>
      </c>
      <c r="E4" s="50" t="s">
        <v>2109</v>
      </c>
    </row>
    <row r="5" spans="1:5">
      <c r="A5" s="1" t="s">
        <v>2110</v>
      </c>
      <c r="B5" s="1">
        <v>311</v>
      </c>
      <c r="C5" s="1">
        <v>311</v>
      </c>
      <c r="D5" s="45" t="s">
        <v>2111</v>
      </c>
      <c r="E5" s="1" t="s">
        <v>2112</v>
      </c>
    </row>
    <row r="6" spans="1:5">
      <c r="A6" s="1" t="s">
        <v>2113</v>
      </c>
      <c r="B6" s="1">
        <v>306</v>
      </c>
      <c r="C6" s="1">
        <v>306</v>
      </c>
      <c r="D6" s="45" t="s">
        <v>2111</v>
      </c>
      <c r="E6" s="1" t="s">
        <v>2114</v>
      </c>
    </row>
    <row r="7" spans="1:5">
      <c r="A7" s="1" t="s">
        <v>2115</v>
      </c>
      <c r="B7" s="1">
        <v>5</v>
      </c>
      <c r="C7" s="1">
        <v>5</v>
      </c>
      <c r="D7" s="45" t="s">
        <v>2111</v>
      </c>
      <c r="E7" s="1" t="s">
        <v>2116</v>
      </c>
    </row>
    <row r="8" spans="1:5">
      <c r="A8" s="1" t="s">
        <v>2117</v>
      </c>
      <c r="B8" s="1">
        <v>306</v>
      </c>
      <c r="C8" s="1">
        <v>306</v>
      </c>
      <c r="D8" s="45" t="s">
        <v>2111</v>
      </c>
      <c r="E8" s="1" t="s">
        <v>2118</v>
      </c>
    </row>
    <row r="9" spans="1:5">
      <c r="A9" s="1" t="s">
        <v>2119</v>
      </c>
      <c r="B9" s="1">
        <v>0</v>
      </c>
      <c r="C9" s="1">
        <v>0</v>
      </c>
      <c r="D9" s="45" t="s">
        <v>2111</v>
      </c>
      <c r="E9" s="1" t="s">
        <v>2120</v>
      </c>
    </row>
    <row r="10" spans="1:5">
      <c r="A10" s="1" t="s">
        <v>2121</v>
      </c>
      <c r="B10" s="1">
        <v>0</v>
      </c>
      <c r="C10" s="1">
        <v>0</v>
      </c>
      <c r="D10" s="45" t="s">
        <v>2111</v>
      </c>
      <c r="E10" s="1" t="s">
        <v>2122</v>
      </c>
    </row>
    <row r="11" spans="1:5">
      <c r="A11" s="1" t="s">
        <v>2123</v>
      </c>
      <c r="B11" s="1">
        <v>39</v>
      </c>
      <c r="C11" s="1">
        <v>39</v>
      </c>
      <c r="D11" s="45" t="s">
        <v>2111</v>
      </c>
      <c r="E11" s="1" t="s">
        <v>2124</v>
      </c>
    </row>
    <row r="12" spans="1:5">
      <c r="A12" s="1" t="s">
        <v>2125</v>
      </c>
      <c r="B12" s="1">
        <v>0</v>
      </c>
      <c r="C12" s="1">
        <v>0</v>
      </c>
      <c r="D12" s="45" t="s">
        <v>2111</v>
      </c>
      <c r="E12" s="1" t="s">
        <v>2126</v>
      </c>
    </row>
    <row r="13" spans="1:5">
      <c r="A13" s="1" t="s">
        <v>2127</v>
      </c>
      <c r="B13" s="1">
        <v>0</v>
      </c>
      <c r="C13" s="1">
        <v>0</v>
      </c>
      <c r="D13" s="45" t="s">
        <v>2111</v>
      </c>
      <c r="E13" s="1" t="s">
        <v>2128</v>
      </c>
    </row>
    <row r="14" spans="1:5">
      <c r="A14" s="1" t="s">
        <v>2129</v>
      </c>
      <c r="B14" s="1">
        <v>306</v>
      </c>
      <c r="C14" s="1">
        <v>306</v>
      </c>
      <c r="D14" s="45" t="s">
        <v>2111</v>
      </c>
      <c r="E14" s="1" t="s">
        <v>2130</v>
      </c>
    </row>
    <row r="15" spans="1:5">
      <c r="A15" s="1" t="s">
        <v>2131</v>
      </c>
      <c r="B15" s="1">
        <v>0</v>
      </c>
      <c r="C15" s="1">
        <v>0</v>
      </c>
      <c r="D15" s="45" t="s">
        <v>2111</v>
      </c>
      <c r="E15" s="1" t="s">
        <v>2132</v>
      </c>
    </row>
    <row r="16" spans="1:5">
      <c r="A16" s="1" t="s">
        <v>2133</v>
      </c>
      <c r="B16" s="1">
        <v>311</v>
      </c>
      <c r="C16" s="1">
        <v>311</v>
      </c>
      <c r="D16" s="45" t="s">
        <v>2111</v>
      </c>
      <c r="E16" s="1" t="s">
        <v>2134</v>
      </c>
    </row>
    <row r="17" spans="1:5">
      <c r="A17" s="1" t="s">
        <v>2135</v>
      </c>
      <c r="B17" s="1">
        <v>0</v>
      </c>
      <c r="C17" s="1">
        <v>0</v>
      </c>
      <c r="D17" s="45" t="s">
        <v>2111</v>
      </c>
      <c r="E17" s="1" t="s">
        <v>2136</v>
      </c>
    </row>
    <row r="18" spans="1:5">
      <c r="A18" s="1" t="s">
        <v>2137</v>
      </c>
      <c r="B18" s="1">
        <v>0</v>
      </c>
      <c r="C18" s="1">
        <v>0</v>
      </c>
      <c r="D18" s="45" t="s">
        <v>2111</v>
      </c>
      <c r="E18" s="1" t="s">
        <v>2138</v>
      </c>
    </row>
    <row r="19" spans="1:5">
      <c r="A19" s="1" t="s">
        <v>2139</v>
      </c>
      <c r="B19" s="1">
        <v>1</v>
      </c>
      <c r="C19" s="1">
        <v>1</v>
      </c>
      <c r="D19" s="45" t="s">
        <v>2111</v>
      </c>
      <c r="E19" s="1" t="s">
        <v>2140</v>
      </c>
    </row>
    <row r="20" spans="1:5">
      <c r="A20" s="1" t="s">
        <v>2141</v>
      </c>
      <c r="B20" s="1">
        <v>0</v>
      </c>
      <c r="C20" s="1">
        <v>0</v>
      </c>
      <c r="D20" s="45" t="s">
        <v>2111</v>
      </c>
      <c r="E20" s="1" t="s">
        <v>2142</v>
      </c>
    </row>
    <row r="21" spans="1:5">
      <c r="A21" s="1" t="s">
        <v>2143</v>
      </c>
      <c r="B21" s="1">
        <v>25</v>
      </c>
      <c r="C21" s="1">
        <v>25</v>
      </c>
      <c r="D21" s="45" t="s">
        <v>2111</v>
      </c>
      <c r="E21" s="1" t="s">
        <v>2144</v>
      </c>
    </row>
    <row r="22" spans="1:5">
      <c r="A22" s="1" t="s">
        <v>2145</v>
      </c>
      <c r="B22" s="1">
        <v>5</v>
      </c>
      <c r="C22" s="1">
        <v>5</v>
      </c>
      <c r="D22" s="45" t="s">
        <v>2111</v>
      </c>
      <c r="E22" s="1" t="s">
        <v>2146</v>
      </c>
    </row>
    <row r="23" spans="1:5">
      <c r="A23" s="1" t="s">
        <v>2147</v>
      </c>
      <c r="B23" s="1">
        <v>0</v>
      </c>
      <c r="C23" s="1">
        <v>0</v>
      </c>
      <c r="D23" s="45" t="s">
        <v>2111</v>
      </c>
      <c r="E23" s="1" t="s">
        <v>2148</v>
      </c>
    </row>
    <row r="24" spans="1:5">
      <c r="A24" s="1" t="s">
        <v>2149</v>
      </c>
      <c r="B24" s="1">
        <v>6</v>
      </c>
      <c r="C24" s="1">
        <v>6</v>
      </c>
      <c r="D24" s="45" t="s">
        <v>2111</v>
      </c>
      <c r="E24" s="1" t="s">
        <v>2150</v>
      </c>
    </row>
    <row r="25" spans="1:5">
      <c r="A25" s="1" t="s">
        <v>2151</v>
      </c>
      <c r="B25" s="1">
        <v>30</v>
      </c>
      <c r="C25" s="1">
        <v>30</v>
      </c>
      <c r="D25" s="45" t="s">
        <v>2111</v>
      </c>
      <c r="E25" s="1" t="s">
        <v>2152</v>
      </c>
    </row>
    <row r="26" spans="1:5">
      <c r="A26" s="1" t="s">
        <v>2153</v>
      </c>
      <c r="B26" s="1">
        <v>5</v>
      </c>
      <c r="C26" s="1">
        <v>5</v>
      </c>
      <c r="D26" s="45" t="s">
        <v>2111</v>
      </c>
      <c r="E26" s="1" t="s">
        <v>2154</v>
      </c>
    </row>
    <row r="27" spans="1:5">
      <c r="A27" s="1" t="s">
        <v>2155</v>
      </c>
      <c r="B27" s="1">
        <v>0</v>
      </c>
      <c r="C27" s="1">
        <v>0</v>
      </c>
      <c r="D27" s="45" t="s">
        <v>2111</v>
      </c>
      <c r="E27" s="1" t="s">
        <v>2156</v>
      </c>
    </row>
    <row r="28" spans="1:5">
      <c r="A28" s="1" t="s">
        <v>2157</v>
      </c>
      <c r="B28" s="1">
        <v>35</v>
      </c>
      <c r="C28" s="1">
        <v>35</v>
      </c>
      <c r="D28" s="45" t="s">
        <v>2111</v>
      </c>
      <c r="E28" s="1" t="s">
        <v>2158</v>
      </c>
    </row>
    <row r="29" spans="1:5">
      <c r="A29" s="1" t="s">
        <v>2159</v>
      </c>
      <c r="B29" s="1">
        <v>10</v>
      </c>
      <c r="C29" s="1">
        <v>10</v>
      </c>
      <c r="D29" s="45" t="s">
        <v>2111</v>
      </c>
      <c r="E29" s="1" t="s">
        <v>2160</v>
      </c>
    </row>
    <row r="30" spans="1:5">
      <c r="A30" s="1" t="s">
        <v>2161</v>
      </c>
      <c r="B30" s="1">
        <v>5</v>
      </c>
      <c r="C30" s="1">
        <v>5</v>
      </c>
      <c r="D30" s="45" t="s">
        <v>2111</v>
      </c>
      <c r="E30" s="1" t="s">
        <v>2162</v>
      </c>
    </row>
    <row r="31" spans="1:5">
      <c r="A31" s="1" t="s">
        <v>2163</v>
      </c>
      <c r="B31" s="1">
        <v>0</v>
      </c>
      <c r="C31" s="1">
        <v>0</v>
      </c>
      <c r="D31" s="45" t="s">
        <v>2111</v>
      </c>
      <c r="E31" s="1" t="s">
        <v>2164</v>
      </c>
    </row>
    <row r="32" spans="1:5">
      <c r="A32" s="1" t="s">
        <v>2165</v>
      </c>
      <c r="B32" s="1">
        <v>1</v>
      </c>
      <c r="C32" s="1">
        <v>1</v>
      </c>
      <c r="D32" s="13" t="s">
        <v>2111</v>
      </c>
      <c r="E32" s="1" t="s">
        <v>2166</v>
      </c>
    </row>
    <row r="33" spans="1:5">
      <c r="A33" s="1" t="s">
        <v>2167</v>
      </c>
      <c r="B33" s="1">
        <v>1</v>
      </c>
      <c r="C33" s="1">
        <v>1</v>
      </c>
      <c r="D33" s="13" t="s">
        <v>2111</v>
      </c>
      <c r="E33" s="1" t="s">
        <v>2168</v>
      </c>
    </row>
    <row r="34" spans="1:5">
      <c r="A34" s="1" t="s">
        <v>2169</v>
      </c>
      <c r="B34" s="1">
        <v>5</v>
      </c>
      <c r="C34" s="1">
        <v>5</v>
      </c>
      <c r="D34" s="13" t="s">
        <v>2111</v>
      </c>
      <c r="E34" s="1" t="s">
        <v>2170</v>
      </c>
    </row>
    <row r="35" spans="1:5">
      <c r="A35" s="1" t="s">
        <v>2171</v>
      </c>
      <c r="B35" s="1">
        <v>1</v>
      </c>
      <c r="C35" s="1">
        <v>1</v>
      </c>
      <c r="D35" s="13" t="s">
        <v>2111</v>
      </c>
      <c r="E35" s="1" t="s">
        <v>2172</v>
      </c>
    </row>
  </sheetData>
  <mergeCells count="2">
    <mergeCell ref="A2:E2"/>
    <mergeCell ref="A1:E1"/>
  </mergeCell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
  <sheetViews>
    <sheetView showGridLines="0" workbookViewId="0">
      <pane ySplit="4" topLeftCell="A5" activePane="bottomLeft" state="frozen"/>
      <selection pane="bottomLeft"/>
    </sheetView>
  </sheetViews>
  <sheetFormatPr defaultRowHeight="15"/>
  <sheetData>
    <row r="1" spans="1:3">
      <c r="A1" s="44" t="s">
        <v>2173</v>
      </c>
      <c r="B1" s="30"/>
      <c r="C1" s="30"/>
    </row>
    <row r="2" spans="1:3">
      <c r="A2" s="23" t="s">
        <v>2174</v>
      </c>
      <c r="B2" s="30"/>
      <c r="C2" s="30"/>
    </row>
    <row r="4" spans="1:3">
      <c r="A4" s="3" t="s">
        <v>188</v>
      </c>
      <c r="B4" s="3" t="s">
        <v>192</v>
      </c>
      <c r="C4" s="3" t="s">
        <v>2175</v>
      </c>
    </row>
    <row r="5" spans="1:3">
      <c r="A5" s="1" t="s">
        <v>2176</v>
      </c>
      <c r="B5" s="1" t="s">
        <v>2177</v>
      </c>
      <c r="C5" s="1" t="s">
        <v>2178</v>
      </c>
    </row>
    <row r="6" spans="1:3">
      <c r="A6" s="1" t="s">
        <v>2179</v>
      </c>
      <c r="B6" s="1" t="s">
        <v>2180</v>
      </c>
      <c r="C6" s="1" t="s">
        <v>169</v>
      </c>
    </row>
    <row r="7" spans="1:3">
      <c r="A7" s="1" t="s">
        <v>2181</v>
      </c>
      <c r="B7" s="1" t="s">
        <v>2182</v>
      </c>
      <c r="C7" s="1" t="s">
        <v>2183</v>
      </c>
    </row>
    <row r="8" spans="1:3">
      <c r="A8" s="1" t="s">
        <v>2184</v>
      </c>
      <c r="B8" s="1" t="s">
        <v>201</v>
      </c>
      <c r="C8" s="1" t="s">
        <v>2185</v>
      </c>
    </row>
    <row r="9" spans="1:3">
      <c r="A9" s="1" t="s">
        <v>2186</v>
      </c>
      <c r="B9" s="1" t="s">
        <v>372</v>
      </c>
      <c r="C9" s="1" t="s">
        <v>2187</v>
      </c>
    </row>
    <row r="10" spans="1:3">
      <c r="A10" s="1" t="s">
        <v>2188</v>
      </c>
      <c r="B10" s="1" t="s">
        <v>567</v>
      </c>
      <c r="C10" s="1" t="s">
        <v>2189</v>
      </c>
    </row>
  </sheetData>
  <mergeCells count="2">
    <mergeCell ref="A1:C1"/>
    <mergeCell ref="A2:C2"/>
  </mergeCells>
  <pageMargins left="0.75" right="0.75" top="1" bottom="1" header="0.5" footer="0.5"/>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10"/>
  <sheetViews>
    <sheetView showGridLines="0" workbookViewId="0">
      <pane ySplit="4" topLeftCell="A5" activePane="bottomLeft" state="frozen"/>
      <selection pane="bottomLeft"/>
    </sheetView>
  </sheetViews>
  <sheetFormatPr defaultRowHeight="15"/>
  <cols>
    <col min="1" max="1" width="12" customWidth="1"/>
    <col min="2" max="2" width="34" customWidth="1"/>
    <col min="3" max="3" width="28" customWidth="1"/>
    <col min="4" max="6" width="18" customWidth="1"/>
    <col min="7" max="7" width="15" customWidth="1"/>
    <col min="8" max="9" width="18" customWidth="1"/>
    <col min="10" max="10" width="42" customWidth="1"/>
  </cols>
  <sheetData>
    <row r="1" spans="1:10">
      <c r="A1" s="44" t="s">
        <v>2190</v>
      </c>
      <c r="B1" s="30"/>
      <c r="C1" s="30"/>
      <c r="D1" s="30"/>
      <c r="E1" s="30"/>
      <c r="F1" s="30"/>
      <c r="G1" s="30"/>
      <c r="H1" s="30"/>
      <c r="I1" s="30"/>
      <c r="J1" s="30"/>
    </row>
    <row r="2" spans="1:10">
      <c r="A2" s="23" t="s">
        <v>2191</v>
      </c>
      <c r="B2" s="30"/>
      <c r="C2" s="30"/>
      <c r="D2" s="30"/>
      <c r="E2" s="30"/>
      <c r="F2" s="30"/>
      <c r="G2" s="30"/>
      <c r="H2" s="30"/>
      <c r="I2" s="30"/>
      <c r="J2" s="30"/>
    </row>
    <row r="4" spans="1:10">
      <c r="A4" s="5" t="s">
        <v>188</v>
      </c>
      <c r="B4" s="5" t="s">
        <v>2192</v>
      </c>
      <c r="C4" s="5" t="s">
        <v>192</v>
      </c>
      <c r="D4" s="5" t="s">
        <v>193</v>
      </c>
      <c r="E4" s="5" t="s">
        <v>2193</v>
      </c>
      <c r="F4" s="5" t="s">
        <v>2194</v>
      </c>
      <c r="G4" s="5" t="s">
        <v>137</v>
      </c>
      <c r="H4" s="5" t="s">
        <v>141</v>
      </c>
      <c r="I4" s="5" t="s">
        <v>2195</v>
      </c>
      <c r="J4" s="5" t="s">
        <v>2196</v>
      </c>
    </row>
    <row r="5" spans="1:10">
      <c r="A5" s="1" t="s">
        <v>199</v>
      </c>
      <c r="B5" s="1" t="s">
        <v>198</v>
      </c>
      <c r="C5" s="1" t="s">
        <v>201</v>
      </c>
      <c r="D5" s="45" t="s">
        <v>172</v>
      </c>
      <c r="E5" s="1" t="s">
        <v>2197</v>
      </c>
      <c r="F5" s="1" t="s">
        <v>2197</v>
      </c>
      <c r="G5" s="1" t="s">
        <v>2197</v>
      </c>
      <c r="H5" s="1" t="s">
        <v>2197</v>
      </c>
      <c r="I5" s="45" t="s">
        <v>2111</v>
      </c>
      <c r="J5" s="1"/>
    </row>
    <row r="6" spans="1:10">
      <c r="A6" s="1" t="s">
        <v>207</v>
      </c>
      <c r="B6" s="1" t="s">
        <v>206</v>
      </c>
      <c r="C6" s="1" t="s">
        <v>201</v>
      </c>
      <c r="D6" s="45" t="s">
        <v>172</v>
      </c>
      <c r="E6" s="1" t="s">
        <v>2197</v>
      </c>
      <c r="F6" s="1" t="s">
        <v>2197</v>
      </c>
      <c r="G6" s="1" t="s">
        <v>2197</v>
      </c>
      <c r="H6" s="1" t="s">
        <v>2197</v>
      </c>
      <c r="I6" s="45" t="s">
        <v>2111</v>
      </c>
      <c r="J6" s="1"/>
    </row>
    <row r="7" spans="1:10">
      <c r="A7" s="1" t="s">
        <v>212</v>
      </c>
      <c r="B7" s="1" t="s">
        <v>211</v>
      </c>
      <c r="C7" s="1" t="s">
        <v>201</v>
      </c>
      <c r="D7" s="45" t="s">
        <v>172</v>
      </c>
      <c r="E7" s="1" t="s">
        <v>2197</v>
      </c>
      <c r="F7" s="1" t="s">
        <v>2197</v>
      </c>
      <c r="G7" s="1" t="s">
        <v>2197</v>
      </c>
      <c r="H7" s="1" t="s">
        <v>2197</v>
      </c>
      <c r="I7" s="45" t="s">
        <v>2111</v>
      </c>
      <c r="J7" s="1"/>
    </row>
    <row r="8" spans="1:10">
      <c r="A8" s="1" t="s">
        <v>217</v>
      </c>
      <c r="B8" s="1" t="s">
        <v>216</v>
      </c>
      <c r="C8" s="1" t="s">
        <v>201</v>
      </c>
      <c r="D8" s="45" t="s">
        <v>172</v>
      </c>
      <c r="E8" s="1" t="s">
        <v>2197</v>
      </c>
      <c r="F8" s="1" t="s">
        <v>2197</v>
      </c>
      <c r="G8" s="1" t="s">
        <v>2197</v>
      </c>
      <c r="H8" s="1" t="s">
        <v>2197</v>
      </c>
      <c r="I8" s="45" t="s">
        <v>2111</v>
      </c>
      <c r="J8" s="1"/>
    </row>
    <row r="9" spans="1:10">
      <c r="A9" s="1" t="s">
        <v>222</v>
      </c>
      <c r="B9" s="1" t="s">
        <v>221</v>
      </c>
      <c r="C9" s="1" t="s">
        <v>201</v>
      </c>
      <c r="D9" s="45" t="s">
        <v>172</v>
      </c>
      <c r="E9" s="1" t="s">
        <v>2197</v>
      </c>
      <c r="F9" s="1" t="s">
        <v>2197</v>
      </c>
      <c r="G9" s="1" t="s">
        <v>2197</v>
      </c>
      <c r="H9" s="1" t="s">
        <v>2197</v>
      </c>
      <c r="I9" s="45" t="s">
        <v>2111</v>
      </c>
      <c r="J9" s="1"/>
    </row>
    <row r="10" spans="1:10">
      <c r="A10" s="1" t="s">
        <v>227</v>
      </c>
      <c r="B10" s="1" t="s">
        <v>226</v>
      </c>
      <c r="C10" s="1" t="s">
        <v>201</v>
      </c>
      <c r="D10" s="45" t="s">
        <v>172</v>
      </c>
      <c r="E10" s="1" t="s">
        <v>2197</v>
      </c>
      <c r="F10" s="1" t="s">
        <v>2197</v>
      </c>
      <c r="G10" s="1" t="s">
        <v>2197</v>
      </c>
      <c r="H10" s="1" t="s">
        <v>2197</v>
      </c>
      <c r="I10" s="45" t="s">
        <v>2111</v>
      </c>
      <c r="J10" s="1"/>
    </row>
    <row r="11" spans="1:10">
      <c r="A11" s="1" t="s">
        <v>232</v>
      </c>
      <c r="B11" s="1" t="s">
        <v>231</v>
      </c>
      <c r="C11" s="1" t="s">
        <v>201</v>
      </c>
      <c r="D11" s="45" t="s">
        <v>172</v>
      </c>
      <c r="E11" s="1" t="s">
        <v>2197</v>
      </c>
      <c r="F11" s="1" t="s">
        <v>2197</v>
      </c>
      <c r="G11" s="1" t="s">
        <v>2197</v>
      </c>
      <c r="H11" s="1" t="s">
        <v>2197</v>
      </c>
      <c r="I11" s="45" t="s">
        <v>2111</v>
      </c>
      <c r="J11" s="1"/>
    </row>
    <row r="12" spans="1:10">
      <c r="A12" s="1" t="s">
        <v>237</v>
      </c>
      <c r="B12" s="1" t="s">
        <v>236</v>
      </c>
      <c r="C12" s="1" t="s">
        <v>201</v>
      </c>
      <c r="D12" s="45" t="s">
        <v>172</v>
      </c>
      <c r="E12" s="1" t="s">
        <v>2197</v>
      </c>
      <c r="F12" s="1" t="s">
        <v>2197</v>
      </c>
      <c r="G12" s="1" t="s">
        <v>2197</v>
      </c>
      <c r="H12" s="1" t="s">
        <v>2197</v>
      </c>
      <c r="I12" s="45" t="s">
        <v>2111</v>
      </c>
      <c r="J12" s="1"/>
    </row>
    <row r="13" spans="1:10">
      <c r="A13" s="1" t="s">
        <v>242</v>
      </c>
      <c r="B13" s="1" t="s">
        <v>241</v>
      </c>
      <c r="C13" s="1" t="s">
        <v>201</v>
      </c>
      <c r="D13" s="45" t="s">
        <v>172</v>
      </c>
      <c r="E13" s="1" t="s">
        <v>2197</v>
      </c>
      <c r="F13" s="1" t="s">
        <v>2197</v>
      </c>
      <c r="G13" s="1" t="s">
        <v>2197</v>
      </c>
      <c r="H13" s="1" t="s">
        <v>2197</v>
      </c>
      <c r="I13" s="45" t="s">
        <v>2111</v>
      </c>
      <c r="J13" s="1"/>
    </row>
    <row r="14" spans="1:10">
      <c r="A14" s="1" t="s">
        <v>247</v>
      </c>
      <c r="B14" s="1" t="s">
        <v>246</v>
      </c>
      <c r="C14" s="1" t="s">
        <v>201</v>
      </c>
      <c r="D14" s="45" t="s">
        <v>172</v>
      </c>
      <c r="E14" s="1" t="s">
        <v>2197</v>
      </c>
      <c r="F14" s="1" t="s">
        <v>2197</v>
      </c>
      <c r="G14" s="1" t="s">
        <v>2197</v>
      </c>
      <c r="H14" s="1" t="s">
        <v>2197</v>
      </c>
      <c r="I14" s="45" t="s">
        <v>2111</v>
      </c>
      <c r="J14" s="1"/>
    </row>
    <row r="15" spans="1:10">
      <c r="A15" s="1" t="s">
        <v>251</v>
      </c>
      <c r="B15" s="1" t="s">
        <v>250</v>
      </c>
      <c r="C15" s="1" t="s">
        <v>201</v>
      </c>
      <c r="D15" s="45" t="s">
        <v>172</v>
      </c>
      <c r="E15" s="1" t="s">
        <v>2197</v>
      </c>
      <c r="F15" s="1" t="s">
        <v>2197</v>
      </c>
      <c r="G15" s="1" t="s">
        <v>2197</v>
      </c>
      <c r="H15" s="1" t="s">
        <v>2197</v>
      </c>
      <c r="I15" s="45" t="s">
        <v>2111</v>
      </c>
      <c r="J15" s="1"/>
    </row>
    <row r="16" spans="1:10">
      <c r="A16" s="1" t="s">
        <v>255</v>
      </c>
      <c r="B16" s="1" t="s">
        <v>254</v>
      </c>
      <c r="C16" s="1" t="s">
        <v>201</v>
      </c>
      <c r="D16" s="45" t="s">
        <v>172</v>
      </c>
      <c r="E16" s="1" t="s">
        <v>2197</v>
      </c>
      <c r="F16" s="1" t="s">
        <v>2197</v>
      </c>
      <c r="G16" s="1" t="s">
        <v>2197</v>
      </c>
      <c r="H16" s="1" t="s">
        <v>2197</v>
      </c>
      <c r="I16" s="45" t="s">
        <v>2111</v>
      </c>
      <c r="J16" s="1"/>
    </row>
    <row r="17" spans="1:10">
      <c r="A17" s="1" t="s">
        <v>260</v>
      </c>
      <c r="B17" s="1" t="s">
        <v>259</v>
      </c>
      <c r="C17" s="1" t="s">
        <v>201</v>
      </c>
      <c r="D17" s="45" t="s">
        <v>172</v>
      </c>
      <c r="E17" s="1" t="s">
        <v>2197</v>
      </c>
      <c r="F17" s="1" t="s">
        <v>2197</v>
      </c>
      <c r="G17" s="1" t="s">
        <v>2197</v>
      </c>
      <c r="H17" s="1" t="s">
        <v>2197</v>
      </c>
      <c r="I17" s="45" t="s">
        <v>2111</v>
      </c>
      <c r="J17" s="1"/>
    </row>
    <row r="18" spans="1:10">
      <c r="A18" s="1" t="s">
        <v>265</v>
      </c>
      <c r="B18" s="1" t="s">
        <v>264</v>
      </c>
      <c r="C18" s="1" t="s">
        <v>201</v>
      </c>
      <c r="D18" s="45" t="s">
        <v>172</v>
      </c>
      <c r="E18" s="1" t="s">
        <v>2197</v>
      </c>
      <c r="F18" s="1" t="s">
        <v>2197</v>
      </c>
      <c r="G18" s="1" t="s">
        <v>2197</v>
      </c>
      <c r="H18" s="1" t="s">
        <v>2197</v>
      </c>
      <c r="I18" s="45" t="s">
        <v>2111</v>
      </c>
      <c r="J18" s="1"/>
    </row>
    <row r="19" spans="1:10">
      <c r="A19" s="1" t="s">
        <v>270</v>
      </c>
      <c r="B19" s="1" t="s">
        <v>269</v>
      </c>
      <c r="C19" s="1" t="s">
        <v>201</v>
      </c>
      <c r="D19" s="45" t="s">
        <v>172</v>
      </c>
      <c r="E19" s="1" t="s">
        <v>2197</v>
      </c>
      <c r="F19" s="1" t="s">
        <v>2197</v>
      </c>
      <c r="G19" s="1" t="s">
        <v>2197</v>
      </c>
      <c r="H19" s="1" t="s">
        <v>2197</v>
      </c>
      <c r="I19" s="45" t="s">
        <v>2111</v>
      </c>
      <c r="J19" s="1"/>
    </row>
    <row r="20" spans="1:10">
      <c r="A20" s="1" t="s">
        <v>276</v>
      </c>
      <c r="B20" s="1" t="s">
        <v>275</v>
      </c>
      <c r="C20" s="1" t="s">
        <v>201</v>
      </c>
      <c r="D20" s="45" t="s">
        <v>172</v>
      </c>
      <c r="E20" s="1" t="s">
        <v>2197</v>
      </c>
      <c r="F20" s="1" t="s">
        <v>2197</v>
      </c>
      <c r="G20" s="1" t="s">
        <v>2197</v>
      </c>
      <c r="H20" s="1" t="s">
        <v>2197</v>
      </c>
      <c r="I20" s="45" t="s">
        <v>2111</v>
      </c>
      <c r="J20" s="1"/>
    </row>
    <row r="21" spans="1:10">
      <c r="A21" s="1" t="s">
        <v>282</v>
      </c>
      <c r="B21" s="1" t="s">
        <v>281</v>
      </c>
      <c r="C21" s="1" t="s">
        <v>201</v>
      </c>
      <c r="D21" s="45" t="s">
        <v>172</v>
      </c>
      <c r="E21" s="1" t="s">
        <v>2197</v>
      </c>
      <c r="F21" s="1" t="s">
        <v>2197</v>
      </c>
      <c r="G21" s="1" t="s">
        <v>2197</v>
      </c>
      <c r="H21" s="1" t="s">
        <v>2197</v>
      </c>
      <c r="I21" s="45" t="s">
        <v>2111</v>
      </c>
      <c r="J21" s="1"/>
    </row>
    <row r="22" spans="1:10">
      <c r="A22" s="1" t="s">
        <v>287</v>
      </c>
      <c r="B22" s="1" t="s">
        <v>286</v>
      </c>
      <c r="C22" s="1" t="s">
        <v>201</v>
      </c>
      <c r="D22" s="45" t="s">
        <v>172</v>
      </c>
      <c r="E22" s="1" t="s">
        <v>2197</v>
      </c>
      <c r="F22" s="1" t="s">
        <v>2197</v>
      </c>
      <c r="G22" s="1" t="s">
        <v>2197</v>
      </c>
      <c r="H22" s="1" t="s">
        <v>2197</v>
      </c>
      <c r="I22" s="45" t="s">
        <v>2111</v>
      </c>
      <c r="J22" s="1"/>
    </row>
    <row r="23" spans="1:10">
      <c r="A23" s="1" t="s">
        <v>292</v>
      </c>
      <c r="B23" s="1" t="s">
        <v>291</v>
      </c>
      <c r="C23" s="1" t="s">
        <v>201</v>
      </c>
      <c r="D23" s="45" t="s">
        <v>172</v>
      </c>
      <c r="E23" s="1" t="s">
        <v>2197</v>
      </c>
      <c r="F23" s="1" t="s">
        <v>2197</v>
      </c>
      <c r="G23" s="1" t="s">
        <v>2197</v>
      </c>
      <c r="H23" s="1" t="s">
        <v>2197</v>
      </c>
      <c r="I23" s="45" t="s">
        <v>2111</v>
      </c>
      <c r="J23" s="1"/>
    </row>
    <row r="24" spans="1:10">
      <c r="A24" s="1" t="s">
        <v>297</v>
      </c>
      <c r="B24" s="1" t="s">
        <v>296</v>
      </c>
      <c r="C24" s="1" t="s">
        <v>201</v>
      </c>
      <c r="D24" s="45" t="s">
        <v>172</v>
      </c>
      <c r="E24" s="1" t="s">
        <v>2197</v>
      </c>
      <c r="F24" s="1" t="s">
        <v>2197</v>
      </c>
      <c r="G24" s="1" t="s">
        <v>2197</v>
      </c>
      <c r="H24" s="1" t="s">
        <v>2197</v>
      </c>
      <c r="I24" s="45" t="s">
        <v>2111</v>
      </c>
      <c r="J24" s="1"/>
    </row>
    <row r="25" spans="1:10">
      <c r="A25" s="1" t="s">
        <v>302</v>
      </c>
      <c r="B25" s="1" t="s">
        <v>301</v>
      </c>
      <c r="C25" s="1" t="s">
        <v>201</v>
      </c>
      <c r="D25" s="45" t="s">
        <v>172</v>
      </c>
      <c r="E25" s="1" t="s">
        <v>2197</v>
      </c>
      <c r="F25" s="1" t="s">
        <v>2197</v>
      </c>
      <c r="G25" s="1" t="s">
        <v>2197</v>
      </c>
      <c r="H25" s="1" t="s">
        <v>2197</v>
      </c>
      <c r="I25" s="45" t="s">
        <v>2111</v>
      </c>
      <c r="J25" s="1"/>
    </row>
    <row r="26" spans="1:10">
      <c r="A26" s="1" t="s">
        <v>308</v>
      </c>
      <c r="B26" s="1" t="s">
        <v>307</v>
      </c>
      <c r="C26" s="1" t="s">
        <v>201</v>
      </c>
      <c r="D26" s="45" t="s">
        <v>172</v>
      </c>
      <c r="E26" s="1" t="s">
        <v>2197</v>
      </c>
      <c r="F26" s="1" t="s">
        <v>2197</v>
      </c>
      <c r="G26" s="1" t="s">
        <v>2197</v>
      </c>
      <c r="H26" s="1" t="s">
        <v>2197</v>
      </c>
      <c r="I26" s="45" t="s">
        <v>2111</v>
      </c>
      <c r="J26" s="1"/>
    </row>
    <row r="27" spans="1:10">
      <c r="A27" s="1" t="s">
        <v>313</v>
      </c>
      <c r="B27" s="1" t="s">
        <v>312</v>
      </c>
      <c r="C27" s="1" t="s">
        <v>201</v>
      </c>
      <c r="D27" s="45" t="s">
        <v>172</v>
      </c>
      <c r="E27" s="1" t="s">
        <v>2197</v>
      </c>
      <c r="F27" s="1" t="s">
        <v>2197</v>
      </c>
      <c r="G27" s="1" t="s">
        <v>2197</v>
      </c>
      <c r="H27" s="1" t="s">
        <v>2197</v>
      </c>
      <c r="I27" s="45" t="s">
        <v>2111</v>
      </c>
      <c r="J27" s="1"/>
    </row>
    <row r="28" spans="1:10">
      <c r="A28" s="1" t="s">
        <v>319</v>
      </c>
      <c r="B28" s="1" t="s">
        <v>318</v>
      </c>
      <c r="C28" s="1" t="s">
        <v>201</v>
      </c>
      <c r="D28" s="45" t="s">
        <v>172</v>
      </c>
      <c r="E28" s="1" t="s">
        <v>2197</v>
      </c>
      <c r="F28" s="1" t="s">
        <v>2197</v>
      </c>
      <c r="G28" s="1" t="s">
        <v>2197</v>
      </c>
      <c r="H28" s="1" t="s">
        <v>2197</v>
      </c>
      <c r="I28" s="45" t="s">
        <v>2111</v>
      </c>
      <c r="J28" s="1"/>
    </row>
    <row r="29" spans="1:10">
      <c r="A29" s="1" t="s">
        <v>325</v>
      </c>
      <c r="B29" s="1" t="s">
        <v>324</v>
      </c>
      <c r="C29" s="1" t="s">
        <v>201</v>
      </c>
      <c r="D29" s="45" t="s">
        <v>172</v>
      </c>
      <c r="E29" s="1" t="s">
        <v>2197</v>
      </c>
      <c r="F29" s="1" t="s">
        <v>2197</v>
      </c>
      <c r="G29" s="1" t="s">
        <v>2197</v>
      </c>
      <c r="H29" s="1" t="s">
        <v>2197</v>
      </c>
      <c r="I29" s="45" t="s">
        <v>2111</v>
      </c>
      <c r="J29" s="1"/>
    </row>
    <row r="30" spans="1:10">
      <c r="A30" s="1" t="s">
        <v>331</v>
      </c>
      <c r="B30" s="1" t="s">
        <v>330</v>
      </c>
      <c r="C30" s="1" t="s">
        <v>201</v>
      </c>
      <c r="D30" s="45" t="s">
        <v>172</v>
      </c>
      <c r="E30" s="1" t="s">
        <v>2197</v>
      </c>
      <c r="F30" s="1" t="s">
        <v>2197</v>
      </c>
      <c r="G30" s="1" t="s">
        <v>2197</v>
      </c>
      <c r="H30" s="1" t="s">
        <v>2197</v>
      </c>
      <c r="I30" s="45" t="s">
        <v>2111</v>
      </c>
      <c r="J30" s="1"/>
    </row>
    <row r="31" spans="1:10">
      <c r="A31" s="1" t="s">
        <v>336</v>
      </c>
      <c r="B31" s="1" t="s">
        <v>335</v>
      </c>
      <c r="C31" s="1" t="s">
        <v>201</v>
      </c>
      <c r="D31" s="45" t="s">
        <v>172</v>
      </c>
      <c r="E31" s="1" t="s">
        <v>2197</v>
      </c>
      <c r="F31" s="1" t="s">
        <v>2197</v>
      </c>
      <c r="G31" s="1" t="s">
        <v>2197</v>
      </c>
      <c r="H31" s="1" t="s">
        <v>2197</v>
      </c>
      <c r="I31" s="45" t="s">
        <v>2111</v>
      </c>
      <c r="J31" s="1"/>
    </row>
    <row r="32" spans="1:10">
      <c r="A32" s="1" t="s">
        <v>342</v>
      </c>
      <c r="B32" s="1" t="s">
        <v>341</v>
      </c>
      <c r="C32" s="1" t="s">
        <v>201</v>
      </c>
      <c r="D32" s="45" t="s">
        <v>172</v>
      </c>
      <c r="E32" s="1" t="s">
        <v>2197</v>
      </c>
      <c r="F32" s="1" t="s">
        <v>2197</v>
      </c>
      <c r="G32" s="1" t="s">
        <v>2197</v>
      </c>
      <c r="H32" s="1" t="s">
        <v>2197</v>
      </c>
      <c r="I32" s="45" t="s">
        <v>2111</v>
      </c>
      <c r="J32" s="1"/>
    </row>
    <row r="33" spans="1:10">
      <c r="A33" s="1" t="s">
        <v>348</v>
      </c>
      <c r="B33" s="1" t="s">
        <v>347</v>
      </c>
      <c r="C33" s="1" t="s">
        <v>201</v>
      </c>
      <c r="D33" s="45" t="s">
        <v>172</v>
      </c>
      <c r="E33" s="1" t="s">
        <v>2197</v>
      </c>
      <c r="F33" s="1" t="s">
        <v>2197</v>
      </c>
      <c r="G33" s="1" t="s">
        <v>2197</v>
      </c>
      <c r="H33" s="1" t="s">
        <v>2197</v>
      </c>
      <c r="I33" s="45" t="s">
        <v>2111</v>
      </c>
      <c r="J33" s="1"/>
    </row>
    <row r="34" spans="1:10">
      <c r="A34" s="1" t="s">
        <v>353</v>
      </c>
      <c r="B34" s="1" t="s">
        <v>352</v>
      </c>
      <c r="C34" s="1" t="s">
        <v>201</v>
      </c>
      <c r="D34" s="45" t="s">
        <v>172</v>
      </c>
      <c r="E34" s="1" t="s">
        <v>2197</v>
      </c>
      <c r="F34" s="1" t="s">
        <v>2197</v>
      </c>
      <c r="G34" s="1" t="s">
        <v>2197</v>
      </c>
      <c r="H34" s="1" t="s">
        <v>2197</v>
      </c>
      <c r="I34" s="45" t="s">
        <v>2111</v>
      </c>
      <c r="J34" s="1"/>
    </row>
    <row r="35" spans="1:10">
      <c r="A35" s="1" t="s">
        <v>359</v>
      </c>
      <c r="B35" s="1" t="s">
        <v>358</v>
      </c>
      <c r="C35" s="1" t="s">
        <v>201</v>
      </c>
      <c r="D35" s="45" t="s">
        <v>172</v>
      </c>
      <c r="E35" s="1" t="s">
        <v>2197</v>
      </c>
      <c r="F35" s="1" t="s">
        <v>2197</v>
      </c>
      <c r="G35" s="1" t="s">
        <v>2197</v>
      </c>
      <c r="H35" s="1" t="s">
        <v>2197</v>
      </c>
      <c r="I35" s="45" t="s">
        <v>2111</v>
      </c>
      <c r="J35" s="1"/>
    </row>
    <row r="36" spans="1:10">
      <c r="A36" s="1" t="s">
        <v>365</v>
      </c>
      <c r="B36" s="1" t="s">
        <v>364</v>
      </c>
      <c r="C36" s="1" t="s">
        <v>201</v>
      </c>
      <c r="D36" s="45" t="s">
        <v>172</v>
      </c>
      <c r="E36" s="1" t="s">
        <v>2197</v>
      </c>
      <c r="F36" s="1" t="s">
        <v>2197</v>
      </c>
      <c r="G36" s="1" t="s">
        <v>2197</v>
      </c>
      <c r="H36" s="1" t="s">
        <v>2197</v>
      </c>
      <c r="I36" s="45" t="s">
        <v>2111</v>
      </c>
      <c r="J36" s="1"/>
    </row>
    <row r="37" spans="1:10">
      <c r="A37" s="1" t="s">
        <v>370</v>
      </c>
      <c r="B37" s="1" t="s">
        <v>369</v>
      </c>
      <c r="C37" s="1" t="s">
        <v>372</v>
      </c>
      <c r="D37" s="45" t="s">
        <v>172</v>
      </c>
      <c r="E37" s="1" t="s">
        <v>2197</v>
      </c>
      <c r="F37" s="1" t="s">
        <v>2197</v>
      </c>
      <c r="G37" s="1" t="s">
        <v>2197</v>
      </c>
      <c r="H37" s="1" t="s">
        <v>2197</v>
      </c>
      <c r="I37" s="45" t="s">
        <v>2111</v>
      </c>
      <c r="J37" s="1"/>
    </row>
    <row r="38" spans="1:10">
      <c r="A38" s="1" t="s">
        <v>376</v>
      </c>
      <c r="B38" s="1" t="s">
        <v>375</v>
      </c>
      <c r="C38" s="1" t="s">
        <v>201</v>
      </c>
      <c r="D38" s="45" t="s">
        <v>172</v>
      </c>
      <c r="E38" s="1" t="s">
        <v>2197</v>
      </c>
      <c r="F38" s="1" t="s">
        <v>2197</v>
      </c>
      <c r="G38" s="1" t="s">
        <v>2197</v>
      </c>
      <c r="H38" s="1" t="s">
        <v>2197</v>
      </c>
      <c r="I38" s="45" t="s">
        <v>2111</v>
      </c>
      <c r="J38" s="1"/>
    </row>
    <row r="39" spans="1:10">
      <c r="A39" s="1" t="s">
        <v>381</v>
      </c>
      <c r="B39" s="1" t="s">
        <v>380</v>
      </c>
      <c r="C39" s="1" t="s">
        <v>201</v>
      </c>
      <c r="D39" s="45" t="s">
        <v>172</v>
      </c>
      <c r="E39" s="1" t="s">
        <v>2197</v>
      </c>
      <c r="F39" s="1" t="s">
        <v>2197</v>
      </c>
      <c r="G39" s="1" t="s">
        <v>2197</v>
      </c>
      <c r="H39" s="1" t="s">
        <v>2197</v>
      </c>
      <c r="I39" s="45" t="s">
        <v>2111</v>
      </c>
      <c r="J39" s="1"/>
    </row>
    <row r="40" spans="1:10">
      <c r="A40" s="1" t="s">
        <v>387</v>
      </c>
      <c r="B40" s="1" t="s">
        <v>386</v>
      </c>
      <c r="C40" s="1" t="s">
        <v>201</v>
      </c>
      <c r="D40" s="45" t="s">
        <v>172</v>
      </c>
      <c r="E40" s="1" t="s">
        <v>2197</v>
      </c>
      <c r="F40" s="1" t="s">
        <v>2197</v>
      </c>
      <c r="G40" s="1" t="s">
        <v>2197</v>
      </c>
      <c r="H40" s="1" t="s">
        <v>2197</v>
      </c>
      <c r="I40" s="45" t="s">
        <v>2111</v>
      </c>
      <c r="J40" s="1"/>
    </row>
    <row r="41" spans="1:10">
      <c r="A41" s="1" t="s">
        <v>392</v>
      </c>
      <c r="B41" s="1" t="s">
        <v>391</v>
      </c>
      <c r="C41" s="1" t="s">
        <v>201</v>
      </c>
      <c r="D41" s="45" t="s">
        <v>172</v>
      </c>
      <c r="E41" s="1" t="s">
        <v>2197</v>
      </c>
      <c r="F41" s="1" t="s">
        <v>2197</v>
      </c>
      <c r="G41" s="1" t="s">
        <v>2197</v>
      </c>
      <c r="H41" s="1" t="s">
        <v>2197</v>
      </c>
      <c r="I41" s="45" t="s">
        <v>2111</v>
      </c>
      <c r="J41" s="1"/>
    </row>
    <row r="42" spans="1:10">
      <c r="A42" s="1" t="s">
        <v>397</v>
      </c>
      <c r="B42" s="1" t="s">
        <v>396</v>
      </c>
      <c r="C42" s="1" t="s">
        <v>201</v>
      </c>
      <c r="D42" s="45" t="s">
        <v>172</v>
      </c>
      <c r="E42" s="1" t="s">
        <v>2197</v>
      </c>
      <c r="F42" s="1" t="s">
        <v>2197</v>
      </c>
      <c r="G42" s="1" t="s">
        <v>2197</v>
      </c>
      <c r="H42" s="1" t="s">
        <v>2197</v>
      </c>
      <c r="I42" s="45" t="s">
        <v>2111</v>
      </c>
      <c r="J42" s="1"/>
    </row>
    <row r="43" spans="1:10">
      <c r="A43" s="1" t="s">
        <v>402</v>
      </c>
      <c r="B43" s="1" t="s">
        <v>401</v>
      </c>
      <c r="C43" s="1" t="s">
        <v>201</v>
      </c>
      <c r="D43" s="45" t="s">
        <v>172</v>
      </c>
      <c r="E43" s="1" t="s">
        <v>2197</v>
      </c>
      <c r="F43" s="1" t="s">
        <v>2197</v>
      </c>
      <c r="G43" s="1" t="s">
        <v>2197</v>
      </c>
      <c r="H43" s="1" t="s">
        <v>2197</v>
      </c>
      <c r="I43" s="45" t="s">
        <v>2111</v>
      </c>
      <c r="J43" s="1"/>
    </row>
    <row r="44" spans="1:10">
      <c r="A44" s="1" t="s">
        <v>407</v>
      </c>
      <c r="B44" s="1" t="s">
        <v>406</v>
      </c>
      <c r="C44" s="1" t="s">
        <v>201</v>
      </c>
      <c r="D44" s="45" t="s">
        <v>172</v>
      </c>
      <c r="E44" s="1" t="s">
        <v>2197</v>
      </c>
      <c r="F44" s="1" t="s">
        <v>2197</v>
      </c>
      <c r="G44" s="1" t="s">
        <v>2197</v>
      </c>
      <c r="H44" s="1" t="s">
        <v>2197</v>
      </c>
      <c r="I44" s="45" t="s">
        <v>2111</v>
      </c>
      <c r="J44" s="1"/>
    </row>
    <row r="45" spans="1:10">
      <c r="A45" s="1" t="s">
        <v>412</v>
      </c>
      <c r="B45" s="1" t="s">
        <v>411</v>
      </c>
      <c r="C45" s="1" t="s">
        <v>201</v>
      </c>
      <c r="D45" s="45" t="s">
        <v>172</v>
      </c>
      <c r="E45" s="1" t="s">
        <v>2197</v>
      </c>
      <c r="F45" s="1" t="s">
        <v>2197</v>
      </c>
      <c r="G45" s="1" t="s">
        <v>2197</v>
      </c>
      <c r="H45" s="1" t="s">
        <v>2197</v>
      </c>
      <c r="I45" s="45" t="s">
        <v>2111</v>
      </c>
      <c r="J45" s="1"/>
    </row>
    <row r="46" spans="1:10">
      <c r="A46" s="1" t="s">
        <v>417</v>
      </c>
      <c r="B46" s="1" t="s">
        <v>416</v>
      </c>
      <c r="C46" s="1" t="s">
        <v>201</v>
      </c>
      <c r="D46" s="45" t="s">
        <v>172</v>
      </c>
      <c r="E46" s="1" t="s">
        <v>2197</v>
      </c>
      <c r="F46" s="1" t="s">
        <v>2197</v>
      </c>
      <c r="G46" s="1" t="s">
        <v>2197</v>
      </c>
      <c r="H46" s="1" t="s">
        <v>2197</v>
      </c>
      <c r="I46" s="45" t="s">
        <v>2111</v>
      </c>
      <c r="J46" s="1"/>
    </row>
    <row r="47" spans="1:10">
      <c r="A47" s="1" t="s">
        <v>422</v>
      </c>
      <c r="B47" s="1" t="s">
        <v>421</v>
      </c>
      <c r="C47" s="1" t="s">
        <v>201</v>
      </c>
      <c r="D47" s="45" t="s">
        <v>172</v>
      </c>
      <c r="E47" s="1" t="s">
        <v>2197</v>
      </c>
      <c r="F47" s="1" t="s">
        <v>2197</v>
      </c>
      <c r="G47" s="1" t="s">
        <v>2197</v>
      </c>
      <c r="H47" s="1" t="s">
        <v>2197</v>
      </c>
      <c r="I47" s="45" t="s">
        <v>2111</v>
      </c>
      <c r="J47" s="1"/>
    </row>
    <row r="48" spans="1:10">
      <c r="A48" s="1" t="s">
        <v>427</v>
      </c>
      <c r="B48" s="1" t="s">
        <v>426</v>
      </c>
      <c r="C48" s="1" t="s">
        <v>201</v>
      </c>
      <c r="D48" s="45" t="s">
        <v>172</v>
      </c>
      <c r="E48" s="1" t="s">
        <v>2197</v>
      </c>
      <c r="F48" s="1" t="s">
        <v>2197</v>
      </c>
      <c r="G48" s="1" t="s">
        <v>2197</v>
      </c>
      <c r="H48" s="1" t="s">
        <v>2197</v>
      </c>
      <c r="I48" s="45" t="s">
        <v>2111</v>
      </c>
      <c r="J48" s="1"/>
    </row>
    <row r="49" spans="1:10">
      <c r="A49" s="1" t="s">
        <v>433</v>
      </c>
      <c r="B49" s="1" t="s">
        <v>432</v>
      </c>
      <c r="C49" s="1" t="s">
        <v>201</v>
      </c>
      <c r="D49" s="45" t="s">
        <v>172</v>
      </c>
      <c r="E49" s="1" t="s">
        <v>2197</v>
      </c>
      <c r="F49" s="1" t="s">
        <v>2197</v>
      </c>
      <c r="G49" s="1" t="s">
        <v>2197</v>
      </c>
      <c r="H49" s="1" t="s">
        <v>2197</v>
      </c>
      <c r="I49" s="45" t="s">
        <v>2111</v>
      </c>
      <c r="J49" s="1"/>
    </row>
    <row r="50" spans="1:10">
      <c r="A50" s="1" t="s">
        <v>439</v>
      </c>
      <c r="B50" s="1" t="s">
        <v>438</v>
      </c>
      <c r="C50" s="1" t="s">
        <v>201</v>
      </c>
      <c r="D50" s="45" t="s">
        <v>172</v>
      </c>
      <c r="E50" s="1" t="s">
        <v>2197</v>
      </c>
      <c r="F50" s="1" t="s">
        <v>2197</v>
      </c>
      <c r="G50" s="1" t="s">
        <v>2197</v>
      </c>
      <c r="H50" s="1" t="s">
        <v>2197</v>
      </c>
      <c r="I50" s="45" t="s">
        <v>2111</v>
      </c>
      <c r="J50" s="1"/>
    </row>
    <row r="51" spans="1:10">
      <c r="A51" s="1" t="s">
        <v>445</v>
      </c>
      <c r="B51" s="1" t="s">
        <v>444</v>
      </c>
      <c r="C51" s="1" t="s">
        <v>201</v>
      </c>
      <c r="D51" s="45" t="s">
        <v>172</v>
      </c>
      <c r="E51" s="1" t="s">
        <v>2197</v>
      </c>
      <c r="F51" s="1" t="s">
        <v>2197</v>
      </c>
      <c r="G51" s="1" t="s">
        <v>2197</v>
      </c>
      <c r="H51" s="1" t="s">
        <v>2197</v>
      </c>
      <c r="I51" s="45" t="s">
        <v>2111</v>
      </c>
      <c r="J51" s="1"/>
    </row>
    <row r="52" spans="1:10">
      <c r="A52" s="1" t="s">
        <v>452</v>
      </c>
      <c r="B52" s="1" t="s">
        <v>451</v>
      </c>
      <c r="C52" s="1" t="s">
        <v>372</v>
      </c>
      <c r="D52" s="45" t="s">
        <v>172</v>
      </c>
      <c r="E52" s="1" t="s">
        <v>2197</v>
      </c>
      <c r="F52" s="1" t="s">
        <v>2197</v>
      </c>
      <c r="G52" s="1" t="s">
        <v>2197</v>
      </c>
      <c r="H52" s="1" t="s">
        <v>2197</v>
      </c>
      <c r="I52" s="45" t="s">
        <v>2111</v>
      </c>
      <c r="J52" s="1"/>
    </row>
    <row r="53" spans="1:10">
      <c r="A53" s="1" t="s">
        <v>459</v>
      </c>
      <c r="B53" s="1" t="s">
        <v>458</v>
      </c>
      <c r="C53" s="1" t="s">
        <v>201</v>
      </c>
      <c r="D53" s="45" t="s">
        <v>172</v>
      </c>
      <c r="E53" s="1" t="s">
        <v>2197</v>
      </c>
      <c r="F53" s="1" t="s">
        <v>2197</v>
      </c>
      <c r="G53" s="1" t="s">
        <v>2197</v>
      </c>
      <c r="H53" s="1" t="s">
        <v>2197</v>
      </c>
      <c r="I53" s="45" t="s">
        <v>2111</v>
      </c>
      <c r="J53" s="1"/>
    </row>
    <row r="54" spans="1:10">
      <c r="A54" s="1" t="s">
        <v>465</v>
      </c>
      <c r="B54" s="1" t="s">
        <v>464</v>
      </c>
      <c r="C54" s="1" t="s">
        <v>201</v>
      </c>
      <c r="D54" s="45" t="s">
        <v>172</v>
      </c>
      <c r="E54" s="1" t="s">
        <v>2197</v>
      </c>
      <c r="F54" s="1" t="s">
        <v>2197</v>
      </c>
      <c r="G54" s="1" t="s">
        <v>2197</v>
      </c>
      <c r="H54" s="1" t="s">
        <v>2197</v>
      </c>
      <c r="I54" s="45" t="s">
        <v>2111</v>
      </c>
      <c r="J54" s="1"/>
    </row>
    <row r="55" spans="1:10">
      <c r="A55" s="1" t="s">
        <v>470</v>
      </c>
      <c r="B55" s="1" t="s">
        <v>469</v>
      </c>
      <c r="C55" s="1" t="s">
        <v>201</v>
      </c>
      <c r="D55" s="45" t="s">
        <v>172</v>
      </c>
      <c r="E55" s="1" t="s">
        <v>2197</v>
      </c>
      <c r="F55" s="1" t="s">
        <v>2197</v>
      </c>
      <c r="G55" s="1" t="s">
        <v>2197</v>
      </c>
      <c r="H55" s="1" t="s">
        <v>2197</v>
      </c>
      <c r="I55" s="45" t="s">
        <v>2111</v>
      </c>
      <c r="J55" s="1"/>
    </row>
    <row r="56" spans="1:10">
      <c r="A56" s="1" t="s">
        <v>476</v>
      </c>
      <c r="B56" s="1" t="s">
        <v>475</v>
      </c>
      <c r="C56" s="1" t="s">
        <v>201</v>
      </c>
      <c r="D56" s="45" t="s">
        <v>172</v>
      </c>
      <c r="E56" s="1" t="s">
        <v>2197</v>
      </c>
      <c r="F56" s="1" t="s">
        <v>2197</v>
      </c>
      <c r="G56" s="1" t="s">
        <v>2197</v>
      </c>
      <c r="H56" s="1" t="s">
        <v>2197</v>
      </c>
      <c r="I56" s="45" t="s">
        <v>2111</v>
      </c>
      <c r="J56" s="1"/>
    </row>
    <row r="57" spans="1:10">
      <c r="A57" s="1" t="s">
        <v>481</v>
      </c>
      <c r="B57" s="1" t="s">
        <v>480</v>
      </c>
      <c r="C57" s="1" t="s">
        <v>201</v>
      </c>
      <c r="D57" s="45" t="s">
        <v>172</v>
      </c>
      <c r="E57" s="1" t="s">
        <v>2197</v>
      </c>
      <c r="F57" s="1" t="s">
        <v>2197</v>
      </c>
      <c r="G57" s="1" t="s">
        <v>2197</v>
      </c>
      <c r="H57" s="1" t="s">
        <v>2197</v>
      </c>
      <c r="I57" s="45" t="s">
        <v>2111</v>
      </c>
      <c r="J57" s="1"/>
    </row>
    <row r="58" spans="1:10">
      <c r="A58" s="1" t="s">
        <v>487</v>
      </c>
      <c r="B58" s="1" t="s">
        <v>486</v>
      </c>
      <c r="C58" s="1" t="s">
        <v>201</v>
      </c>
      <c r="D58" s="45" t="s">
        <v>172</v>
      </c>
      <c r="E58" s="1" t="s">
        <v>2197</v>
      </c>
      <c r="F58" s="1" t="s">
        <v>2197</v>
      </c>
      <c r="G58" s="1" t="s">
        <v>2197</v>
      </c>
      <c r="H58" s="1" t="s">
        <v>2197</v>
      </c>
      <c r="I58" s="45" t="s">
        <v>2111</v>
      </c>
      <c r="J58" s="1"/>
    </row>
    <row r="59" spans="1:10">
      <c r="A59" s="1" t="s">
        <v>492</v>
      </c>
      <c r="B59" s="1" t="s">
        <v>491</v>
      </c>
      <c r="C59" s="1" t="s">
        <v>201</v>
      </c>
      <c r="D59" s="45" t="s">
        <v>172</v>
      </c>
      <c r="E59" s="1" t="s">
        <v>2197</v>
      </c>
      <c r="F59" s="1" t="s">
        <v>2197</v>
      </c>
      <c r="G59" s="1" t="s">
        <v>2197</v>
      </c>
      <c r="H59" s="1" t="s">
        <v>2197</v>
      </c>
      <c r="I59" s="45" t="s">
        <v>2111</v>
      </c>
      <c r="J59" s="1"/>
    </row>
    <row r="60" spans="1:10">
      <c r="A60" s="1" t="s">
        <v>498</v>
      </c>
      <c r="B60" s="1" t="s">
        <v>497</v>
      </c>
      <c r="C60" s="1" t="s">
        <v>201</v>
      </c>
      <c r="D60" s="45" t="s">
        <v>172</v>
      </c>
      <c r="E60" s="1" t="s">
        <v>2197</v>
      </c>
      <c r="F60" s="1" t="s">
        <v>2197</v>
      </c>
      <c r="G60" s="1" t="s">
        <v>2197</v>
      </c>
      <c r="H60" s="1" t="s">
        <v>2197</v>
      </c>
      <c r="I60" s="45" t="s">
        <v>2111</v>
      </c>
      <c r="J60" s="1"/>
    </row>
    <row r="61" spans="1:10">
      <c r="A61" s="1" t="s">
        <v>504</v>
      </c>
      <c r="B61" s="1" t="s">
        <v>503</v>
      </c>
      <c r="C61" s="1" t="s">
        <v>201</v>
      </c>
      <c r="D61" s="45" t="s">
        <v>172</v>
      </c>
      <c r="E61" s="1" t="s">
        <v>2197</v>
      </c>
      <c r="F61" s="1" t="s">
        <v>2197</v>
      </c>
      <c r="G61" s="1" t="s">
        <v>2197</v>
      </c>
      <c r="H61" s="1" t="s">
        <v>2197</v>
      </c>
      <c r="I61" s="45" t="s">
        <v>2111</v>
      </c>
      <c r="J61" s="1"/>
    </row>
    <row r="62" spans="1:10">
      <c r="A62" s="1" t="s">
        <v>510</v>
      </c>
      <c r="B62" s="1" t="s">
        <v>509</v>
      </c>
      <c r="C62" s="1" t="s">
        <v>201</v>
      </c>
      <c r="D62" s="45" t="s">
        <v>172</v>
      </c>
      <c r="E62" s="1" t="s">
        <v>2197</v>
      </c>
      <c r="F62" s="1" t="s">
        <v>2197</v>
      </c>
      <c r="G62" s="1" t="s">
        <v>2197</v>
      </c>
      <c r="H62" s="1" t="s">
        <v>2197</v>
      </c>
      <c r="I62" s="45" t="s">
        <v>2111</v>
      </c>
      <c r="J62" s="1"/>
    </row>
    <row r="63" spans="1:10">
      <c r="A63" s="1" t="s">
        <v>515</v>
      </c>
      <c r="B63" s="1" t="s">
        <v>514</v>
      </c>
      <c r="C63" s="1" t="s">
        <v>201</v>
      </c>
      <c r="D63" s="45" t="s">
        <v>172</v>
      </c>
      <c r="E63" s="1" t="s">
        <v>2197</v>
      </c>
      <c r="F63" s="1" t="s">
        <v>2197</v>
      </c>
      <c r="G63" s="1" t="s">
        <v>2197</v>
      </c>
      <c r="H63" s="1" t="s">
        <v>2197</v>
      </c>
      <c r="I63" s="45" t="s">
        <v>2111</v>
      </c>
      <c r="J63" s="1"/>
    </row>
    <row r="64" spans="1:10">
      <c r="A64" s="1" t="s">
        <v>520</v>
      </c>
      <c r="B64" s="1" t="s">
        <v>519</v>
      </c>
      <c r="C64" s="1" t="s">
        <v>201</v>
      </c>
      <c r="D64" s="45" t="s">
        <v>172</v>
      </c>
      <c r="E64" s="1" t="s">
        <v>2197</v>
      </c>
      <c r="F64" s="1" t="s">
        <v>2197</v>
      </c>
      <c r="G64" s="1" t="s">
        <v>2197</v>
      </c>
      <c r="H64" s="1" t="s">
        <v>2197</v>
      </c>
      <c r="I64" s="45" t="s">
        <v>2111</v>
      </c>
      <c r="J64" s="1"/>
    </row>
    <row r="65" spans="1:10">
      <c r="A65" s="1" t="s">
        <v>526</v>
      </c>
      <c r="B65" s="1" t="s">
        <v>525</v>
      </c>
      <c r="C65" s="1" t="s">
        <v>201</v>
      </c>
      <c r="D65" s="45" t="s">
        <v>172</v>
      </c>
      <c r="E65" s="1" t="s">
        <v>2197</v>
      </c>
      <c r="F65" s="1" t="s">
        <v>2197</v>
      </c>
      <c r="G65" s="1" t="s">
        <v>2197</v>
      </c>
      <c r="H65" s="1" t="s">
        <v>2197</v>
      </c>
      <c r="I65" s="45" t="s">
        <v>2111</v>
      </c>
      <c r="J65" s="1"/>
    </row>
    <row r="66" spans="1:10">
      <c r="A66" s="1" t="s">
        <v>533</v>
      </c>
      <c r="B66" s="1" t="s">
        <v>532</v>
      </c>
      <c r="C66" s="1" t="s">
        <v>201</v>
      </c>
      <c r="D66" s="45" t="s">
        <v>172</v>
      </c>
      <c r="E66" s="1" t="s">
        <v>2197</v>
      </c>
      <c r="F66" s="1" t="s">
        <v>2197</v>
      </c>
      <c r="G66" s="1" t="s">
        <v>2197</v>
      </c>
      <c r="H66" s="1" t="s">
        <v>2197</v>
      </c>
      <c r="I66" s="45" t="s">
        <v>2111</v>
      </c>
      <c r="J66" s="1"/>
    </row>
    <row r="67" spans="1:10">
      <c r="A67" s="1" t="s">
        <v>540</v>
      </c>
      <c r="B67" s="1" t="s">
        <v>539</v>
      </c>
      <c r="C67" s="1" t="s">
        <v>201</v>
      </c>
      <c r="D67" s="45" t="s">
        <v>172</v>
      </c>
      <c r="E67" s="1" t="s">
        <v>2197</v>
      </c>
      <c r="F67" s="1" t="s">
        <v>2197</v>
      </c>
      <c r="G67" s="1" t="s">
        <v>2197</v>
      </c>
      <c r="H67" s="1" t="s">
        <v>2197</v>
      </c>
      <c r="I67" s="45" t="s">
        <v>2111</v>
      </c>
      <c r="J67" s="1"/>
    </row>
    <row r="68" spans="1:10">
      <c r="A68" s="1" t="s">
        <v>546</v>
      </c>
      <c r="B68" s="1" t="s">
        <v>545</v>
      </c>
      <c r="C68" s="1" t="s">
        <v>201</v>
      </c>
      <c r="D68" s="45" t="s">
        <v>172</v>
      </c>
      <c r="E68" s="1" t="s">
        <v>2197</v>
      </c>
      <c r="F68" s="1" t="s">
        <v>2197</v>
      </c>
      <c r="G68" s="1" t="s">
        <v>2197</v>
      </c>
      <c r="H68" s="1" t="s">
        <v>2197</v>
      </c>
      <c r="I68" s="45" t="s">
        <v>2111</v>
      </c>
      <c r="J68" s="1"/>
    </row>
    <row r="69" spans="1:10">
      <c r="A69" s="1" t="s">
        <v>552</v>
      </c>
      <c r="B69" s="1" t="s">
        <v>551</v>
      </c>
      <c r="C69" s="1" t="s">
        <v>201</v>
      </c>
      <c r="D69" s="45" t="s">
        <v>172</v>
      </c>
      <c r="E69" s="1" t="s">
        <v>2197</v>
      </c>
      <c r="F69" s="1" t="s">
        <v>2197</v>
      </c>
      <c r="G69" s="1" t="s">
        <v>2197</v>
      </c>
      <c r="H69" s="1" t="s">
        <v>2197</v>
      </c>
      <c r="I69" s="45" t="s">
        <v>2111</v>
      </c>
      <c r="J69" s="1"/>
    </row>
    <row r="70" spans="1:10">
      <c r="A70" s="1" t="s">
        <v>559</v>
      </c>
      <c r="B70" s="1" t="s">
        <v>558</v>
      </c>
      <c r="C70" s="1" t="s">
        <v>201</v>
      </c>
      <c r="D70" s="45" t="s">
        <v>172</v>
      </c>
      <c r="E70" s="1" t="s">
        <v>2197</v>
      </c>
      <c r="F70" s="1" t="s">
        <v>2197</v>
      </c>
      <c r="G70" s="1" t="s">
        <v>2197</v>
      </c>
      <c r="H70" s="1" t="s">
        <v>2197</v>
      </c>
      <c r="I70" s="45" t="s">
        <v>2111</v>
      </c>
      <c r="J70" s="1"/>
    </row>
    <row r="71" spans="1:10">
      <c r="A71" s="1" t="s">
        <v>565</v>
      </c>
      <c r="B71" s="1" t="s">
        <v>564</v>
      </c>
      <c r="C71" s="1" t="s">
        <v>567</v>
      </c>
      <c r="D71" s="45" t="s">
        <v>172</v>
      </c>
      <c r="E71" s="1" t="s">
        <v>2197</v>
      </c>
      <c r="F71" s="1" t="s">
        <v>2197</v>
      </c>
      <c r="G71" s="1" t="s">
        <v>2197</v>
      </c>
      <c r="H71" s="1" t="s">
        <v>2197</v>
      </c>
      <c r="I71" s="45" t="s">
        <v>2111</v>
      </c>
      <c r="J71" s="1"/>
    </row>
    <row r="72" spans="1:10">
      <c r="A72" s="1" t="s">
        <v>572</v>
      </c>
      <c r="B72" s="1" t="s">
        <v>571</v>
      </c>
      <c r="C72" s="1" t="s">
        <v>201</v>
      </c>
      <c r="D72" s="45" t="s">
        <v>172</v>
      </c>
      <c r="E72" s="1" t="s">
        <v>2197</v>
      </c>
      <c r="F72" s="1" t="s">
        <v>2197</v>
      </c>
      <c r="G72" s="1" t="s">
        <v>2197</v>
      </c>
      <c r="H72" s="1" t="s">
        <v>2197</v>
      </c>
      <c r="I72" s="45" t="s">
        <v>2111</v>
      </c>
      <c r="J72" s="1"/>
    </row>
    <row r="73" spans="1:10">
      <c r="A73" s="1" t="s">
        <v>578</v>
      </c>
      <c r="B73" s="1" t="s">
        <v>577</v>
      </c>
      <c r="C73" s="1" t="s">
        <v>201</v>
      </c>
      <c r="D73" s="45" t="s">
        <v>172</v>
      </c>
      <c r="E73" s="1" t="s">
        <v>2197</v>
      </c>
      <c r="F73" s="1" t="s">
        <v>2197</v>
      </c>
      <c r="G73" s="1" t="s">
        <v>2197</v>
      </c>
      <c r="H73" s="1" t="s">
        <v>2197</v>
      </c>
      <c r="I73" s="45" t="s">
        <v>2111</v>
      </c>
      <c r="J73" s="1"/>
    </row>
    <row r="74" spans="1:10">
      <c r="A74" s="1" t="s">
        <v>584</v>
      </c>
      <c r="B74" s="1" t="s">
        <v>583</v>
      </c>
      <c r="C74" s="1" t="s">
        <v>201</v>
      </c>
      <c r="D74" s="45" t="s">
        <v>172</v>
      </c>
      <c r="E74" s="1" t="s">
        <v>2197</v>
      </c>
      <c r="F74" s="1" t="s">
        <v>2197</v>
      </c>
      <c r="G74" s="1" t="s">
        <v>2197</v>
      </c>
      <c r="H74" s="1" t="s">
        <v>2197</v>
      </c>
      <c r="I74" s="45" t="s">
        <v>2111</v>
      </c>
      <c r="J74" s="1"/>
    </row>
    <row r="75" spans="1:10">
      <c r="A75" s="1" t="s">
        <v>588</v>
      </c>
      <c r="B75" s="1" t="s">
        <v>587</v>
      </c>
      <c r="C75" s="1" t="s">
        <v>201</v>
      </c>
      <c r="D75" s="45" t="s">
        <v>172</v>
      </c>
      <c r="E75" s="1" t="s">
        <v>2197</v>
      </c>
      <c r="F75" s="1" t="s">
        <v>2197</v>
      </c>
      <c r="G75" s="1" t="s">
        <v>2197</v>
      </c>
      <c r="H75" s="1" t="s">
        <v>2197</v>
      </c>
      <c r="I75" s="45" t="s">
        <v>2111</v>
      </c>
      <c r="J75" s="1"/>
    </row>
    <row r="76" spans="1:10">
      <c r="A76" s="1" t="s">
        <v>593</v>
      </c>
      <c r="B76" s="1" t="s">
        <v>592</v>
      </c>
      <c r="C76" s="1" t="s">
        <v>201</v>
      </c>
      <c r="D76" s="45" t="s">
        <v>172</v>
      </c>
      <c r="E76" s="1" t="s">
        <v>2197</v>
      </c>
      <c r="F76" s="1" t="s">
        <v>2197</v>
      </c>
      <c r="G76" s="1" t="s">
        <v>2197</v>
      </c>
      <c r="H76" s="1" t="s">
        <v>2197</v>
      </c>
      <c r="I76" s="45" t="s">
        <v>2111</v>
      </c>
      <c r="J76" s="1"/>
    </row>
    <row r="77" spans="1:10">
      <c r="A77" s="1" t="s">
        <v>599</v>
      </c>
      <c r="B77" s="1" t="s">
        <v>598</v>
      </c>
      <c r="C77" s="1" t="s">
        <v>201</v>
      </c>
      <c r="D77" s="45" t="s">
        <v>172</v>
      </c>
      <c r="E77" s="1" t="s">
        <v>2197</v>
      </c>
      <c r="F77" s="1" t="s">
        <v>2197</v>
      </c>
      <c r="G77" s="1" t="s">
        <v>2197</v>
      </c>
      <c r="H77" s="1" t="s">
        <v>2197</v>
      </c>
      <c r="I77" s="45" t="s">
        <v>2111</v>
      </c>
      <c r="J77" s="1"/>
    </row>
    <row r="78" spans="1:10">
      <c r="A78" s="1" t="s">
        <v>604</v>
      </c>
      <c r="B78" s="1" t="s">
        <v>603</v>
      </c>
      <c r="C78" s="1" t="s">
        <v>201</v>
      </c>
      <c r="D78" s="45" t="s">
        <v>172</v>
      </c>
      <c r="E78" s="1" t="s">
        <v>2197</v>
      </c>
      <c r="F78" s="1" t="s">
        <v>2197</v>
      </c>
      <c r="G78" s="1" t="s">
        <v>2197</v>
      </c>
      <c r="H78" s="1" t="s">
        <v>2197</v>
      </c>
      <c r="I78" s="45" t="s">
        <v>2111</v>
      </c>
      <c r="J78" s="1"/>
    </row>
    <row r="79" spans="1:10">
      <c r="A79" s="1" t="s">
        <v>609</v>
      </c>
      <c r="B79" s="1" t="s">
        <v>608</v>
      </c>
      <c r="C79" s="1" t="s">
        <v>372</v>
      </c>
      <c r="D79" s="45" t="s">
        <v>172</v>
      </c>
      <c r="E79" s="1" t="s">
        <v>2197</v>
      </c>
      <c r="F79" s="1" t="s">
        <v>2197</v>
      </c>
      <c r="G79" s="1" t="s">
        <v>2197</v>
      </c>
      <c r="H79" s="1" t="s">
        <v>2197</v>
      </c>
      <c r="I79" s="45" t="s">
        <v>2111</v>
      </c>
      <c r="J79" s="1"/>
    </row>
    <row r="80" spans="1:10">
      <c r="A80" s="1" t="s">
        <v>616</v>
      </c>
      <c r="B80" s="1" t="s">
        <v>615</v>
      </c>
      <c r="C80" s="1" t="s">
        <v>201</v>
      </c>
      <c r="D80" s="45" t="s">
        <v>172</v>
      </c>
      <c r="E80" s="1" t="s">
        <v>2197</v>
      </c>
      <c r="F80" s="1" t="s">
        <v>2197</v>
      </c>
      <c r="G80" s="1" t="s">
        <v>2197</v>
      </c>
      <c r="H80" s="1" t="s">
        <v>2197</v>
      </c>
      <c r="I80" s="45" t="s">
        <v>2111</v>
      </c>
      <c r="J80" s="1"/>
    </row>
    <row r="81" spans="1:10">
      <c r="A81" s="1" t="s">
        <v>621</v>
      </c>
      <c r="B81" s="1" t="s">
        <v>620</v>
      </c>
      <c r="C81" s="1" t="s">
        <v>201</v>
      </c>
      <c r="D81" s="45" t="s">
        <v>172</v>
      </c>
      <c r="E81" s="1" t="s">
        <v>2197</v>
      </c>
      <c r="F81" s="1" t="s">
        <v>2197</v>
      </c>
      <c r="G81" s="1" t="s">
        <v>2197</v>
      </c>
      <c r="H81" s="1" t="s">
        <v>2197</v>
      </c>
      <c r="I81" s="45" t="s">
        <v>2111</v>
      </c>
      <c r="J81" s="1"/>
    </row>
    <row r="82" spans="1:10">
      <c r="A82" s="1" t="s">
        <v>627</v>
      </c>
      <c r="B82" s="1" t="s">
        <v>626</v>
      </c>
      <c r="C82" s="1" t="s">
        <v>201</v>
      </c>
      <c r="D82" s="45" t="s">
        <v>172</v>
      </c>
      <c r="E82" s="1" t="s">
        <v>2197</v>
      </c>
      <c r="F82" s="1" t="s">
        <v>2197</v>
      </c>
      <c r="G82" s="1" t="s">
        <v>2197</v>
      </c>
      <c r="H82" s="1" t="s">
        <v>2197</v>
      </c>
      <c r="I82" s="45" t="s">
        <v>2111</v>
      </c>
      <c r="J82" s="1"/>
    </row>
    <row r="83" spans="1:10">
      <c r="A83" s="1" t="s">
        <v>632</v>
      </c>
      <c r="B83" s="1" t="s">
        <v>631</v>
      </c>
      <c r="C83" s="1" t="s">
        <v>201</v>
      </c>
      <c r="D83" s="45" t="s">
        <v>172</v>
      </c>
      <c r="E83" s="1" t="s">
        <v>2197</v>
      </c>
      <c r="F83" s="1" t="s">
        <v>2197</v>
      </c>
      <c r="G83" s="1" t="s">
        <v>2197</v>
      </c>
      <c r="H83" s="1" t="s">
        <v>2197</v>
      </c>
      <c r="I83" s="45" t="s">
        <v>2111</v>
      </c>
      <c r="J83" s="1"/>
    </row>
    <row r="84" spans="1:10">
      <c r="A84" s="1" t="s">
        <v>637</v>
      </c>
      <c r="B84" s="1" t="s">
        <v>636</v>
      </c>
      <c r="C84" s="1" t="s">
        <v>201</v>
      </c>
      <c r="D84" s="45" t="s">
        <v>172</v>
      </c>
      <c r="E84" s="1" t="s">
        <v>2197</v>
      </c>
      <c r="F84" s="1" t="s">
        <v>2197</v>
      </c>
      <c r="G84" s="1" t="s">
        <v>2197</v>
      </c>
      <c r="H84" s="1" t="s">
        <v>2197</v>
      </c>
      <c r="I84" s="45" t="s">
        <v>2111</v>
      </c>
      <c r="J84" s="1"/>
    </row>
    <row r="85" spans="1:10">
      <c r="A85" s="1" t="s">
        <v>644</v>
      </c>
      <c r="B85" s="1" t="s">
        <v>643</v>
      </c>
      <c r="C85" s="1" t="s">
        <v>201</v>
      </c>
      <c r="D85" s="45" t="s">
        <v>172</v>
      </c>
      <c r="E85" s="1" t="s">
        <v>2197</v>
      </c>
      <c r="F85" s="1" t="s">
        <v>2197</v>
      </c>
      <c r="G85" s="1" t="s">
        <v>2197</v>
      </c>
      <c r="H85" s="1" t="s">
        <v>2197</v>
      </c>
      <c r="I85" s="45" t="s">
        <v>2111</v>
      </c>
      <c r="J85" s="1"/>
    </row>
    <row r="86" spans="1:10">
      <c r="A86" s="1" t="s">
        <v>649</v>
      </c>
      <c r="B86" s="1" t="s">
        <v>648</v>
      </c>
      <c r="C86" s="1" t="s">
        <v>201</v>
      </c>
      <c r="D86" s="45" t="s">
        <v>172</v>
      </c>
      <c r="E86" s="1" t="s">
        <v>2197</v>
      </c>
      <c r="F86" s="1" t="s">
        <v>2197</v>
      </c>
      <c r="G86" s="1" t="s">
        <v>2197</v>
      </c>
      <c r="H86" s="1" t="s">
        <v>2197</v>
      </c>
      <c r="I86" s="45" t="s">
        <v>2111</v>
      </c>
      <c r="J86" s="1"/>
    </row>
    <row r="87" spans="1:10">
      <c r="A87" s="1" t="s">
        <v>654</v>
      </c>
      <c r="B87" s="1" t="s">
        <v>653</v>
      </c>
      <c r="C87" s="1" t="s">
        <v>201</v>
      </c>
      <c r="D87" s="45" t="s">
        <v>172</v>
      </c>
      <c r="E87" s="1" t="s">
        <v>2197</v>
      </c>
      <c r="F87" s="1" t="s">
        <v>2197</v>
      </c>
      <c r="G87" s="1" t="s">
        <v>2197</v>
      </c>
      <c r="H87" s="1" t="s">
        <v>2197</v>
      </c>
      <c r="I87" s="45" t="s">
        <v>2111</v>
      </c>
      <c r="J87" s="1"/>
    </row>
    <row r="88" spans="1:10">
      <c r="A88" s="1" t="s">
        <v>660</v>
      </c>
      <c r="B88" s="1" t="s">
        <v>659</v>
      </c>
      <c r="C88" s="1" t="s">
        <v>201</v>
      </c>
      <c r="D88" s="45" t="s">
        <v>172</v>
      </c>
      <c r="E88" s="1" t="s">
        <v>2197</v>
      </c>
      <c r="F88" s="1" t="s">
        <v>2197</v>
      </c>
      <c r="G88" s="1" t="s">
        <v>2197</v>
      </c>
      <c r="H88" s="1" t="s">
        <v>2197</v>
      </c>
      <c r="I88" s="45" t="s">
        <v>2111</v>
      </c>
      <c r="J88" s="1"/>
    </row>
    <row r="89" spans="1:10">
      <c r="A89" s="1" t="s">
        <v>666</v>
      </c>
      <c r="B89" s="1" t="s">
        <v>665</v>
      </c>
      <c r="C89" s="1" t="s">
        <v>201</v>
      </c>
      <c r="D89" s="45" t="s">
        <v>172</v>
      </c>
      <c r="E89" s="1" t="s">
        <v>2197</v>
      </c>
      <c r="F89" s="1" t="s">
        <v>2197</v>
      </c>
      <c r="G89" s="1" t="s">
        <v>2197</v>
      </c>
      <c r="H89" s="1" t="s">
        <v>2197</v>
      </c>
      <c r="I89" s="45" t="s">
        <v>2111</v>
      </c>
      <c r="J89" s="1"/>
    </row>
    <row r="90" spans="1:10">
      <c r="A90" s="1" t="s">
        <v>671</v>
      </c>
      <c r="B90" s="1" t="s">
        <v>670</v>
      </c>
      <c r="C90" s="1" t="s">
        <v>201</v>
      </c>
      <c r="D90" s="45" t="s">
        <v>172</v>
      </c>
      <c r="E90" s="1" t="s">
        <v>2197</v>
      </c>
      <c r="F90" s="1" t="s">
        <v>2197</v>
      </c>
      <c r="G90" s="1" t="s">
        <v>2197</v>
      </c>
      <c r="H90" s="1" t="s">
        <v>2197</v>
      </c>
      <c r="I90" s="45" t="s">
        <v>2111</v>
      </c>
      <c r="J90" s="1"/>
    </row>
    <row r="91" spans="1:10">
      <c r="A91" s="1" t="s">
        <v>677</v>
      </c>
      <c r="B91" s="1" t="s">
        <v>676</v>
      </c>
      <c r="C91" s="1" t="s">
        <v>201</v>
      </c>
      <c r="D91" s="45" t="s">
        <v>172</v>
      </c>
      <c r="E91" s="1" t="s">
        <v>2197</v>
      </c>
      <c r="F91" s="1" t="s">
        <v>2197</v>
      </c>
      <c r="G91" s="1" t="s">
        <v>2197</v>
      </c>
      <c r="H91" s="1" t="s">
        <v>2197</v>
      </c>
      <c r="I91" s="45" t="s">
        <v>2111</v>
      </c>
      <c r="J91" s="1"/>
    </row>
    <row r="92" spans="1:10">
      <c r="A92" s="1" t="s">
        <v>684</v>
      </c>
      <c r="B92" s="1" t="s">
        <v>683</v>
      </c>
      <c r="C92" s="1" t="s">
        <v>372</v>
      </c>
      <c r="D92" s="45" t="s">
        <v>172</v>
      </c>
      <c r="E92" s="1" t="s">
        <v>2197</v>
      </c>
      <c r="F92" s="1" t="s">
        <v>2197</v>
      </c>
      <c r="G92" s="1" t="s">
        <v>2197</v>
      </c>
      <c r="H92" s="1" t="s">
        <v>2197</v>
      </c>
      <c r="I92" s="45" t="s">
        <v>2111</v>
      </c>
      <c r="J92" s="1"/>
    </row>
    <row r="93" spans="1:10">
      <c r="A93" s="1" t="s">
        <v>689</v>
      </c>
      <c r="B93" s="1" t="s">
        <v>688</v>
      </c>
      <c r="C93" s="1" t="s">
        <v>201</v>
      </c>
      <c r="D93" s="45" t="s">
        <v>172</v>
      </c>
      <c r="E93" s="1" t="s">
        <v>2197</v>
      </c>
      <c r="F93" s="1" t="s">
        <v>2197</v>
      </c>
      <c r="G93" s="1" t="s">
        <v>2197</v>
      </c>
      <c r="H93" s="1" t="s">
        <v>2197</v>
      </c>
      <c r="I93" s="45" t="s">
        <v>2111</v>
      </c>
      <c r="J93" s="1"/>
    </row>
    <row r="94" spans="1:10">
      <c r="A94" s="1" t="s">
        <v>694</v>
      </c>
      <c r="B94" s="1" t="s">
        <v>693</v>
      </c>
      <c r="C94" s="1" t="s">
        <v>201</v>
      </c>
      <c r="D94" s="45" t="s">
        <v>172</v>
      </c>
      <c r="E94" s="1" t="s">
        <v>2197</v>
      </c>
      <c r="F94" s="1" t="s">
        <v>2197</v>
      </c>
      <c r="G94" s="1" t="s">
        <v>2197</v>
      </c>
      <c r="H94" s="1" t="s">
        <v>2197</v>
      </c>
      <c r="I94" s="45" t="s">
        <v>2111</v>
      </c>
      <c r="J94" s="1"/>
    </row>
    <row r="95" spans="1:10">
      <c r="A95" s="1" t="s">
        <v>699</v>
      </c>
      <c r="B95" s="1" t="s">
        <v>698</v>
      </c>
      <c r="C95" s="1" t="s">
        <v>201</v>
      </c>
      <c r="D95" s="45" t="s">
        <v>172</v>
      </c>
      <c r="E95" s="1" t="s">
        <v>2197</v>
      </c>
      <c r="F95" s="1" t="s">
        <v>2197</v>
      </c>
      <c r="G95" s="1" t="s">
        <v>2197</v>
      </c>
      <c r="H95" s="1" t="s">
        <v>2197</v>
      </c>
      <c r="I95" s="45" t="s">
        <v>2111</v>
      </c>
      <c r="J95" s="1"/>
    </row>
    <row r="96" spans="1:10">
      <c r="A96" s="1" t="s">
        <v>704</v>
      </c>
      <c r="B96" s="1" t="s">
        <v>703</v>
      </c>
      <c r="C96" s="1" t="s">
        <v>201</v>
      </c>
      <c r="D96" s="45" t="s">
        <v>172</v>
      </c>
      <c r="E96" s="1" t="s">
        <v>2197</v>
      </c>
      <c r="F96" s="1" t="s">
        <v>2197</v>
      </c>
      <c r="G96" s="1" t="s">
        <v>2197</v>
      </c>
      <c r="H96" s="1" t="s">
        <v>2197</v>
      </c>
      <c r="I96" s="45" t="s">
        <v>2111</v>
      </c>
      <c r="J96" s="1"/>
    </row>
    <row r="97" spans="1:10">
      <c r="A97" s="1" t="s">
        <v>709</v>
      </c>
      <c r="B97" s="1" t="s">
        <v>708</v>
      </c>
      <c r="C97" s="1" t="s">
        <v>201</v>
      </c>
      <c r="D97" s="45" t="s">
        <v>172</v>
      </c>
      <c r="E97" s="1" t="s">
        <v>2197</v>
      </c>
      <c r="F97" s="1" t="s">
        <v>2197</v>
      </c>
      <c r="G97" s="1" t="s">
        <v>2197</v>
      </c>
      <c r="H97" s="1" t="s">
        <v>2197</v>
      </c>
      <c r="I97" s="45" t="s">
        <v>2111</v>
      </c>
      <c r="J97" s="1"/>
    </row>
    <row r="98" spans="1:10">
      <c r="A98" s="1" t="s">
        <v>714</v>
      </c>
      <c r="B98" s="1" t="s">
        <v>713</v>
      </c>
      <c r="C98" s="1" t="s">
        <v>201</v>
      </c>
      <c r="D98" s="45" t="s">
        <v>172</v>
      </c>
      <c r="E98" s="1" t="s">
        <v>2197</v>
      </c>
      <c r="F98" s="1" t="s">
        <v>2197</v>
      </c>
      <c r="G98" s="1" t="s">
        <v>2197</v>
      </c>
      <c r="H98" s="1" t="s">
        <v>2197</v>
      </c>
      <c r="I98" s="45" t="s">
        <v>2111</v>
      </c>
      <c r="J98" s="1"/>
    </row>
    <row r="99" spans="1:10">
      <c r="A99" s="1" t="s">
        <v>719</v>
      </c>
      <c r="B99" s="1" t="s">
        <v>718</v>
      </c>
      <c r="C99" s="1" t="s">
        <v>201</v>
      </c>
      <c r="D99" s="45" t="s">
        <v>172</v>
      </c>
      <c r="E99" s="1" t="s">
        <v>2197</v>
      </c>
      <c r="F99" s="1" t="s">
        <v>2197</v>
      </c>
      <c r="G99" s="1" t="s">
        <v>2197</v>
      </c>
      <c r="H99" s="1" t="s">
        <v>2197</v>
      </c>
      <c r="I99" s="45" t="s">
        <v>2111</v>
      </c>
      <c r="J99" s="1"/>
    </row>
    <row r="100" spans="1:10">
      <c r="A100" s="1" t="s">
        <v>725</v>
      </c>
      <c r="B100" s="1" t="s">
        <v>724</v>
      </c>
      <c r="C100" s="1" t="s">
        <v>201</v>
      </c>
      <c r="D100" s="45" t="s">
        <v>172</v>
      </c>
      <c r="E100" s="1" t="s">
        <v>2197</v>
      </c>
      <c r="F100" s="1" t="s">
        <v>2197</v>
      </c>
      <c r="G100" s="1" t="s">
        <v>2197</v>
      </c>
      <c r="H100" s="1" t="s">
        <v>2197</v>
      </c>
      <c r="I100" s="45" t="s">
        <v>2111</v>
      </c>
      <c r="J100" s="1"/>
    </row>
    <row r="101" spans="1:10">
      <c r="A101" s="1" t="s">
        <v>732</v>
      </c>
      <c r="B101" s="1" t="s">
        <v>731</v>
      </c>
      <c r="C101" s="1" t="s">
        <v>201</v>
      </c>
      <c r="D101" s="45" t="s">
        <v>172</v>
      </c>
      <c r="E101" s="1" t="s">
        <v>2197</v>
      </c>
      <c r="F101" s="1" t="s">
        <v>2197</v>
      </c>
      <c r="G101" s="1" t="s">
        <v>2197</v>
      </c>
      <c r="H101" s="1" t="s">
        <v>2197</v>
      </c>
      <c r="I101" s="45" t="s">
        <v>2111</v>
      </c>
      <c r="J101" s="1"/>
    </row>
    <row r="102" spans="1:10">
      <c r="A102" s="1" t="s">
        <v>739</v>
      </c>
      <c r="B102" s="1" t="s">
        <v>738</v>
      </c>
      <c r="C102" s="1" t="s">
        <v>201</v>
      </c>
      <c r="D102" s="45" t="s">
        <v>172</v>
      </c>
      <c r="E102" s="1" t="s">
        <v>2197</v>
      </c>
      <c r="F102" s="1" t="s">
        <v>2197</v>
      </c>
      <c r="G102" s="1" t="s">
        <v>2197</v>
      </c>
      <c r="H102" s="1" t="s">
        <v>2197</v>
      </c>
      <c r="I102" s="45" t="s">
        <v>2111</v>
      </c>
      <c r="J102" s="1"/>
    </row>
    <row r="103" spans="1:10">
      <c r="A103" s="1" t="s">
        <v>746</v>
      </c>
      <c r="B103" s="1" t="s">
        <v>745</v>
      </c>
      <c r="C103" s="1" t="s">
        <v>201</v>
      </c>
      <c r="D103" s="45" t="s">
        <v>172</v>
      </c>
      <c r="E103" s="1" t="s">
        <v>2197</v>
      </c>
      <c r="F103" s="1" t="s">
        <v>2197</v>
      </c>
      <c r="G103" s="1" t="s">
        <v>2197</v>
      </c>
      <c r="H103" s="1" t="s">
        <v>2197</v>
      </c>
      <c r="I103" s="45" t="s">
        <v>2111</v>
      </c>
      <c r="J103" s="1"/>
    </row>
    <row r="104" spans="1:10">
      <c r="A104" s="1" t="s">
        <v>753</v>
      </c>
      <c r="B104" s="1" t="s">
        <v>752</v>
      </c>
      <c r="C104" s="1" t="s">
        <v>201</v>
      </c>
      <c r="D104" s="45" t="s">
        <v>172</v>
      </c>
      <c r="E104" s="1" t="s">
        <v>2197</v>
      </c>
      <c r="F104" s="1" t="s">
        <v>2197</v>
      </c>
      <c r="G104" s="1" t="s">
        <v>2197</v>
      </c>
      <c r="H104" s="1" t="s">
        <v>2197</v>
      </c>
      <c r="I104" s="45" t="s">
        <v>2111</v>
      </c>
      <c r="J104" s="1"/>
    </row>
    <row r="105" spans="1:10">
      <c r="A105" s="1" t="s">
        <v>760</v>
      </c>
      <c r="B105" s="1" t="s">
        <v>759</v>
      </c>
      <c r="C105" s="1" t="s">
        <v>201</v>
      </c>
      <c r="D105" s="45" t="s">
        <v>172</v>
      </c>
      <c r="E105" s="1" t="s">
        <v>2197</v>
      </c>
      <c r="F105" s="1" t="s">
        <v>2197</v>
      </c>
      <c r="G105" s="1" t="s">
        <v>2197</v>
      </c>
      <c r="H105" s="1" t="s">
        <v>2197</v>
      </c>
      <c r="I105" s="45" t="s">
        <v>2111</v>
      </c>
      <c r="J105" s="1"/>
    </row>
    <row r="106" spans="1:10">
      <c r="A106" s="1" t="s">
        <v>766</v>
      </c>
      <c r="B106" s="1" t="s">
        <v>765</v>
      </c>
      <c r="C106" s="1" t="s">
        <v>201</v>
      </c>
      <c r="D106" s="45" t="s">
        <v>172</v>
      </c>
      <c r="E106" s="1" t="s">
        <v>2197</v>
      </c>
      <c r="F106" s="1" t="s">
        <v>2197</v>
      </c>
      <c r="G106" s="1" t="s">
        <v>2197</v>
      </c>
      <c r="H106" s="1" t="s">
        <v>2197</v>
      </c>
      <c r="I106" s="45" t="s">
        <v>2111</v>
      </c>
      <c r="J106" s="1"/>
    </row>
    <row r="107" spans="1:10">
      <c r="A107" s="1" t="s">
        <v>772</v>
      </c>
      <c r="B107" s="1" t="s">
        <v>771</v>
      </c>
      <c r="C107" s="1" t="s">
        <v>201</v>
      </c>
      <c r="D107" s="45" t="s">
        <v>172</v>
      </c>
      <c r="E107" s="1" t="s">
        <v>2197</v>
      </c>
      <c r="F107" s="1" t="s">
        <v>2197</v>
      </c>
      <c r="G107" s="1" t="s">
        <v>2197</v>
      </c>
      <c r="H107" s="1" t="s">
        <v>2197</v>
      </c>
      <c r="I107" s="45" t="s">
        <v>2111</v>
      </c>
      <c r="J107" s="1"/>
    </row>
    <row r="108" spans="1:10">
      <c r="A108" s="1" t="s">
        <v>778</v>
      </c>
      <c r="B108" s="1" t="s">
        <v>777</v>
      </c>
      <c r="C108" s="1" t="s">
        <v>201</v>
      </c>
      <c r="D108" s="45" t="s">
        <v>172</v>
      </c>
      <c r="E108" s="1" t="s">
        <v>2197</v>
      </c>
      <c r="F108" s="1" t="s">
        <v>2197</v>
      </c>
      <c r="G108" s="1" t="s">
        <v>2197</v>
      </c>
      <c r="H108" s="1" t="s">
        <v>2197</v>
      </c>
      <c r="I108" s="45" t="s">
        <v>2111</v>
      </c>
      <c r="J108" s="1"/>
    </row>
    <row r="109" spans="1:10">
      <c r="A109" s="1" t="s">
        <v>784</v>
      </c>
      <c r="B109" s="1" t="s">
        <v>783</v>
      </c>
      <c r="C109" s="1" t="s">
        <v>201</v>
      </c>
      <c r="D109" s="45" t="s">
        <v>172</v>
      </c>
      <c r="E109" s="1" t="s">
        <v>2197</v>
      </c>
      <c r="F109" s="1" t="s">
        <v>2197</v>
      </c>
      <c r="G109" s="1" t="s">
        <v>2197</v>
      </c>
      <c r="H109" s="1" t="s">
        <v>2197</v>
      </c>
      <c r="I109" s="45" t="s">
        <v>2111</v>
      </c>
      <c r="J109" s="1"/>
    </row>
    <row r="110" spans="1:10">
      <c r="A110" s="1" t="s">
        <v>790</v>
      </c>
      <c r="B110" s="1" t="s">
        <v>789</v>
      </c>
      <c r="C110" s="1" t="s">
        <v>372</v>
      </c>
      <c r="D110" s="45" t="s">
        <v>172</v>
      </c>
      <c r="E110" s="1" t="s">
        <v>2197</v>
      </c>
      <c r="F110" s="1" t="s">
        <v>2197</v>
      </c>
      <c r="G110" s="1" t="s">
        <v>2197</v>
      </c>
      <c r="H110" s="1" t="s">
        <v>2197</v>
      </c>
      <c r="I110" s="45" t="s">
        <v>2111</v>
      </c>
      <c r="J110" s="1"/>
    </row>
    <row r="111" spans="1:10">
      <c r="A111" s="1" t="s">
        <v>797</v>
      </c>
      <c r="B111" s="1" t="s">
        <v>796</v>
      </c>
      <c r="C111" s="1" t="s">
        <v>201</v>
      </c>
      <c r="D111" s="45" t="s">
        <v>172</v>
      </c>
      <c r="E111" s="1" t="s">
        <v>2197</v>
      </c>
      <c r="F111" s="1" t="s">
        <v>2197</v>
      </c>
      <c r="G111" s="1" t="s">
        <v>2197</v>
      </c>
      <c r="H111" s="1" t="s">
        <v>2197</v>
      </c>
      <c r="I111" s="45" t="s">
        <v>2111</v>
      </c>
      <c r="J111" s="1"/>
    </row>
    <row r="112" spans="1:10">
      <c r="A112" s="1" t="s">
        <v>804</v>
      </c>
      <c r="B112" s="1" t="s">
        <v>803</v>
      </c>
      <c r="C112" s="1" t="s">
        <v>201</v>
      </c>
      <c r="D112" s="45" t="s">
        <v>172</v>
      </c>
      <c r="E112" s="1" t="s">
        <v>2197</v>
      </c>
      <c r="F112" s="1" t="s">
        <v>2197</v>
      </c>
      <c r="G112" s="1" t="s">
        <v>2197</v>
      </c>
      <c r="H112" s="1" t="s">
        <v>2197</v>
      </c>
      <c r="I112" s="45" t="s">
        <v>2111</v>
      </c>
      <c r="J112" s="1"/>
    </row>
    <row r="113" spans="1:10">
      <c r="A113" s="1" t="s">
        <v>809</v>
      </c>
      <c r="B113" s="1" t="s">
        <v>808</v>
      </c>
      <c r="C113" s="1" t="s">
        <v>201</v>
      </c>
      <c r="D113" s="45" t="s">
        <v>172</v>
      </c>
      <c r="E113" s="1" t="s">
        <v>2197</v>
      </c>
      <c r="F113" s="1" t="s">
        <v>2197</v>
      </c>
      <c r="G113" s="1" t="s">
        <v>2197</v>
      </c>
      <c r="H113" s="1" t="s">
        <v>2197</v>
      </c>
      <c r="I113" s="45" t="s">
        <v>2111</v>
      </c>
      <c r="J113" s="1"/>
    </row>
    <row r="114" spans="1:10">
      <c r="A114" s="1" t="s">
        <v>816</v>
      </c>
      <c r="B114" s="1" t="s">
        <v>815</v>
      </c>
      <c r="C114" s="1" t="s">
        <v>201</v>
      </c>
      <c r="D114" s="45" t="s">
        <v>172</v>
      </c>
      <c r="E114" s="1" t="s">
        <v>2197</v>
      </c>
      <c r="F114" s="1" t="s">
        <v>2197</v>
      </c>
      <c r="G114" s="1" t="s">
        <v>2197</v>
      </c>
      <c r="H114" s="1" t="s">
        <v>2197</v>
      </c>
      <c r="I114" s="45" t="s">
        <v>2111</v>
      </c>
      <c r="J114" s="1"/>
    </row>
    <row r="115" spans="1:10">
      <c r="A115" s="1" t="s">
        <v>823</v>
      </c>
      <c r="B115" s="1" t="s">
        <v>822</v>
      </c>
      <c r="C115" s="1" t="s">
        <v>201</v>
      </c>
      <c r="D115" s="45" t="s">
        <v>172</v>
      </c>
      <c r="E115" s="1" t="s">
        <v>2197</v>
      </c>
      <c r="F115" s="1" t="s">
        <v>2197</v>
      </c>
      <c r="G115" s="1" t="s">
        <v>2197</v>
      </c>
      <c r="H115" s="1" t="s">
        <v>2197</v>
      </c>
      <c r="I115" s="45" t="s">
        <v>2111</v>
      </c>
      <c r="J115" s="1"/>
    </row>
    <row r="116" spans="1:10">
      <c r="A116" s="1" t="s">
        <v>830</v>
      </c>
      <c r="B116" s="1" t="s">
        <v>829</v>
      </c>
      <c r="C116" s="1" t="s">
        <v>201</v>
      </c>
      <c r="D116" s="45" t="s">
        <v>172</v>
      </c>
      <c r="E116" s="1" t="s">
        <v>2197</v>
      </c>
      <c r="F116" s="1" t="s">
        <v>2197</v>
      </c>
      <c r="G116" s="1" t="s">
        <v>2197</v>
      </c>
      <c r="H116" s="1" t="s">
        <v>2197</v>
      </c>
      <c r="I116" s="45" t="s">
        <v>2111</v>
      </c>
      <c r="J116" s="1"/>
    </row>
    <row r="117" spans="1:10">
      <c r="A117" s="1" t="s">
        <v>837</v>
      </c>
      <c r="B117" s="1" t="s">
        <v>836</v>
      </c>
      <c r="C117" s="1" t="s">
        <v>201</v>
      </c>
      <c r="D117" s="45" t="s">
        <v>172</v>
      </c>
      <c r="E117" s="1" t="s">
        <v>2197</v>
      </c>
      <c r="F117" s="1" t="s">
        <v>2197</v>
      </c>
      <c r="G117" s="1" t="s">
        <v>2197</v>
      </c>
      <c r="H117" s="1" t="s">
        <v>2197</v>
      </c>
      <c r="I117" s="45" t="s">
        <v>2111</v>
      </c>
      <c r="J117" s="1"/>
    </row>
    <row r="118" spans="1:10">
      <c r="A118" s="1" t="s">
        <v>843</v>
      </c>
      <c r="B118" s="1" t="s">
        <v>842</v>
      </c>
      <c r="C118" s="1" t="s">
        <v>567</v>
      </c>
      <c r="D118" s="45" t="s">
        <v>172</v>
      </c>
      <c r="E118" s="1" t="s">
        <v>2197</v>
      </c>
      <c r="F118" s="1" t="s">
        <v>2197</v>
      </c>
      <c r="G118" s="1" t="s">
        <v>2197</v>
      </c>
      <c r="H118" s="1" t="s">
        <v>2197</v>
      </c>
      <c r="I118" s="45" t="s">
        <v>2111</v>
      </c>
      <c r="J118" s="1"/>
    </row>
    <row r="119" spans="1:10">
      <c r="A119" s="1" t="s">
        <v>849</v>
      </c>
      <c r="B119" s="1" t="s">
        <v>848</v>
      </c>
      <c r="C119" s="1" t="s">
        <v>201</v>
      </c>
      <c r="D119" s="45" t="s">
        <v>172</v>
      </c>
      <c r="E119" s="1" t="s">
        <v>2197</v>
      </c>
      <c r="F119" s="1" t="s">
        <v>2197</v>
      </c>
      <c r="G119" s="1" t="s">
        <v>2197</v>
      </c>
      <c r="H119" s="1" t="s">
        <v>2197</v>
      </c>
      <c r="I119" s="45" t="s">
        <v>2111</v>
      </c>
      <c r="J119" s="1"/>
    </row>
    <row r="120" spans="1:10">
      <c r="A120" s="1" t="s">
        <v>855</v>
      </c>
      <c r="B120" s="1" t="s">
        <v>854</v>
      </c>
      <c r="C120" s="1" t="s">
        <v>201</v>
      </c>
      <c r="D120" s="45" t="s">
        <v>172</v>
      </c>
      <c r="E120" s="1" t="s">
        <v>2197</v>
      </c>
      <c r="F120" s="1" t="s">
        <v>2197</v>
      </c>
      <c r="G120" s="1" t="s">
        <v>2197</v>
      </c>
      <c r="H120" s="1" t="s">
        <v>2197</v>
      </c>
      <c r="I120" s="45" t="s">
        <v>2111</v>
      </c>
      <c r="J120" s="1"/>
    </row>
    <row r="121" spans="1:10">
      <c r="A121" s="1" t="s">
        <v>861</v>
      </c>
      <c r="B121" s="1" t="s">
        <v>860</v>
      </c>
      <c r="C121" s="1" t="s">
        <v>201</v>
      </c>
      <c r="D121" s="45" t="s">
        <v>172</v>
      </c>
      <c r="E121" s="1" t="s">
        <v>2197</v>
      </c>
      <c r="F121" s="1" t="s">
        <v>2197</v>
      </c>
      <c r="G121" s="1" t="s">
        <v>2197</v>
      </c>
      <c r="H121" s="1" t="s">
        <v>2197</v>
      </c>
      <c r="I121" s="45" t="s">
        <v>2111</v>
      </c>
      <c r="J121" s="1"/>
    </row>
    <row r="122" spans="1:10">
      <c r="A122" s="1" t="s">
        <v>868</v>
      </c>
      <c r="B122" s="1" t="s">
        <v>867</v>
      </c>
      <c r="C122" s="1" t="s">
        <v>201</v>
      </c>
      <c r="D122" s="45" t="s">
        <v>172</v>
      </c>
      <c r="E122" s="1" t="s">
        <v>2197</v>
      </c>
      <c r="F122" s="1" t="s">
        <v>2197</v>
      </c>
      <c r="G122" s="1" t="s">
        <v>2197</v>
      </c>
      <c r="H122" s="1" t="s">
        <v>2197</v>
      </c>
      <c r="I122" s="45" t="s">
        <v>2111</v>
      </c>
      <c r="J122" s="1"/>
    </row>
    <row r="123" spans="1:10">
      <c r="A123" s="1" t="s">
        <v>875</v>
      </c>
      <c r="B123" s="1" t="s">
        <v>874</v>
      </c>
      <c r="C123" s="1" t="s">
        <v>201</v>
      </c>
      <c r="D123" s="45" t="s">
        <v>172</v>
      </c>
      <c r="E123" s="1" t="s">
        <v>2197</v>
      </c>
      <c r="F123" s="1" t="s">
        <v>2197</v>
      </c>
      <c r="G123" s="1" t="s">
        <v>2197</v>
      </c>
      <c r="H123" s="1" t="s">
        <v>2197</v>
      </c>
      <c r="I123" s="45" t="s">
        <v>2111</v>
      </c>
      <c r="J123" s="1"/>
    </row>
    <row r="124" spans="1:10">
      <c r="A124" s="1" t="s">
        <v>880</v>
      </c>
      <c r="B124" s="1" t="s">
        <v>879</v>
      </c>
      <c r="C124" s="1" t="s">
        <v>201</v>
      </c>
      <c r="D124" s="45" t="s">
        <v>172</v>
      </c>
      <c r="E124" s="1" t="s">
        <v>2197</v>
      </c>
      <c r="F124" s="1" t="s">
        <v>2197</v>
      </c>
      <c r="G124" s="1" t="s">
        <v>2197</v>
      </c>
      <c r="H124" s="1" t="s">
        <v>2197</v>
      </c>
      <c r="I124" s="45" t="s">
        <v>2111</v>
      </c>
      <c r="J124" s="1"/>
    </row>
    <row r="125" spans="1:10">
      <c r="A125" s="1" t="s">
        <v>886</v>
      </c>
      <c r="B125" s="1" t="s">
        <v>885</v>
      </c>
      <c r="C125" s="1" t="s">
        <v>201</v>
      </c>
      <c r="D125" s="45" t="s">
        <v>172</v>
      </c>
      <c r="E125" s="1" t="s">
        <v>2197</v>
      </c>
      <c r="F125" s="1" t="s">
        <v>2197</v>
      </c>
      <c r="G125" s="1" t="s">
        <v>2197</v>
      </c>
      <c r="H125" s="1" t="s">
        <v>2197</v>
      </c>
      <c r="I125" s="45" t="s">
        <v>2111</v>
      </c>
      <c r="J125" s="1"/>
    </row>
    <row r="126" spans="1:10">
      <c r="A126" s="1" t="s">
        <v>892</v>
      </c>
      <c r="B126" s="1" t="s">
        <v>891</v>
      </c>
      <c r="C126" s="1" t="s">
        <v>201</v>
      </c>
      <c r="D126" s="45" t="s">
        <v>172</v>
      </c>
      <c r="E126" s="1" t="s">
        <v>2197</v>
      </c>
      <c r="F126" s="1" t="s">
        <v>2197</v>
      </c>
      <c r="G126" s="1" t="s">
        <v>2197</v>
      </c>
      <c r="H126" s="1" t="s">
        <v>2197</v>
      </c>
      <c r="I126" s="45" t="s">
        <v>2111</v>
      </c>
      <c r="J126" s="1"/>
    </row>
    <row r="127" spans="1:10">
      <c r="A127" s="1" t="s">
        <v>899</v>
      </c>
      <c r="B127" s="1" t="s">
        <v>898</v>
      </c>
      <c r="C127" s="1" t="s">
        <v>201</v>
      </c>
      <c r="D127" s="45" t="s">
        <v>172</v>
      </c>
      <c r="E127" s="1" t="s">
        <v>2197</v>
      </c>
      <c r="F127" s="1" t="s">
        <v>2197</v>
      </c>
      <c r="G127" s="1" t="s">
        <v>2197</v>
      </c>
      <c r="H127" s="1" t="s">
        <v>2197</v>
      </c>
      <c r="I127" s="45" t="s">
        <v>2111</v>
      </c>
      <c r="J127" s="1"/>
    </row>
    <row r="128" spans="1:10">
      <c r="A128" s="1" t="s">
        <v>906</v>
      </c>
      <c r="B128" s="1" t="s">
        <v>905</v>
      </c>
      <c r="C128" s="1" t="s">
        <v>201</v>
      </c>
      <c r="D128" s="45" t="s">
        <v>172</v>
      </c>
      <c r="E128" s="1" t="s">
        <v>2197</v>
      </c>
      <c r="F128" s="1" t="s">
        <v>2197</v>
      </c>
      <c r="G128" s="1" t="s">
        <v>2197</v>
      </c>
      <c r="H128" s="1" t="s">
        <v>2197</v>
      </c>
      <c r="I128" s="45" t="s">
        <v>2111</v>
      </c>
      <c r="J128" s="1"/>
    </row>
    <row r="129" spans="1:10">
      <c r="A129" s="1" t="s">
        <v>912</v>
      </c>
      <c r="B129" s="1" t="s">
        <v>911</v>
      </c>
      <c r="C129" s="1" t="s">
        <v>201</v>
      </c>
      <c r="D129" s="45" t="s">
        <v>172</v>
      </c>
      <c r="E129" s="1" t="s">
        <v>2197</v>
      </c>
      <c r="F129" s="1" t="s">
        <v>2197</v>
      </c>
      <c r="G129" s="1" t="s">
        <v>2197</v>
      </c>
      <c r="H129" s="1" t="s">
        <v>2197</v>
      </c>
      <c r="I129" s="45" t="s">
        <v>2111</v>
      </c>
      <c r="J129" s="1"/>
    </row>
    <row r="130" spans="1:10">
      <c r="A130" s="1" t="s">
        <v>919</v>
      </c>
      <c r="B130" s="1" t="s">
        <v>918</v>
      </c>
      <c r="C130" s="1" t="s">
        <v>372</v>
      </c>
      <c r="D130" s="45" t="s">
        <v>172</v>
      </c>
      <c r="E130" s="1" t="s">
        <v>2197</v>
      </c>
      <c r="F130" s="1" t="s">
        <v>2197</v>
      </c>
      <c r="G130" s="1" t="s">
        <v>2197</v>
      </c>
      <c r="H130" s="1" t="s">
        <v>2197</v>
      </c>
      <c r="I130" s="45" t="s">
        <v>2111</v>
      </c>
      <c r="J130" s="1"/>
    </row>
    <row r="131" spans="1:10">
      <c r="A131" s="1" t="s">
        <v>925</v>
      </c>
      <c r="B131" s="1" t="s">
        <v>924</v>
      </c>
      <c r="C131" s="1" t="s">
        <v>201</v>
      </c>
      <c r="D131" s="45" t="s">
        <v>172</v>
      </c>
      <c r="E131" s="1" t="s">
        <v>2197</v>
      </c>
      <c r="F131" s="1" t="s">
        <v>2197</v>
      </c>
      <c r="G131" s="1" t="s">
        <v>2197</v>
      </c>
      <c r="H131" s="1" t="s">
        <v>2197</v>
      </c>
      <c r="I131" s="45" t="s">
        <v>2111</v>
      </c>
      <c r="J131" s="1"/>
    </row>
    <row r="132" spans="1:10">
      <c r="A132" s="1" t="s">
        <v>931</v>
      </c>
      <c r="B132" s="1" t="s">
        <v>930</v>
      </c>
      <c r="C132" s="1" t="s">
        <v>201</v>
      </c>
      <c r="D132" s="45" t="s">
        <v>172</v>
      </c>
      <c r="E132" s="1" t="s">
        <v>2197</v>
      </c>
      <c r="F132" s="1" t="s">
        <v>2197</v>
      </c>
      <c r="G132" s="1" t="s">
        <v>2197</v>
      </c>
      <c r="H132" s="1" t="s">
        <v>2197</v>
      </c>
      <c r="I132" s="45" t="s">
        <v>2111</v>
      </c>
      <c r="J132" s="1"/>
    </row>
    <row r="133" spans="1:10">
      <c r="A133" s="1" t="s">
        <v>938</v>
      </c>
      <c r="B133" s="1" t="s">
        <v>937</v>
      </c>
      <c r="C133" s="1" t="s">
        <v>201</v>
      </c>
      <c r="D133" s="45" t="s">
        <v>172</v>
      </c>
      <c r="E133" s="1" t="s">
        <v>2197</v>
      </c>
      <c r="F133" s="1" t="s">
        <v>2197</v>
      </c>
      <c r="G133" s="1" t="s">
        <v>2197</v>
      </c>
      <c r="H133" s="1" t="s">
        <v>2197</v>
      </c>
      <c r="I133" s="45" t="s">
        <v>2111</v>
      </c>
      <c r="J133" s="1"/>
    </row>
    <row r="134" spans="1:10">
      <c r="A134" s="1" t="s">
        <v>945</v>
      </c>
      <c r="B134" s="1" t="s">
        <v>944</v>
      </c>
      <c r="C134" s="1" t="s">
        <v>201</v>
      </c>
      <c r="D134" s="45" t="s">
        <v>172</v>
      </c>
      <c r="E134" s="1" t="s">
        <v>2197</v>
      </c>
      <c r="F134" s="1" t="s">
        <v>2197</v>
      </c>
      <c r="G134" s="1" t="s">
        <v>2197</v>
      </c>
      <c r="H134" s="1" t="s">
        <v>2197</v>
      </c>
      <c r="I134" s="45" t="s">
        <v>2111</v>
      </c>
      <c r="J134" s="1"/>
    </row>
    <row r="135" spans="1:10">
      <c r="A135" s="1" t="s">
        <v>952</v>
      </c>
      <c r="B135" s="1" t="s">
        <v>951</v>
      </c>
      <c r="C135" s="1" t="s">
        <v>201</v>
      </c>
      <c r="D135" s="45" t="s">
        <v>172</v>
      </c>
      <c r="E135" s="1" t="s">
        <v>2197</v>
      </c>
      <c r="F135" s="1" t="s">
        <v>2197</v>
      </c>
      <c r="G135" s="1" t="s">
        <v>2197</v>
      </c>
      <c r="H135" s="1" t="s">
        <v>2197</v>
      </c>
      <c r="I135" s="45" t="s">
        <v>2111</v>
      </c>
      <c r="J135" s="1"/>
    </row>
    <row r="136" spans="1:10">
      <c r="A136" s="1" t="s">
        <v>959</v>
      </c>
      <c r="B136" s="1" t="s">
        <v>958</v>
      </c>
      <c r="C136" s="1" t="s">
        <v>201</v>
      </c>
      <c r="D136" s="45" t="s">
        <v>172</v>
      </c>
      <c r="E136" s="1" t="s">
        <v>2197</v>
      </c>
      <c r="F136" s="1" t="s">
        <v>2197</v>
      </c>
      <c r="G136" s="1" t="s">
        <v>2197</v>
      </c>
      <c r="H136" s="1" t="s">
        <v>2197</v>
      </c>
      <c r="I136" s="45" t="s">
        <v>2111</v>
      </c>
      <c r="J136" s="1"/>
    </row>
    <row r="137" spans="1:10">
      <c r="A137" s="1" t="s">
        <v>966</v>
      </c>
      <c r="B137" s="1" t="s">
        <v>965</v>
      </c>
      <c r="C137" s="1" t="s">
        <v>201</v>
      </c>
      <c r="D137" s="45" t="s">
        <v>172</v>
      </c>
      <c r="E137" s="1" t="s">
        <v>2197</v>
      </c>
      <c r="F137" s="1" t="s">
        <v>2197</v>
      </c>
      <c r="G137" s="1" t="s">
        <v>2197</v>
      </c>
      <c r="H137" s="1" t="s">
        <v>2197</v>
      </c>
      <c r="I137" s="45" t="s">
        <v>2111</v>
      </c>
      <c r="J137" s="1"/>
    </row>
    <row r="138" spans="1:10">
      <c r="A138" s="1" t="s">
        <v>973</v>
      </c>
      <c r="B138" s="1" t="s">
        <v>972</v>
      </c>
      <c r="C138" s="1" t="s">
        <v>201</v>
      </c>
      <c r="D138" s="45" t="s">
        <v>172</v>
      </c>
      <c r="E138" s="1" t="s">
        <v>2197</v>
      </c>
      <c r="F138" s="1" t="s">
        <v>2197</v>
      </c>
      <c r="G138" s="1" t="s">
        <v>2197</v>
      </c>
      <c r="H138" s="1" t="s">
        <v>2197</v>
      </c>
      <c r="I138" s="45" t="s">
        <v>2111</v>
      </c>
      <c r="J138" s="1"/>
    </row>
    <row r="139" spans="1:10">
      <c r="A139" s="1" t="s">
        <v>980</v>
      </c>
      <c r="B139" s="1" t="s">
        <v>979</v>
      </c>
      <c r="C139" s="1" t="s">
        <v>201</v>
      </c>
      <c r="D139" s="45" t="s">
        <v>172</v>
      </c>
      <c r="E139" s="1" t="s">
        <v>2197</v>
      </c>
      <c r="F139" s="1" t="s">
        <v>2197</v>
      </c>
      <c r="G139" s="1" t="s">
        <v>2197</v>
      </c>
      <c r="H139" s="1" t="s">
        <v>2197</v>
      </c>
      <c r="I139" s="45" t="s">
        <v>2111</v>
      </c>
      <c r="J139" s="1"/>
    </row>
    <row r="140" spans="1:10">
      <c r="A140" s="1" t="s">
        <v>987</v>
      </c>
      <c r="B140" s="1" t="s">
        <v>986</v>
      </c>
      <c r="C140" s="1" t="s">
        <v>201</v>
      </c>
      <c r="D140" s="45" t="s">
        <v>172</v>
      </c>
      <c r="E140" s="1" t="s">
        <v>2197</v>
      </c>
      <c r="F140" s="1" t="s">
        <v>2197</v>
      </c>
      <c r="G140" s="1" t="s">
        <v>2197</v>
      </c>
      <c r="H140" s="1" t="s">
        <v>2197</v>
      </c>
      <c r="I140" s="45" t="s">
        <v>2111</v>
      </c>
      <c r="J140" s="1"/>
    </row>
    <row r="141" spans="1:10">
      <c r="A141" s="1" t="s">
        <v>994</v>
      </c>
      <c r="B141" s="1" t="s">
        <v>993</v>
      </c>
      <c r="C141" s="1" t="s">
        <v>201</v>
      </c>
      <c r="D141" s="45" t="s">
        <v>172</v>
      </c>
      <c r="E141" s="1" t="s">
        <v>2197</v>
      </c>
      <c r="F141" s="1" t="s">
        <v>2197</v>
      </c>
      <c r="G141" s="1" t="s">
        <v>2197</v>
      </c>
      <c r="H141" s="1" t="s">
        <v>2197</v>
      </c>
      <c r="I141" s="45" t="s">
        <v>2111</v>
      </c>
      <c r="J141" s="1"/>
    </row>
    <row r="142" spans="1:10">
      <c r="A142" s="1" t="s">
        <v>1001</v>
      </c>
      <c r="B142" s="1" t="s">
        <v>1000</v>
      </c>
      <c r="C142" s="1" t="s">
        <v>201</v>
      </c>
      <c r="D142" s="45" t="s">
        <v>172</v>
      </c>
      <c r="E142" s="1" t="s">
        <v>2197</v>
      </c>
      <c r="F142" s="1" t="s">
        <v>2197</v>
      </c>
      <c r="G142" s="1" t="s">
        <v>2197</v>
      </c>
      <c r="H142" s="1" t="s">
        <v>2197</v>
      </c>
      <c r="I142" s="45" t="s">
        <v>2111</v>
      </c>
      <c r="J142" s="1"/>
    </row>
    <row r="143" spans="1:10">
      <c r="A143" s="1" t="s">
        <v>1008</v>
      </c>
      <c r="B143" s="1" t="s">
        <v>1007</v>
      </c>
      <c r="C143" s="1" t="s">
        <v>201</v>
      </c>
      <c r="D143" s="45" t="s">
        <v>172</v>
      </c>
      <c r="E143" s="1" t="s">
        <v>2197</v>
      </c>
      <c r="F143" s="1" t="s">
        <v>2197</v>
      </c>
      <c r="G143" s="1" t="s">
        <v>2197</v>
      </c>
      <c r="H143" s="1" t="s">
        <v>2197</v>
      </c>
      <c r="I143" s="45" t="s">
        <v>2111</v>
      </c>
      <c r="J143" s="1"/>
    </row>
    <row r="144" spans="1:10">
      <c r="A144" s="1" t="s">
        <v>1014</v>
      </c>
      <c r="B144" s="1" t="s">
        <v>1013</v>
      </c>
      <c r="C144" s="1" t="s">
        <v>201</v>
      </c>
      <c r="D144" s="45" t="s">
        <v>172</v>
      </c>
      <c r="E144" s="1" t="s">
        <v>2197</v>
      </c>
      <c r="F144" s="1" t="s">
        <v>2197</v>
      </c>
      <c r="G144" s="1" t="s">
        <v>2197</v>
      </c>
      <c r="H144" s="1" t="s">
        <v>2197</v>
      </c>
      <c r="I144" s="45" t="s">
        <v>2111</v>
      </c>
      <c r="J144" s="1"/>
    </row>
    <row r="145" spans="1:10">
      <c r="A145" s="1" t="s">
        <v>1020</v>
      </c>
      <c r="B145" s="1" t="s">
        <v>1019</v>
      </c>
      <c r="C145" s="1" t="s">
        <v>201</v>
      </c>
      <c r="D145" s="45" t="s">
        <v>172</v>
      </c>
      <c r="E145" s="1" t="s">
        <v>2197</v>
      </c>
      <c r="F145" s="1" t="s">
        <v>2197</v>
      </c>
      <c r="G145" s="1" t="s">
        <v>2197</v>
      </c>
      <c r="H145" s="1" t="s">
        <v>2197</v>
      </c>
      <c r="I145" s="45" t="s">
        <v>2111</v>
      </c>
      <c r="J145" s="1"/>
    </row>
    <row r="146" spans="1:10">
      <c r="A146" s="1" t="s">
        <v>1026</v>
      </c>
      <c r="B146" s="1" t="s">
        <v>1025</v>
      </c>
      <c r="C146" s="1" t="s">
        <v>201</v>
      </c>
      <c r="D146" s="45" t="s">
        <v>172</v>
      </c>
      <c r="E146" s="1" t="s">
        <v>2197</v>
      </c>
      <c r="F146" s="1" t="s">
        <v>2197</v>
      </c>
      <c r="G146" s="1" t="s">
        <v>2197</v>
      </c>
      <c r="H146" s="1" t="s">
        <v>2197</v>
      </c>
      <c r="I146" s="45" t="s">
        <v>2111</v>
      </c>
      <c r="J146" s="1"/>
    </row>
    <row r="147" spans="1:10">
      <c r="A147" s="1" t="s">
        <v>1032</v>
      </c>
      <c r="B147" s="1" t="s">
        <v>1031</v>
      </c>
      <c r="C147" s="1" t="s">
        <v>201</v>
      </c>
      <c r="D147" s="45" t="s">
        <v>172</v>
      </c>
      <c r="E147" s="1" t="s">
        <v>2197</v>
      </c>
      <c r="F147" s="1" t="s">
        <v>2197</v>
      </c>
      <c r="G147" s="1" t="s">
        <v>2197</v>
      </c>
      <c r="H147" s="1" t="s">
        <v>2197</v>
      </c>
      <c r="I147" s="45" t="s">
        <v>2111</v>
      </c>
      <c r="J147" s="1"/>
    </row>
    <row r="148" spans="1:10">
      <c r="A148" s="1" t="s">
        <v>1037</v>
      </c>
      <c r="B148" s="1" t="s">
        <v>1036</v>
      </c>
      <c r="C148" s="1" t="s">
        <v>201</v>
      </c>
      <c r="D148" s="45" t="s">
        <v>172</v>
      </c>
      <c r="E148" s="1" t="s">
        <v>2197</v>
      </c>
      <c r="F148" s="1" t="s">
        <v>2197</v>
      </c>
      <c r="G148" s="1" t="s">
        <v>2197</v>
      </c>
      <c r="H148" s="1" t="s">
        <v>2197</v>
      </c>
      <c r="I148" s="45" t="s">
        <v>2111</v>
      </c>
      <c r="J148" s="1"/>
    </row>
    <row r="149" spans="1:10">
      <c r="A149" s="1" t="s">
        <v>1044</v>
      </c>
      <c r="B149" s="1" t="s">
        <v>1043</v>
      </c>
      <c r="C149" s="1" t="s">
        <v>201</v>
      </c>
      <c r="D149" s="45" t="s">
        <v>172</v>
      </c>
      <c r="E149" s="1" t="s">
        <v>2197</v>
      </c>
      <c r="F149" s="1" t="s">
        <v>2197</v>
      </c>
      <c r="G149" s="1" t="s">
        <v>2197</v>
      </c>
      <c r="H149" s="1" t="s">
        <v>2197</v>
      </c>
      <c r="I149" s="45" t="s">
        <v>2111</v>
      </c>
      <c r="J149" s="1"/>
    </row>
    <row r="150" spans="1:10">
      <c r="A150" s="1" t="s">
        <v>1051</v>
      </c>
      <c r="B150" s="1" t="s">
        <v>1050</v>
      </c>
      <c r="C150" s="1" t="s">
        <v>201</v>
      </c>
      <c r="D150" s="45" t="s">
        <v>172</v>
      </c>
      <c r="E150" s="1" t="s">
        <v>2197</v>
      </c>
      <c r="F150" s="1" t="s">
        <v>2197</v>
      </c>
      <c r="G150" s="1" t="s">
        <v>2197</v>
      </c>
      <c r="H150" s="1" t="s">
        <v>2197</v>
      </c>
      <c r="I150" s="45" t="s">
        <v>2111</v>
      </c>
      <c r="J150" s="1"/>
    </row>
    <row r="151" spans="1:10">
      <c r="A151" s="1" t="s">
        <v>1056</v>
      </c>
      <c r="B151" s="1" t="s">
        <v>1055</v>
      </c>
      <c r="C151" s="1" t="s">
        <v>201</v>
      </c>
      <c r="D151" s="45" t="s">
        <v>172</v>
      </c>
      <c r="E151" s="1" t="s">
        <v>2197</v>
      </c>
      <c r="F151" s="1" t="s">
        <v>2197</v>
      </c>
      <c r="G151" s="1" t="s">
        <v>2197</v>
      </c>
      <c r="H151" s="1" t="s">
        <v>2197</v>
      </c>
      <c r="I151" s="45" t="s">
        <v>2111</v>
      </c>
      <c r="J151" s="1"/>
    </row>
    <row r="152" spans="1:10">
      <c r="A152" s="1" t="s">
        <v>1061</v>
      </c>
      <c r="B152" s="1" t="s">
        <v>1060</v>
      </c>
      <c r="C152" s="1" t="s">
        <v>201</v>
      </c>
      <c r="D152" s="45" t="s">
        <v>172</v>
      </c>
      <c r="E152" s="1" t="s">
        <v>2197</v>
      </c>
      <c r="F152" s="1" t="s">
        <v>2197</v>
      </c>
      <c r="G152" s="1" t="s">
        <v>2197</v>
      </c>
      <c r="H152" s="1" t="s">
        <v>2197</v>
      </c>
      <c r="I152" s="45" t="s">
        <v>2111</v>
      </c>
      <c r="J152" s="1"/>
    </row>
    <row r="153" spans="1:10">
      <c r="A153" s="1" t="s">
        <v>1066</v>
      </c>
      <c r="B153" s="1" t="s">
        <v>1065</v>
      </c>
      <c r="C153" s="1" t="s">
        <v>201</v>
      </c>
      <c r="D153" s="45" t="s">
        <v>172</v>
      </c>
      <c r="E153" s="1" t="s">
        <v>2197</v>
      </c>
      <c r="F153" s="1" t="s">
        <v>2197</v>
      </c>
      <c r="G153" s="1" t="s">
        <v>2197</v>
      </c>
      <c r="H153" s="1" t="s">
        <v>2197</v>
      </c>
      <c r="I153" s="45" t="s">
        <v>2111</v>
      </c>
      <c r="J153" s="1"/>
    </row>
    <row r="154" spans="1:10">
      <c r="A154" s="1" t="s">
        <v>1073</v>
      </c>
      <c r="B154" s="1" t="s">
        <v>1072</v>
      </c>
      <c r="C154" s="1" t="s">
        <v>201</v>
      </c>
      <c r="D154" s="45" t="s">
        <v>172</v>
      </c>
      <c r="E154" s="1" t="s">
        <v>2197</v>
      </c>
      <c r="F154" s="1" t="s">
        <v>2197</v>
      </c>
      <c r="G154" s="1" t="s">
        <v>2197</v>
      </c>
      <c r="H154" s="1" t="s">
        <v>2197</v>
      </c>
      <c r="I154" s="45" t="s">
        <v>2111</v>
      </c>
      <c r="J154" s="1"/>
    </row>
    <row r="155" spans="1:10">
      <c r="A155" s="1" t="s">
        <v>1079</v>
      </c>
      <c r="B155" s="1" t="s">
        <v>1078</v>
      </c>
      <c r="C155" s="1" t="s">
        <v>201</v>
      </c>
      <c r="D155" s="45" t="s">
        <v>172</v>
      </c>
      <c r="E155" s="1" t="s">
        <v>2197</v>
      </c>
      <c r="F155" s="1" t="s">
        <v>2197</v>
      </c>
      <c r="G155" s="1" t="s">
        <v>2197</v>
      </c>
      <c r="H155" s="1" t="s">
        <v>2197</v>
      </c>
      <c r="I155" s="45" t="s">
        <v>2111</v>
      </c>
      <c r="J155" s="1"/>
    </row>
    <row r="156" spans="1:10">
      <c r="A156" s="1" t="s">
        <v>1084</v>
      </c>
      <c r="B156" s="1" t="s">
        <v>1083</v>
      </c>
      <c r="C156" s="1" t="s">
        <v>201</v>
      </c>
      <c r="D156" s="45" t="s">
        <v>172</v>
      </c>
      <c r="E156" s="1" t="s">
        <v>2197</v>
      </c>
      <c r="F156" s="1" t="s">
        <v>2197</v>
      </c>
      <c r="G156" s="1" t="s">
        <v>2197</v>
      </c>
      <c r="H156" s="1" t="s">
        <v>2197</v>
      </c>
      <c r="I156" s="45" t="s">
        <v>2111</v>
      </c>
      <c r="J156" s="1"/>
    </row>
    <row r="157" spans="1:10">
      <c r="A157" s="1" t="s">
        <v>1090</v>
      </c>
      <c r="B157" s="1" t="s">
        <v>1089</v>
      </c>
      <c r="C157" s="1" t="s">
        <v>201</v>
      </c>
      <c r="D157" s="45" t="s">
        <v>172</v>
      </c>
      <c r="E157" s="1" t="s">
        <v>2197</v>
      </c>
      <c r="F157" s="1" t="s">
        <v>2197</v>
      </c>
      <c r="G157" s="1" t="s">
        <v>2197</v>
      </c>
      <c r="H157" s="1" t="s">
        <v>2197</v>
      </c>
      <c r="I157" s="45" t="s">
        <v>2111</v>
      </c>
      <c r="J157" s="1"/>
    </row>
    <row r="158" spans="1:10">
      <c r="A158" s="1" t="s">
        <v>1096</v>
      </c>
      <c r="B158" s="1" t="s">
        <v>1095</v>
      </c>
      <c r="C158" s="1" t="s">
        <v>201</v>
      </c>
      <c r="D158" s="45" t="s">
        <v>172</v>
      </c>
      <c r="E158" s="1" t="s">
        <v>2197</v>
      </c>
      <c r="F158" s="1" t="s">
        <v>2197</v>
      </c>
      <c r="G158" s="1" t="s">
        <v>2197</v>
      </c>
      <c r="H158" s="1" t="s">
        <v>2197</v>
      </c>
      <c r="I158" s="45" t="s">
        <v>2111</v>
      </c>
      <c r="J158" s="1"/>
    </row>
    <row r="159" spans="1:10">
      <c r="A159" s="1" t="s">
        <v>1100</v>
      </c>
      <c r="B159" s="1" t="s">
        <v>1099</v>
      </c>
      <c r="C159" s="1" t="s">
        <v>201</v>
      </c>
      <c r="D159" s="45" t="s">
        <v>172</v>
      </c>
      <c r="E159" s="1" t="s">
        <v>2197</v>
      </c>
      <c r="F159" s="1" t="s">
        <v>2197</v>
      </c>
      <c r="G159" s="1" t="s">
        <v>2197</v>
      </c>
      <c r="H159" s="1" t="s">
        <v>2197</v>
      </c>
      <c r="I159" s="45" t="s">
        <v>2111</v>
      </c>
      <c r="J159" s="1"/>
    </row>
    <row r="160" spans="1:10">
      <c r="A160" s="1" t="s">
        <v>1107</v>
      </c>
      <c r="B160" s="1" t="s">
        <v>1106</v>
      </c>
      <c r="C160" s="1" t="s">
        <v>201</v>
      </c>
      <c r="D160" s="45" t="s">
        <v>172</v>
      </c>
      <c r="E160" s="1" t="s">
        <v>2197</v>
      </c>
      <c r="F160" s="1" t="s">
        <v>2197</v>
      </c>
      <c r="G160" s="1" t="s">
        <v>2197</v>
      </c>
      <c r="H160" s="1" t="s">
        <v>2197</v>
      </c>
      <c r="I160" s="45" t="s">
        <v>2111</v>
      </c>
      <c r="J160" s="1"/>
    </row>
    <row r="161" spans="1:10">
      <c r="A161" s="1" t="s">
        <v>1114</v>
      </c>
      <c r="B161" s="1" t="s">
        <v>1113</v>
      </c>
      <c r="C161" s="1" t="s">
        <v>201</v>
      </c>
      <c r="D161" s="45" t="s">
        <v>172</v>
      </c>
      <c r="E161" s="1" t="s">
        <v>2197</v>
      </c>
      <c r="F161" s="1" t="s">
        <v>2197</v>
      </c>
      <c r="G161" s="1" t="s">
        <v>2197</v>
      </c>
      <c r="H161" s="1" t="s">
        <v>2197</v>
      </c>
      <c r="I161" s="45" t="s">
        <v>2111</v>
      </c>
      <c r="J161" s="1"/>
    </row>
    <row r="162" spans="1:10">
      <c r="A162" s="1" t="s">
        <v>1121</v>
      </c>
      <c r="B162" s="1" t="s">
        <v>1120</v>
      </c>
      <c r="C162" s="1" t="s">
        <v>201</v>
      </c>
      <c r="D162" s="45" t="s">
        <v>172</v>
      </c>
      <c r="E162" s="1" t="s">
        <v>2197</v>
      </c>
      <c r="F162" s="1" t="s">
        <v>2197</v>
      </c>
      <c r="G162" s="1" t="s">
        <v>2197</v>
      </c>
      <c r="H162" s="1" t="s">
        <v>2197</v>
      </c>
      <c r="I162" s="45" t="s">
        <v>2111</v>
      </c>
      <c r="J162" s="1"/>
    </row>
    <row r="163" spans="1:10">
      <c r="A163" s="1" t="s">
        <v>1128</v>
      </c>
      <c r="B163" s="1" t="s">
        <v>1127</v>
      </c>
      <c r="C163" s="1" t="s">
        <v>201</v>
      </c>
      <c r="D163" s="45" t="s">
        <v>172</v>
      </c>
      <c r="E163" s="1" t="s">
        <v>2197</v>
      </c>
      <c r="F163" s="1" t="s">
        <v>2197</v>
      </c>
      <c r="G163" s="1" t="s">
        <v>2197</v>
      </c>
      <c r="H163" s="1" t="s">
        <v>2197</v>
      </c>
      <c r="I163" s="45" t="s">
        <v>2111</v>
      </c>
      <c r="J163" s="1"/>
    </row>
    <row r="164" spans="1:10">
      <c r="A164" s="1" t="s">
        <v>1135</v>
      </c>
      <c r="B164" s="1" t="s">
        <v>1134</v>
      </c>
      <c r="C164" s="1" t="s">
        <v>201</v>
      </c>
      <c r="D164" s="45" t="s">
        <v>172</v>
      </c>
      <c r="E164" s="1" t="s">
        <v>2197</v>
      </c>
      <c r="F164" s="1" t="s">
        <v>2197</v>
      </c>
      <c r="G164" s="1" t="s">
        <v>2197</v>
      </c>
      <c r="H164" s="1" t="s">
        <v>2197</v>
      </c>
      <c r="I164" s="45" t="s">
        <v>2111</v>
      </c>
      <c r="J164" s="1"/>
    </row>
    <row r="165" spans="1:10">
      <c r="A165" s="1" t="s">
        <v>1142</v>
      </c>
      <c r="B165" s="1" t="s">
        <v>1141</v>
      </c>
      <c r="C165" s="1" t="s">
        <v>201</v>
      </c>
      <c r="D165" s="45" t="s">
        <v>172</v>
      </c>
      <c r="E165" s="1" t="s">
        <v>2197</v>
      </c>
      <c r="F165" s="1" t="s">
        <v>2197</v>
      </c>
      <c r="G165" s="1" t="s">
        <v>2197</v>
      </c>
      <c r="H165" s="1" t="s">
        <v>2197</v>
      </c>
      <c r="I165" s="45" t="s">
        <v>2111</v>
      </c>
      <c r="J165" s="1"/>
    </row>
    <row r="166" spans="1:10">
      <c r="A166" s="1" t="s">
        <v>1149</v>
      </c>
      <c r="B166" s="1" t="s">
        <v>1148</v>
      </c>
      <c r="C166" s="1" t="s">
        <v>201</v>
      </c>
      <c r="D166" s="45" t="s">
        <v>172</v>
      </c>
      <c r="E166" s="1" t="s">
        <v>2197</v>
      </c>
      <c r="F166" s="1" t="s">
        <v>2197</v>
      </c>
      <c r="G166" s="1" t="s">
        <v>2197</v>
      </c>
      <c r="H166" s="1" t="s">
        <v>2197</v>
      </c>
      <c r="I166" s="45" t="s">
        <v>2111</v>
      </c>
      <c r="J166" s="1"/>
    </row>
    <row r="167" spans="1:10">
      <c r="A167" s="1" t="s">
        <v>1156</v>
      </c>
      <c r="B167" s="1" t="s">
        <v>1155</v>
      </c>
      <c r="C167" s="1" t="s">
        <v>201</v>
      </c>
      <c r="D167" s="45" t="s">
        <v>172</v>
      </c>
      <c r="E167" s="1" t="s">
        <v>2197</v>
      </c>
      <c r="F167" s="1" t="s">
        <v>2197</v>
      </c>
      <c r="G167" s="1" t="s">
        <v>2197</v>
      </c>
      <c r="H167" s="1" t="s">
        <v>2197</v>
      </c>
      <c r="I167" s="45" t="s">
        <v>2111</v>
      </c>
      <c r="J167" s="1"/>
    </row>
    <row r="168" spans="1:10">
      <c r="A168" s="1" t="s">
        <v>1163</v>
      </c>
      <c r="B168" s="1" t="s">
        <v>1162</v>
      </c>
      <c r="C168" s="1" t="s">
        <v>201</v>
      </c>
      <c r="D168" s="45" t="s">
        <v>172</v>
      </c>
      <c r="E168" s="1" t="s">
        <v>2197</v>
      </c>
      <c r="F168" s="1" t="s">
        <v>2197</v>
      </c>
      <c r="G168" s="1" t="s">
        <v>2197</v>
      </c>
      <c r="H168" s="1" t="s">
        <v>2197</v>
      </c>
      <c r="I168" s="45" t="s">
        <v>2111</v>
      </c>
      <c r="J168" s="1"/>
    </row>
    <row r="169" spans="1:10">
      <c r="A169" s="1" t="s">
        <v>1170</v>
      </c>
      <c r="B169" s="1" t="s">
        <v>1169</v>
      </c>
      <c r="C169" s="1" t="s">
        <v>201</v>
      </c>
      <c r="D169" s="45" t="s">
        <v>172</v>
      </c>
      <c r="E169" s="1" t="s">
        <v>2197</v>
      </c>
      <c r="F169" s="1" t="s">
        <v>2197</v>
      </c>
      <c r="G169" s="1" t="s">
        <v>2197</v>
      </c>
      <c r="H169" s="1" t="s">
        <v>2197</v>
      </c>
      <c r="I169" s="45" t="s">
        <v>2111</v>
      </c>
      <c r="J169" s="1"/>
    </row>
    <row r="170" spans="1:10">
      <c r="A170" s="1" t="s">
        <v>1177</v>
      </c>
      <c r="B170" s="1" t="s">
        <v>1176</v>
      </c>
      <c r="C170" s="1" t="s">
        <v>201</v>
      </c>
      <c r="D170" s="45" t="s">
        <v>172</v>
      </c>
      <c r="E170" s="1" t="s">
        <v>2197</v>
      </c>
      <c r="F170" s="1" t="s">
        <v>2197</v>
      </c>
      <c r="G170" s="1" t="s">
        <v>2197</v>
      </c>
      <c r="H170" s="1" t="s">
        <v>2197</v>
      </c>
      <c r="I170" s="45" t="s">
        <v>2111</v>
      </c>
      <c r="J170" s="1"/>
    </row>
    <row r="171" spans="1:10">
      <c r="A171" s="1" t="s">
        <v>1184</v>
      </c>
      <c r="B171" s="1" t="s">
        <v>1183</v>
      </c>
      <c r="C171" s="1" t="s">
        <v>201</v>
      </c>
      <c r="D171" s="45" t="s">
        <v>172</v>
      </c>
      <c r="E171" s="1" t="s">
        <v>2197</v>
      </c>
      <c r="F171" s="1" t="s">
        <v>2197</v>
      </c>
      <c r="G171" s="1" t="s">
        <v>2197</v>
      </c>
      <c r="H171" s="1" t="s">
        <v>2197</v>
      </c>
      <c r="I171" s="45" t="s">
        <v>2111</v>
      </c>
      <c r="J171" s="1"/>
    </row>
    <row r="172" spans="1:10">
      <c r="A172" s="1" t="s">
        <v>1191</v>
      </c>
      <c r="B172" s="1" t="s">
        <v>1190</v>
      </c>
      <c r="C172" s="1" t="s">
        <v>201</v>
      </c>
      <c r="D172" s="45" t="s">
        <v>172</v>
      </c>
      <c r="E172" s="1" t="s">
        <v>2197</v>
      </c>
      <c r="F172" s="1" t="s">
        <v>2197</v>
      </c>
      <c r="G172" s="1" t="s">
        <v>2197</v>
      </c>
      <c r="H172" s="1" t="s">
        <v>2197</v>
      </c>
      <c r="I172" s="45" t="s">
        <v>2111</v>
      </c>
      <c r="J172" s="1"/>
    </row>
    <row r="173" spans="1:10">
      <c r="A173" s="1" t="s">
        <v>1198</v>
      </c>
      <c r="B173" s="1" t="s">
        <v>1197</v>
      </c>
      <c r="C173" s="1" t="s">
        <v>201</v>
      </c>
      <c r="D173" s="45" t="s">
        <v>172</v>
      </c>
      <c r="E173" s="1" t="s">
        <v>2197</v>
      </c>
      <c r="F173" s="1" t="s">
        <v>2197</v>
      </c>
      <c r="G173" s="1" t="s">
        <v>2197</v>
      </c>
      <c r="H173" s="1" t="s">
        <v>2197</v>
      </c>
      <c r="I173" s="45" t="s">
        <v>2111</v>
      </c>
      <c r="J173" s="1"/>
    </row>
    <row r="174" spans="1:10">
      <c r="A174" s="1" t="s">
        <v>1205</v>
      </c>
      <c r="B174" s="1" t="s">
        <v>1204</v>
      </c>
      <c r="C174" s="1" t="s">
        <v>201</v>
      </c>
      <c r="D174" s="45" t="s">
        <v>172</v>
      </c>
      <c r="E174" s="1" t="s">
        <v>2197</v>
      </c>
      <c r="F174" s="1" t="s">
        <v>2197</v>
      </c>
      <c r="G174" s="1" t="s">
        <v>2197</v>
      </c>
      <c r="H174" s="1" t="s">
        <v>2197</v>
      </c>
      <c r="I174" s="45" t="s">
        <v>2111</v>
      </c>
      <c r="J174" s="1"/>
    </row>
    <row r="175" spans="1:10">
      <c r="A175" s="1" t="s">
        <v>1212</v>
      </c>
      <c r="B175" s="1" t="s">
        <v>1211</v>
      </c>
      <c r="C175" s="1" t="s">
        <v>201</v>
      </c>
      <c r="D175" s="45" t="s">
        <v>172</v>
      </c>
      <c r="E175" s="1" t="s">
        <v>2197</v>
      </c>
      <c r="F175" s="1" t="s">
        <v>2197</v>
      </c>
      <c r="G175" s="1" t="s">
        <v>2197</v>
      </c>
      <c r="H175" s="1" t="s">
        <v>2197</v>
      </c>
      <c r="I175" s="45" t="s">
        <v>2111</v>
      </c>
      <c r="J175" s="1"/>
    </row>
    <row r="176" spans="1:10">
      <c r="A176" s="1" t="s">
        <v>1219</v>
      </c>
      <c r="B176" s="1" t="s">
        <v>1218</v>
      </c>
      <c r="C176" s="1" t="s">
        <v>201</v>
      </c>
      <c r="D176" s="45" t="s">
        <v>172</v>
      </c>
      <c r="E176" s="1" t="s">
        <v>2197</v>
      </c>
      <c r="F176" s="1" t="s">
        <v>2197</v>
      </c>
      <c r="G176" s="1" t="s">
        <v>2197</v>
      </c>
      <c r="H176" s="1" t="s">
        <v>2197</v>
      </c>
      <c r="I176" s="45" t="s">
        <v>2111</v>
      </c>
      <c r="J176" s="1"/>
    </row>
    <row r="177" spans="1:10">
      <c r="A177" s="1" t="s">
        <v>1226</v>
      </c>
      <c r="B177" s="1" t="s">
        <v>1225</v>
      </c>
      <c r="C177" s="1" t="s">
        <v>201</v>
      </c>
      <c r="D177" s="45" t="s">
        <v>172</v>
      </c>
      <c r="E177" s="1" t="s">
        <v>2197</v>
      </c>
      <c r="F177" s="1" t="s">
        <v>2197</v>
      </c>
      <c r="G177" s="1" t="s">
        <v>2197</v>
      </c>
      <c r="H177" s="1" t="s">
        <v>2197</v>
      </c>
      <c r="I177" s="45" t="s">
        <v>2111</v>
      </c>
      <c r="J177" s="1"/>
    </row>
    <row r="178" spans="1:10">
      <c r="A178" s="1" t="s">
        <v>1233</v>
      </c>
      <c r="B178" s="1" t="s">
        <v>1232</v>
      </c>
      <c r="C178" s="1" t="s">
        <v>201</v>
      </c>
      <c r="D178" s="45" t="s">
        <v>172</v>
      </c>
      <c r="E178" s="1" t="s">
        <v>2197</v>
      </c>
      <c r="F178" s="1" t="s">
        <v>2197</v>
      </c>
      <c r="G178" s="1" t="s">
        <v>2197</v>
      </c>
      <c r="H178" s="1" t="s">
        <v>2197</v>
      </c>
      <c r="I178" s="45" t="s">
        <v>2111</v>
      </c>
      <c r="J178" s="1"/>
    </row>
    <row r="179" spans="1:10">
      <c r="A179" s="1" t="s">
        <v>1239</v>
      </c>
      <c r="B179" s="1" t="s">
        <v>1238</v>
      </c>
      <c r="C179" s="1" t="s">
        <v>201</v>
      </c>
      <c r="D179" s="45" t="s">
        <v>172</v>
      </c>
      <c r="E179" s="1" t="s">
        <v>2197</v>
      </c>
      <c r="F179" s="1" t="s">
        <v>2197</v>
      </c>
      <c r="G179" s="1" t="s">
        <v>2197</v>
      </c>
      <c r="H179" s="1" t="s">
        <v>2197</v>
      </c>
      <c r="I179" s="45" t="s">
        <v>2111</v>
      </c>
      <c r="J179" s="1"/>
    </row>
    <row r="180" spans="1:10">
      <c r="A180" s="1" t="s">
        <v>1245</v>
      </c>
      <c r="B180" s="1" t="s">
        <v>1244</v>
      </c>
      <c r="C180" s="1" t="s">
        <v>201</v>
      </c>
      <c r="D180" s="45" t="s">
        <v>172</v>
      </c>
      <c r="E180" s="1" t="s">
        <v>2197</v>
      </c>
      <c r="F180" s="1" t="s">
        <v>2197</v>
      </c>
      <c r="G180" s="1" t="s">
        <v>2197</v>
      </c>
      <c r="H180" s="1" t="s">
        <v>2197</v>
      </c>
      <c r="I180" s="45" t="s">
        <v>2111</v>
      </c>
      <c r="J180" s="1"/>
    </row>
    <row r="181" spans="1:10">
      <c r="A181" s="1" t="s">
        <v>1251</v>
      </c>
      <c r="B181" s="1" t="s">
        <v>1250</v>
      </c>
      <c r="C181" s="1" t="s">
        <v>201</v>
      </c>
      <c r="D181" s="45" t="s">
        <v>172</v>
      </c>
      <c r="E181" s="1" t="s">
        <v>2197</v>
      </c>
      <c r="F181" s="1" t="s">
        <v>2197</v>
      </c>
      <c r="G181" s="1" t="s">
        <v>2197</v>
      </c>
      <c r="H181" s="1" t="s">
        <v>2197</v>
      </c>
      <c r="I181" s="45" t="s">
        <v>2111</v>
      </c>
      <c r="J181" s="1"/>
    </row>
    <row r="182" spans="1:10">
      <c r="A182" s="1" t="s">
        <v>1258</v>
      </c>
      <c r="B182" s="1" t="s">
        <v>1257</v>
      </c>
      <c r="C182" s="1" t="s">
        <v>201</v>
      </c>
      <c r="D182" s="45" t="s">
        <v>172</v>
      </c>
      <c r="E182" s="1" t="s">
        <v>2197</v>
      </c>
      <c r="F182" s="1" t="s">
        <v>2197</v>
      </c>
      <c r="G182" s="1" t="s">
        <v>2197</v>
      </c>
      <c r="H182" s="1" t="s">
        <v>2197</v>
      </c>
      <c r="I182" s="45" t="s">
        <v>2111</v>
      </c>
      <c r="J182" s="1"/>
    </row>
    <row r="183" spans="1:10">
      <c r="A183" s="1" t="s">
        <v>1264</v>
      </c>
      <c r="B183" s="1" t="s">
        <v>1263</v>
      </c>
      <c r="C183" s="1" t="s">
        <v>201</v>
      </c>
      <c r="D183" s="45" t="s">
        <v>172</v>
      </c>
      <c r="E183" s="1" t="s">
        <v>2197</v>
      </c>
      <c r="F183" s="1" t="s">
        <v>2197</v>
      </c>
      <c r="G183" s="1" t="s">
        <v>2197</v>
      </c>
      <c r="H183" s="1" t="s">
        <v>2197</v>
      </c>
      <c r="I183" s="45" t="s">
        <v>2111</v>
      </c>
      <c r="J183" s="1"/>
    </row>
    <row r="184" spans="1:10">
      <c r="A184" s="1" t="s">
        <v>1270</v>
      </c>
      <c r="B184" s="1" t="s">
        <v>1269</v>
      </c>
      <c r="C184" s="1" t="s">
        <v>201</v>
      </c>
      <c r="D184" s="45" t="s">
        <v>172</v>
      </c>
      <c r="E184" s="1" t="s">
        <v>2197</v>
      </c>
      <c r="F184" s="1" t="s">
        <v>2197</v>
      </c>
      <c r="G184" s="1" t="s">
        <v>2197</v>
      </c>
      <c r="H184" s="1" t="s">
        <v>2197</v>
      </c>
      <c r="I184" s="45" t="s">
        <v>2111</v>
      </c>
      <c r="J184" s="1"/>
    </row>
    <row r="185" spans="1:10">
      <c r="A185" s="1" t="s">
        <v>1275</v>
      </c>
      <c r="B185" s="1" t="s">
        <v>1274</v>
      </c>
      <c r="C185" s="1" t="s">
        <v>201</v>
      </c>
      <c r="D185" s="45" t="s">
        <v>172</v>
      </c>
      <c r="E185" s="1" t="s">
        <v>2197</v>
      </c>
      <c r="F185" s="1" t="s">
        <v>2197</v>
      </c>
      <c r="G185" s="1" t="s">
        <v>2197</v>
      </c>
      <c r="H185" s="1" t="s">
        <v>2197</v>
      </c>
      <c r="I185" s="45" t="s">
        <v>2111</v>
      </c>
      <c r="J185" s="1"/>
    </row>
    <row r="186" spans="1:10">
      <c r="A186" s="1" t="s">
        <v>1280</v>
      </c>
      <c r="B186" s="1" t="s">
        <v>1279</v>
      </c>
      <c r="C186" s="1" t="s">
        <v>201</v>
      </c>
      <c r="D186" s="45" t="s">
        <v>172</v>
      </c>
      <c r="E186" s="1" t="s">
        <v>2197</v>
      </c>
      <c r="F186" s="1" t="s">
        <v>2197</v>
      </c>
      <c r="G186" s="1" t="s">
        <v>2197</v>
      </c>
      <c r="H186" s="1" t="s">
        <v>2197</v>
      </c>
      <c r="I186" s="45" t="s">
        <v>2111</v>
      </c>
      <c r="J186" s="1"/>
    </row>
    <row r="187" spans="1:10">
      <c r="A187" s="1" t="s">
        <v>1287</v>
      </c>
      <c r="B187" s="1" t="s">
        <v>1286</v>
      </c>
      <c r="C187" s="1" t="s">
        <v>201</v>
      </c>
      <c r="D187" s="45" t="s">
        <v>172</v>
      </c>
      <c r="E187" s="1" t="s">
        <v>2197</v>
      </c>
      <c r="F187" s="1" t="s">
        <v>2197</v>
      </c>
      <c r="G187" s="1" t="s">
        <v>2197</v>
      </c>
      <c r="H187" s="1" t="s">
        <v>2197</v>
      </c>
      <c r="I187" s="45" t="s">
        <v>2111</v>
      </c>
      <c r="J187" s="1"/>
    </row>
    <row r="188" spans="1:10">
      <c r="A188" s="1" t="s">
        <v>1293</v>
      </c>
      <c r="B188" s="1" t="s">
        <v>1292</v>
      </c>
      <c r="C188" s="1" t="s">
        <v>201</v>
      </c>
      <c r="D188" s="45" t="s">
        <v>172</v>
      </c>
      <c r="E188" s="1" t="s">
        <v>2197</v>
      </c>
      <c r="F188" s="1" t="s">
        <v>2197</v>
      </c>
      <c r="G188" s="1" t="s">
        <v>2197</v>
      </c>
      <c r="H188" s="1" t="s">
        <v>2197</v>
      </c>
      <c r="I188" s="45" t="s">
        <v>2111</v>
      </c>
      <c r="J188" s="1"/>
    </row>
    <row r="189" spans="1:10">
      <c r="A189" s="1" t="s">
        <v>1299</v>
      </c>
      <c r="B189" s="1" t="s">
        <v>1298</v>
      </c>
      <c r="C189" s="1" t="s">
        <v>201</v>
      </c>
      <c r="D189" s="45" t="s">
        <v>172</v>
      </c>
      <c r="E189" s="1" t="s">
        <v>2197</v>
      </c>
      <c r="F189" s="1" t="s">
        <v>2197</v>
      </c>
      <c r="G189" s="1" t="s">
        <v>2197</v>
      </c>
      <c r="H189" s="1" t="s">
        <v>2197</v>
      </c>
      <c r="I189" s="45" t="s">
        <v>2111</v>
      </c>
      <c r="J189" s="1"/>
    </row>
    <row r="190" spans="1:10">
      <c r="A190" s="1" t="s">
        <v>1304</v>
      </c>
      <c r="B190" s="1" t="s">
        <v>1303</v>
      </c>
      <c r="C190" s="1" t="s">
        <v>201</v>
      </c>
      <c r="D190" s="45" t="s">
        <v>172</v>
      </c>
      <c r="E190" s="1" t="s">
        <v>2197</v>
      </c>
      <c r="F190" s="1" t="s">
        <v>2197</v>
      </c>
      <c r="G190" s="1" t="s">
        <v>2197</v>
      </c>
      <c r="H190" s="1" t="s">
        <v>2197</v>
      </c>
      <c r="I190" s="45" t="s">
        <v>2111</v>
      </c>
      <c r="J190" s="1"/>
    </row>
    <row r="191" spans="1:10">
      <c r="A191" s="1" t="s">
        <v>1309</v>
      </c>
      <c r="B191" s="1" t="s">
        <v>1308</v>
      </c>
      <c r="C191" s="1" t="s">
        <v>201</v>
      </c>
      <c r="D191" s="45" t="s">
        <v>172</v>
      </c>
      <c r="E191" s="1" t="s">
        <v>2197</v>
      </c>
      <c r="F191" s="1" t="s">
        <v>2197</v>
      </c>
      <c r="G191" s="1" t="s">
        <v>2197</v>
      </c>
      <c r="H191" s="1" t="s">
        <v>2197</v>
      </c>
      <c r="I191" s="45" t="s">
        <v>2111</v>
      </c>
      <c r="J191" s="1"/>
    </row>
    <row r="192" spans="1:10">
      <c r="A192" s="1" t="s">
        <v>1316</v>
      </c>
      <c r="B192" s="1" t="s">
        <v>1315</v>
      </c>
      <c r="C192" s="1" t="s">
        <v>201</v>
      </c>
      <c r="D192" s="45" t="s">
        <v>172</v>
      </c>
      <c r="E192" s="1" t="s">
        <v>2197</v>
      </c>
      <c r="F192" s="1" t="s">
        <v>2197</v>
      </c>
      <c r="G192" s="1" t="s">
        <v>2197</v>
      </c>
      <c r="H192" s="1" t="s">
        <v>2197</v>
      </c>
      <c r="I192" s="45" t="s">
        <v>2111</v>
      </c>
      <c r="J192" s="1"/>
    </row>
    <row r="193" spans="1:10">
      <c r="A193" s="1" t="s">
        <v>1323</v>
      </c>
      <c r="B193" s="1" t="s">
        <v>1322</v>
      </c>
      <c r="C193" s="1" t="s">
        <v>201</v>
      </c>
      <c r="D193" s="45" t="s">
        <v>172</v>
      </c>
      <c r="E193" s="1" t="s">
        <v>2197</v>
      </c>
      <c r="F193" s="1" t="s">
        <v>2197</v>
      </c>
      <c r="G193" s="1" t="s">
        <v>2197</v>
      </c>
      <c r="H193" s="1" t="s">
        <v>2197</v>
      </c>
      <c r="I193" s="45" t="s">
        <v>2111</v>
      </c>
      <c r="J193" s="1"/>
    </row>
    <row r="194" spans="1:10">
      <c r="A194" s="1" t="s">
        <v>1330</v>
      </c>
      <c r="B194" s="1" t="s">
        <v>1329</v>
      </c>
      <c r="C194" s="1" t="s">
        <v>201</v>
      </c>
      <c r="D194" s="45" t="s">
        <v>172</v>
      </c>
      <c r="E194" s="1" t="s">
        <v>2197</v>
      </c>
      <c r="F194" s="1" t="s">
        <v>2197</v>
      </c>
      <c r="G194" s="1" t="s">
        <v>2197</v>
      </c>
      <c r="H194" s="1" t="s">
        <v>2197</v>
      </c>
      <c r="I194" s="45" t="s">
        <v>2111</v>
      </c>
      <c r="J194" s="1"/>
    </row>
    <row r="195" spans="1:10">
      <c r="A195" s="1" t="s">
        <v>1337</v>
      </c>
      <c r="B195" s="1" t="s">
        <v>1336</v>
      </c>
      <c r="C195" s="1" t="s">
        <v>201</v>
      </c>
      <c r="D195" s="45" t="s">
        <v>172</v>
      </c>
      <c r="E195" s="1" t="s">
        <v>2197</v>
      </c>
      <c r="F195" s="1" t="s">
        <v>2197</v>
      </c>
      <c r="G195" s="1" t="s">
        <v>2197</v>
      </c>
      <c r="H195" s="1" t="s">
        <v>2197</v>
      </c>
      <c r="I195" s="45" t="s">
        <v>2111</v>
      </c>
      <c r="J195" s="1"/>
    </row>
    <row r="196" spans="1:10">
      <c r="A196" s="1" t="s">
        <v>1343</v>
      </c>
      <c r="B196" s="1" t="s">
        <v>1342</v>
      </c>
      <c r="C196" s="1" t="s">
        <v>201</v>
      </c>
      <c r="D196" s="45" t="s">
        <v>172</v>
      </c>
      <c r="E196" s="1" t="s">
        <v>2197</v>
      </c>
      <c r="F196" s="1" t="s">
        <v>2197</v>
      </c>
      <c r="G196" s="1" t="s">
        <v>2197</v>
      </c>
      <c r="H196" s="1" t="s">
        <v>2197</v>
      </c>
      <c r="I196" s="45" t="s">
        <v>2111</v>
      </c>
      <c r="J196" s="1"/>
    </row>
    <row r="197" spans="1:10">
      <c r="A197" s="1" t="s">
        <v>1349</v>
      </c>
      <c r="B197" s="1" t="s">
        <v>1348</v>
      </c>
      <c r="C197" s="1" t="s">
        <v>201</v>
      </c>
      <c r="D197" s="45" t="s">
        <v>172</v>
      </c>
      <c r="E197" s="1" t="s">
        <v>2197</v>
      </c>
      <c r="F197" s="1" t="s">
        <v>2197</v>
      </c>
      <c r="G197" s="1" t="s">
        <v>2197</v>
      </c>
      <c r="H197" s="1" t="s">
        <v>2197</v>
      </c>
      <c r="I197" s="45" t="s">
        <v>2111</v>
      </c>
      <c r="J197" s="1"/>
    </row>
    <row r="198" spans="1:10">
      <c r="A198" s="1" t="s">
        <v>1356</v>
      </c>
      <c r="B198" s="1" t="s">
        <v>1355</v>
      </c>
      <c r="C198" s="1" t="s">
        <v>201</v>
      </c>
      <c r="D198" s="45" t="s">
        <v>172</v>
      </c>
      <c r="E198" s="1" t="s">
        <v>2197</v>
      </c>
      <c r="F198" s="1" t="s">
        <v>2197</v>
      </c>
      <c r="G198" s="1" t="s">
        <v>2197</v>
      </c>
      <c r="H198" s="1" t="s">
        <v>2197</v>
      </c>
      <c r="I198" s="45" t="s">
        <v>2111</v>
      </c>
      <c r="J198" s="1"/>
    </row>
    <row r="199" spans="1:10">
      <c r="A199" s="1" t="s">
        <v>1362</v>
      </c>
      <c r="B199" s="1" t="s">
        <v>1361</v>
      </c>
      <c r="C199" s="1" t="s">
        <v>201</v>
      </c>
      <c r="D199" s="45" t="s">
        <v>172</v>
      </c>
      <c r="E199" s="1" t="s">
        <v>2197</v>
      </c>
      <c r="F199" s="1" t="s">
        <v>2197</v>
      </c>
      <c r="G199" s="1" t="s">
        <v>2197</v>
      </c>
      <c r="H199" s="1" t="s">
        <v>2197</v>
      </c>
      <c r="I199" s="45" t="s">
        <v>2111</v>
      </c>
      <c r="J199" s="1"/>
    </row>
    <row r="200" spans="1:10">
      <c r="A200" s="1" t="s">
        <v>1369</v>
      </c>
      <c r="B200" s="1" t="s">
        <v>1368</v>
      </c>
      <c r="C200" s="1" t="s">
        <v>201</v>
      </c>
      <c r="D200" s="45" t="s">
        <v>172</v>
      </c>
      <c r="E200" s="1" t="s">
        <v>2197</v>
      </c>
      <c r="F200" s="1" t="s">
        <v>2197</v>
      </c>
      <c r="G200" s="1" t="s">
        <v>2197</v>
      </c>
      <c r="H200" s="1" t="s">
        <v>2197</v>
      </c>
      <c r="I200" s="45" t="s">
        <v>2111</v>
      </c>
      <c r="J200" s="1"/>
    </row>
    <row r="201" spans="1:10">
      <c r="A201" s="1" t="s">
        <v>1376</v>
      </c>
      <c r="B201" s="1" t="s">
        <v>1375</v>
      </c>
      <c r="C201" s="1" t="s">
        <v>201</v>
      </c>
      <c r="D201" s="45" t="s">
        <v>172</v>
      </c>
      <c r="E201" s="1" t="s">
        <v>2197</v>
      </c>
      <c r="F201" s="1" t="s">
        <v>2197</v>
      </c>
      <c r="G201" s="1" t="s">
        <v>2197</v>
      </c>
      <c r="H201" s="1" t="s">
        <v>2197</v>
      </c>
      <c r="I201" s="45" t="s">
        <v>2111</v>
      </c>
      <c r="J201" s="1"/>
    </row>
    <row r="202" spans="1:10">
      <c r="A202" s="1" t="s">
        <v>1383</v>
      </c>
      <c r="B202" s="1" t="s">
        <v>1382</v>
      </c>
      <c r="C202" s="1" t="s">
        <v>201</v>
      </c>
      <c r="D202" s="45" t="s">
        <v>172</v>
      </c>
      <c r="E202" s="1" t="s">
        <v>2197</v>
      </c>
      <c r="F202" s="1" t="s">
        <v>2197</v>
      </c>
      <c r="G202" s="1" t="s">
        <v>2197</v>
      </c>
      <c r="H202" s="1" t="s">
        <v>2197</v>
      </c>
      <c r="I202" s="45" t="s">
        <v>2111</v>
      </c>
      <c r="J202" s="1"/>
    </row>
    <row r="203" spans="1:10">
      <c r="A203" s="1" t="s">
        <v>1389</v>
      </c>
      <c r="B203" s="1" t="s">
        <v>1388</v>
      </c>
      <c r="C203" s="1" t="s">
        <v>201</v>
      </c>
      <c r="D203" s="45" t="s">
        <v>172</v>
      </c>
      <c r="E203" s="1" t="s">
        <v>2197</v>
      </c>
      <c r="F203" s="1" t="s">
        <v>2197</v>
      </c>
      <c r="G203" s="1" t="s">
        <v>2197</v>
      </c>
      <c r="H203" s="1" t="s">
        <v>2197</v>
      </c>
      <c r="I203" s="45" t="s">
        <v>2111</v>
      </c>
      <c r="J203" s="1"/>
    </row>
    <row r="204" spans="1:10">
      <c r="A204" s="1" t="s">
        <v>1395</v>
      </c>
      <c r="B204" s="1" t="s">
        <v>1394</v>
      </c>
      <c r="C204" s="1" t="s">
        <v>201</v>
      </c>
      <c r="D204" s="45" t="s">
        <v>172</v>
      </c>
      <c r="E204" s="1" t="s">
        <v>2197</v>
      </c>
      <c r="F204" s="1" t="s">
        <v>2197</v>
      </c>
      <c r="G204" s="1" t="s">
        <v>2197</v>
      </c>
      <c r="H204" s="1" t="s">
        <v>2197</v>
      </c>
      <c r="I204" s="45" t="s">
        <v>2111</v>
      </c>
      <c r="J204" s="1"/>
    </row>
    <row r="205" spans="1:10">
      <c r="A205" s="1" t="s">
        <v>1402</v>
      </c>
      <c r="B205" s="1" t="s">
        <v>1401</v>
      </c>
      <c r="C205" s="1" t="s">
        <v>201</v>
      </c>
      <c r="D205" s="45" t="s">
        <v>172</v>
      </c>
      <c r="E205" s="1" t="s">
        <v>2197</v>
      </c>
      <c r="F205" s="1" t="s">
        <v>2197</v>
      </c>
      <c r="G205" s="1" t="s">
        <v>2197</v>
      </c>
      <c r="H205" s="1" t="s">
        <v>2197</v>
      </c>
      <c r="I205" s="45" t="s">
        <v>2111</v>
      </c>
      <c r="J205" s="1"/>
    </row>
    <row r="206" spans="1:10">
      <c r="A206" s="1" t="s">
        <v>1408</v>
      </c>
      <c r="B206" s="1" t="s">
        <v>1407</v>
      </c>
      <c r="C206" s="1" t="s">
        <v>201</v>
      </c>
      <c r="D206" s="45" t="s">
        <v>172</v>
      </c>
      <c r="E206" s="1" t="s">
        <v>2197</v>
      </c>
      <c r="F206" s="1" t="s">
        <v>2197</v>
      </c>
      <c r="G206" s="1" t="s">
        <v>2197</v>
      </c>
      <c r="H206" s="1" t="s">
        <v>2197</v>
      </c>
      <c r="I206" s="45" t="s">
        <v>2111</v>
      </c>
      <c r="J206" s="1"/>
    </row>
    <row r="207" spans="1:10">
      <c r="A207" s="1" t="s">
        <v>1414</v>
      </c>
      <c r="B207" s="1" t="s">
        <v>1413</v>
      </c>
      <c r="C207" s="1" t="s">
        <v>201</v>
      </c>
      <c r="D207" s="45" t="s">
        <v>172</v>
      </c>
      <c r="E207" s="1" t="s">
        <v>2197</v>
      </c>
      <c r="F207" s="1" t="s">
        <v>2197</v>
      </c>
      <c r="G207" s="1" t="s">
        <v>2197</v>
      </c>
      <c r="H207" s="1" t="s">
        <v>2197</v>
      </c>
      <c r="I207" s="45" t="s">
        <v>2111</v>
      </c>
      <c r="J207" s="1"/>
    </row>
    <row r="208" spans="1:10">
      <c r="A208" s="1" t="s">
        <v>1420</v>
      </c>
      <c r="B208" s="1" t="s">
        <v>1419</v>
      </c>
      <c r="C208" s="1" t="s">
        <v>201</v>
      </c>
      <c r="D208" s="45" t="s">
        <v>172</v>
      </c>
      <c r="E208" s="1" t="s">
        <v>2197</v>
      </c>
      <c r="F208" s="1" t="s">
        <v>2197</v>
      </c>
      <c r="G208" s="1" t="s">
        <v>2197</v>
      </c>
      <c r="H208" s="1" t="s">
        <v>2197</v>
      </c>
      <c r="I208" s="45" t="s">
        <v>2111</v>
      </c>
      <c r="J208" s="1"/>
    </row>
    <row r="209" spans="1:10">
      <c r="A209" s="1" t="s">
        <v>1426</v>
      </c>
      <c r="B209" s="1" t="s">
        <v>1425</v>
      </c>
      <c r="C209" s="1" t="s">
        <v>201</v>
      </c>
      <c r="D209" s="45" t="s">
        <v>172</v>
      </c>
      <c r="E209" s="1" t="s">
        <v>2197</v>
      </c>
      <c r="F209" s="1" t="s">
        <v>2197</v>
      </c>
      <c r="G209" s="1" t="s">
        <v>2197</v>
      </c>
      <c r="H209" s="1" t="s">
        <v>2197</v>
      </c>
      <c r="I209" s="45" t="s">
        <v>2111</v>
      </c>
      <c r="J209" s="1"/>
    </row>
    <row r="210" spans="1:10">
      <c r="A210" s="1" t="s">
        <v>1433</v>
      </c>
      <c r="B210" s="1" t="s">
        <v>1432</v>
      </c>
      <c r="C210" s="1" t="s">
        <v>201</v>
      </c>
      <c r="D210" s="45" t="s">
        <v>172</v>
      </c>
      <c r="E210" s="1" t="s">
        <v>2197</v>
      </c>
      <c r="F210" s="1" t="s">
        <v>2197</v>
      </c>
      <c r="G210" s="1" t="s">
        <v>2197</v>
      </c>
      <c r="H210" s="1" t="s">
        <v>2197</v>
      </c>
      <c r="I210" s="45" t="s">
        <v>2111</v>
      </c>
      <c r="J210" s="1"/>
    </row>
    <row r="211" spans="1:10">
      <c r="A211" s="1" t="s">
        <v>1440</v>
      </c>
      <c r="B211" s="1" t="s">
        <v>1439</v>
      </c>
      <c r="C211" s="1" t="s">
        <v>201</v>
      </c>
      <c r="D211" s="45" t="s">
        <v>172</v>
      </c>
      <c r="E211" s="1" t="s">
        <v>2197</v>
      </c>
      <c r="F211" s="1" t="s">
        <v>2197</v>
      </c>
      <c r="G211" s="1" t="s">
        <v>2197</v>
      </c>
      <c r="H211" s="1" t="s">
        <v>2197</v>
      </c>
      <c r="I211" s="45" t="s">
        <v>2111</v>
      </c>
      <c r="J211" s="1"/>
    </row>
    <row r="212" spans="1:10">
      <c r="A212" s="1" t="s">
        <v>1447</v>
      </c>
      <c r="B212" s="1" t="s">
        <v>1446</v>
      </c>
      <c r="C212" s="1" t="s">
        <v>201</v>
      </c>
      <c r="D212" s="45" t="s">
        <v>172</v>
      </c>
      <c r="E212" s="1" t="s">
        <v>2197</v>
      </c>
      <c r="F212" s="1" t="s">
        <v>2197</v>
      </c>
      <c r="G212" s="1" t="s">
        <v>2197</v>
      </c>
      <c r="H212" s="1" t="s">
        <v>2197</v>
      </c>
      <c r="I212" s="45" t="s">
        <v>2111</v>
      </c>
      <c r="J212" s="1"/>
    </row>
    <row r="213" spans="1:10">
      <c r="A213" s="1" t="s">
        <v>1454</v>
      </c>
      <c r="B213" s="1" t="s">
        <v>1453</v>
      </c>
      <c r="C213" s="1" t="s">
        <v>201</v>
      </c>
      <c r="D213" s="45" t="s">
        <v>172</v>
      </c>
      <c r="E213" s="1" t="s">
        <v>2197</v>
      </c>
      <c r="F213" s="1" t="s">
        <v>2197</v>
      </c>
      <c r="G213" s="1" t="s">
        <v>2197</v>
      </c>
      <c r="H213" s="1" t="s">
        <v>2197</v>
      </c>
      <c r="I213" s="45" t="s">
        <v>2111</v>
      </c>
      <c r="J213" s="1"/>
    </row>
    <row r="214" spans="1:10">
      <c r="A214" s="1" t="s">
        <v>1461</v>
      </c>
      <c r="B214" s="1" t="s">
        <v>1460</v>
      </c>
      <c r="C214" s="1" t="s">
        <v>201</v>
      </c>
      <c r="D214" s="45" t="s">
        <v>172</v>
      </c>
      <c r="E214" s="1" t="s">
        <v>2197</v>
      </c>
      <c r="F214" s="1" t="s">
        <v>2197</v>
      </c>
      <c r="G214" s="1" t="s">
        <v>2197</v>
      </c>
      <c r="H214" s="1" t="s">
        <v>2197</v>
      </c>
      <c r="I214" s="45" t="s">
        <v>2111</v>
      </c>
      <c r="J214" s="1"/>
    </row>
    <row r="215" spans="1:10">
      <c r="A215" s="1" t="s">
        <v>1467</v>
      </c>
      <c r="B215" s="1" t="s">
        <v>1466</v>
      </c>
      <c r="C215" s="1" t="s">
        <v>201</v>
      </c>
      <c r="D215" s="45" t="s">
        <v>172</v>
      </c>
      <c r="E215" s="1" t="s">
        <v>2197</v>
      </c>
      <c r="F215" s="1" t="s">
        <v>2197</v>
      </c>
      <c r="G215" s="1" t="s">
        <v>2197</v>
      </c>
      <c r="H215" s="1" t="s">
        <v>2197</v>
      </c>
      <c r="I215" s="45" t="s">
        <v>2111</v>
      </c>
      <c r="J215" s="1"/>
    </row>
    <row r="216" spans="1:10">
      <c r="A216" s="1" t="s">
        <v>1473</v>
      </c>
      <c r="B216" s="1" t="s">
        <v>1472</v>
      </c>
      <c r="C216" s="1" t="s">
        <v>201</v>
      </c>
      <c r="D216" s="45" t="s">
        <v>172</v>
      </c>
      <c r="E216" s="1" t="s">
        <v>2197</v>
      </c>
      <c r="F216" s="1" t="s">
        <v>2197</v>
      </c>
      <c r="G216" s="1" t="s">
        <v>2197</v>
      </c>
      <c r="H216" s="1" t="s">
        <v>2197</v>
      </c>
      <c r="I216" s="45" t="s">
        <v>2111</v>
      </c>
      <c r="J216" s="1"/>
    </row>
    <row r="217" spans="1:10">
      <c r="A217" s="1" t="s">
        <v>1479</v>
      </c>
      <c r="B217" s="1" t="s">
        <v>1478</v>
      </c>
      <c r="C217" s="1" t="s">
        <v>201</v>
      </c>
      <c r="D217" s="45" t="s">
        <v>172</v>
      </c>
      <c r="E217" s="1" t="s">
        <v>2197</v>
      </c>
      <c r="F217" s="1" t="s">
        <v>2197</v>
      </c>
      <c r="G217" s="1" t="s">
        <v>2197</v>
      </c>
      <c r="H217" s="1" t="s">
        <v>2197</v>
      </c>
      <c r="I217" s="45" t="s">
        <v>2111</v>
      </c>
      <c r="J217" s="1"/>
    </row>
    <row r="218" spans="1:10">
      <c r="A218" s="1" t="s">
        <v>1486</v>
      </c>
      <c r="B218" s="1" t="s">
        <v>1485</v>
      </c>
      <c r="C218" s="1" t="s">
        <v>372</v>
      </c>
      <c r="D218" s="45" t="s">
        <v>172</v>
      </c>
      <c r="E218" s="1" t="s">
        <v>2197</v>
      </c>
      <c r="F218" s="1" t="s">
        <v>2197</v>
      </c>
      <c r="G218" s="1" t="s">
        <v>2197</v>
      </c>
      <c r="H218" s="1" t="s">
        <v>2197</v>
      </c>
      <c r="I218" s="45" t="s">
        <v>2111</v>
      </c>
      <c r="J218" s="1"/>
    </row>
    <row r="219" spans="1:10">
      <c r="A219" s="1" t="s">
        <v>1492</v>
      </c>
      <c r="B219" s="1" t="s">
        <v>1491</v>
      </c>
      <c r="C219" s="1" t="s">
        <v>201</v>
      </c>
      <c r="D219" s="45" t="s">
        <v>172</v>
      </c>
      <c r="E219" s="1" t="s">
        <v>2197</v>
      </c>
      <c r="F219" s="1" t="s">
        <v>2197</v>
      </c>
      <c r="G219" s="1" t="s">
        <v>2197</v>
      </c>
      <c r="H219" s="1" t="s">
        <v>2197</v>
      </c>
      <c r="I219" s="45" t="s">
        <v>2111</v>
      </c>
      <c r="J219" s="1"/>
    </row>
    <row r="220" spans="1:10">
      <c r="A220" s="1" t="s">
        <v>1499</v>
      </c>
      <c r="B220" s="1" t="s">
        <v>1498</v>
      </c>
      <c r="C220" s="1" t="s">
        <v>201</v>
      </c>
      <c r="D220" s="45" t="s">
        <v>172</v>
      </c>
      <c r="E220" s="1" t="s">
        <v>2197</v>
      </c>
      <c r="F220" s="1" t="s">
        <v>2197</v>
      </c>
      <c r="G220" s="1" t="s">
        <v>2197</v>
      </c>
      <c r="H220" s="1" t="s">
        <v>2197</v>
      </c>
      <c r="I220" s="45" t="s">
        <v>2111</v>
      </c>
      <c r="J220" s="1"/>
    </row>
    <row r="221" spans="1:10">
      <c r="A221" s="1" t="s">
        <v>1505</v>
      </c>
      <c r="B221" s="1" t="s">
        <v>1504</v>
      </c>
      <c r="C221" s="1" t="s">
        <v>201</v>
      </c>
      <c r="D221" s="45" t="s">
        <v>172</v>
      </c>
      <c r="E221" s="1" t="s">
        <v>2197</v>
      </c>
      <c r="F221" s="1" t="s">
        <v>2197</v>
      </c>
      <c r="G221" s="1" t="s">
        <v>2197</v>
      </c>
      <c r="H221" s="1" t="s">
        <v>2197</v>
      </c>
      <c r="I221" s="45" t="s">
        <v>2111</v>
      </c>
      <c r="J221" s="1"/>
    </row>
    <row r="222" spans="1:10">
      <c r="A222" s="1" t="s">
        <v>1511</v>
      </c>
      <c r="B222" s="1" t="s">
        <v>1510</v>
      </c>
      <c r="C222" s="1" t="s">
        <v>201</v>
      </c>
      <c r="D222" s="45" t="s">
        <v>172</v>
      </c>
      <c r="E222" s="1" t="s">
        <v>2197</v>
      </c>
      <c r="F222" s="1" t="s">
        <v>2197</v>
      </c>
      <c r="G222" s="1" t="s">
        <v>2197</v>
      </c>
      <c r="H222" s="1" t="s">
        <v>2197</v>
      </c>
      <c r="I222" s="45" t="s">
        <v>2111</v>
      </c>
      <c r="J222" s="1"/>
    </row>
    <row r="223" spans="1:10">
      <c r="A223" s="1" t="s">
        <v>1518</v>
      </c>
      <c r="B223" s="1" t="s">
        <v>1517</v>
      </c>
      <c r="C223" s="1" t="s">
        <v>201</v>
      </c>
      <c r="D223" s="45" t="s">
        <v>172</v>
      </c>
      <c r="E223" s="1" t="s">
        <v>2197</v>
      </c>
      <c r="F223" s="1" t="s">
        <v>2197</v>
      </c>
      <c r="G223" s="1" t="s">
        <v>2197</v>
      </c>
      <c r="H223" s="1" t="s">
        <v>2197</v>
      </c>
      <c r="I223" s="45" t="s">
        <v>2111</v>
      </c>
      <c r="J223" s="1"/>
    </row>
    <row r="224" spans="1:10">
      <c r="A224" s="1" t="s">
        <v>1524</v>
      </c>
      <c r="B224" s="1" t="s">
        <v>1523</v>
      </c>
      <c r="C224" s="1" t="s">
        <v>201</v>
      </c>
      <c r="D224" s="45" t="s">
        <v>172</v>
      </c>
      <c r="E224" s="1" t="s">
        <v>2197</v>
      </c>
      <c r="F224" s="1" t="s">
        <v>2197</v>
      </c>
      <c r="G224" s="1" t="s">
        <v>2197</v>
      </c>
      <c r="H224" s="1" t="s">
        <v>2197</v>
      </c>
      <c r="I224" s="45" t="s">
        <v>2111</v>
      </c>
      <c r="J224" s="1"/>
    </row>
    <row r="225" spans="1:10">
      <c r="A225" s="1" t="s">
        <v>1530</v>
      </c>
      <c r="B225" s="1" t="s">
        <v>1529</v>
      </c>
      <c r="C225" s="1" t="s">
        <v>201</v>
      </c>
      <c r="D225" s="45" t="s">
        <v>172</v>
      </c>
      <c r="E225" s="1" t="s">
        <v>2197</v>
      </c>
      <c r="F225" s="1" t="s">
        <v>2197</v>
      </c>
      <c r="G225" s="1" t="s">
        <v>2197</v>
      </c>
      <c r="H225" s="1" t="s">
        <v>2197</v>
      </c>
      <c r="I225" s="45" t="s">
        <v>2111</v>
      </c>
      <c r="J225" s="1"/>
    </row>
    <row r="226" spans="1:10">
      <c r="A226" s="1" t="s">
        <v>1537</v>
      </c>
      <c r="B226" s="1" t="s">
        <v>1536</v>
      </c>
      <c r="C226" s="1" t="s">
        <v>201</v>
      </c>
      <c r="D226" s="45" t="s">
        <v>172</v>
      </c>
      <c r="E226" s="1" t="s">
        <v>2197</v>
      </c>
      <c r="F226" s="1" t="s">
        <v>2197</v>
      </c>
      <c r="G226" s="1" t="s">
        <v>2197</v>
      </c>
      <c r="H226" s="1" t="s">
        <v>2197</v>
      </c>
      <c r="I226" s="45" t="s">
        <v>2111</v>
      </c>
      <c r="J226" s="1"/>
    </row>
    <row r="227" spans="1:10">
      <c r="A227" s="1" t="s">
        <v>1543</v>
      </c>
      <c r="B227" s="1" t="s">
        <v>1542</v>
      </c>
      <c r="C227" s="1" t="s">
        <v>201</v>
      </c>
      <c r="D227" s="45" t="s">
        <v>172</v>
      </c>
      <c r="E227" s="1" t="s">
        <v>2197</v>
      </c>
      <c r="F227" s="1" t="s">
        <v>2197</v>
      </c>
      <c r="G227" s="1" t="s">
        <v>2197</v>
      </c>
      <c r="H227" s="1" t="s">
        <v>2197</v>
      </c>
      <c r="I227" s="45" t="s">
        <v>2111</v>
      </c>
      <c r="J227" s="1"/>
    </row>
    <row r="228" spans="1:10">
      <c r="A228" s="1" t="s">
        <v>1550</v>
      </c>
      <c r="B228" s="1" t="s">
        <v>1549</v>
      </c>
      <c r="C228" s="1" t="s">
        <v>201</v>
      </c>
      <c r="D228" s="45" t="s">
        <v>172</v>
      </c>
      <c r="E228" s="1" t="s">
        <v>2197</v>
      </c>
      <c r="F228" s="1" t="s">
        <v>2197</v>
      </c>
      <c r="G228" s="1" t="s">
        <v>2197</v>
      </c>
      <c r="H228" s="1" t="s">
        <v>2197</v>
      </c>
      <c r="I228" s="45" t="s">
        <v>2111</v>
      </c>
      <c r="J228" s="1"/>
    </row>
    <row r="229" spans="1:10">
      <c r="A229" s="1" t="s">
        <v>1557</v>
      </c>
      <c r="B229" s="1" t="s">
        <v>1556</v>
      </c>
      <c r="C229" s="1" t="s">
        <v>201</v>
      </c>
      <c r="D229" s="45" t="s">
        <v>172</v>
      </c>
      <c r="E229" s="1" t="s">
        <v>2197</v>
      </c>
      <c r="F229" s="1" t="s">
        <v>2197</v>
      </c>
      <c r="G229" s="1" t="s">
        <v>2197</v>
      </c>
      <c r="H229" s="1" t="s">
        <v>2197</v>
      </c>
      <c r="I229" s="45" t="s">
        <v>2111</v>
      </c>
      <c r="J229" s="1"/>
    </row>
    <row r="230" spans="1:10">
      <c r="A230" s="1" t="s">
        <v>1564</v>
      </c>
      <c r="B230" s="1" t="s">
        <v>1563</v>
      </c>
      <c r="C230" s="1" t="s">
        <v>201</v>
      </c>
      <c r="D230" s="45" t="s">
        <v>172</v>
      </c>
      <c r="E230" s="1" t="s">
        <v>2197</v>
      </c>
      <c r="F230" s="1" t="s">
        <v>2197</v>
      </c>
      <c r="G230" s="1" t="s">
        <v>2197</v>
      </c>
      <c r="H230" s="1" t="s">
        <v>2197</v>
      </c>
      <c r="I230" s="45" t="s">
        <v>2111</v>
      </c>
      <c r="J230" s="1"/>
    </row>
    <row r="231" spans="1:10">
      <c r="A231" s="1" t="s">
        <v>1571</v>
      </c>
      <c r="B231" s="1" t="s">
        <v>1570</v>
      </c>
      <c r="C231" s="1" t="s">
        <v>201</v>
      </c>
      <c r="D231" s="45" t="s">
        <v>172</v>
      </c>
      <c r="E231" s="1" t="s">
        <v>2197</v>
      </c>
      <c r="F231" s="1" t="s">
        <v>2197</v>
      </c>
      <c r="G231" s="1" t="s">
        <v>2197</v>
      </c>
      <c r="H231" s="1" t="s">
        <v>2197</v>
      </c>
      <c r="I231" s="45" t="s">
        <v>2111</v>
      </c>
      <c r="J231" s="1"/>
    </row>
    <row r="232" spans="1:10">
      <c r="A232" s="1" t="s">
        <v>1577</v>
      </c>
      <c r="B232" s="1" t="s">
        <v>1576</v>
      </c>
      <c r="C232" s="1" t="s">
        <v>201</v>
      </c>
      <c r="D232" s="45" t="s">
        <v>172</v>
      </c>
      <c r="E232" s="1" t="s">
        <v>2197</v>
      </c>
      <c r="F232" s="1" t="s">
        <v>2197</v>
      </c>
      <c r="G232" s="1" t="s">
        <v>2197</v>
      </c>
      <c r="H232" s="1" t="s">
        <v>2197</v>
      </c>
      <c r="I232" s="45" t="s">
        <v>2111</v>
      </c>
      <c r="J232" s="1"/>
    </row>
    <row r="233" spans="1:10">
      <c r="A233" s="1" t="s">
        <v>1583</v>
      </c>
      <c r="B233" s="1" t="s">
        <v>1582</v>
      </c>
      <c r="C233" s="1" t="s">
        <v>201</v>
      </c>
      <c r="D233" s="45" t="s">
        <v>172</v>
      </c>
      <c r="E233" s="1" t="s">
        <v>2197</v>
      </c>
      <c r="F233" s="1" t="s">
        <v>2197</v>
      </c>
      <c r="G233" s="1" t="s">
        <v>2197</v>
      </c>
      <c r="H233" s="1" t="s">
        <v>2197</v>
      </c>
      <c r="I233" s="45" t="s">
        <v>2111</v>
      </c>
      <c r="J233" s="1"/>
    </row>
    <row r="234" spans="1:10">
      <c r="A234" s="1" t="s">
        <v>1590</v>
      </c>
      <c r="B234" s="1" t="s">
        <v>1589</v>
      </c>
      <c r="C234" s="1" t="s">
        <v>567</v>
      </c>
      <c r="D234" s="45" t="s">
        <v>172</v>
      </c>
      <c r="E234" s="1" t="s">
        <v>2197</v>
      </c>
      <c r="F234" s="1" t="s">
        <v>2197</v>
      </c>
      <c r="G234" s="1" t="s">
        <v>2197</v>
      </c>
      <c r="H234" s="1" t="s">
        <v>2197</v>
      </c>
      <c r="I234" s="45" t="s">
        <v>2111</v>
      </c>
      <c r="J234" s="1"/>
    </row>
    <row r="235" spans="1:10">
      <c r="A235" s="1" t="s">
        <v>1597</v>
      </c>
      <c r="B235" s="1" t="s">
        <v>1596</v>
      </c>
      <c r="C235" s="1" t="s">
        <v>372</v>
      </c>
      <c r="D235" s="45" t="s">
        <v>172</v>
      </c>
      <c r="E235" s="1" t="s">
        <v>2197</v>
      </c>
      <c r="F235" s="1" t="s">
        <v>2197</v>
      </c>
      <c r="G235" s="1" t="s">
        <v>2197</v>
      </c>
      <c r="H235" s="1" t="s">
        <v>2197</v>
      </c>
      <c r="I235" s="45" t="s">
        <v>2111</v>
      </c>
      <c r="J235" s="1"/>
    </row>
    <row r="236" spans="1:10">
      <c r="A236" s="1" t="s">
        <v>1603</v>
      </c>
      <c r="B236" s="1" t="s">
        <v>1602</v>
      </c>
      <c r="C236" s="1" t="s">
        <v>567</v>
      </c>
      <c r="D236" s="45" t="s">
        <v>172</v>
      </c>
      <c r="E236" s="1" t="s">
        <v>2197</v>
      </c>
      <c r="F236" s="1" t="s">
        <v>2197</v>
      </c>
      <c r="G236" s="1" t="s">
        <v>2197</v>
      </c>
      <c r="H236" s="1" t="s">
        <v>2197</v>
      </c>
      <c r="I236" s="45" t="s">
        <v>2111</v>
      </c>
      <c r="J236" s="1"/>
    </row>
    <row r="237" spans="1:10">
      <c r="A237" s="1" t="s">
        <v>1610</v>
      </c>
      <c r="B237" s="1" t="s">
        <v>1609</v>
      </c>
      <c r="C237" s="1" t="s">
        <v>201</v>
      </c>
      <c r="D237" s="45" t="s">
        <v>172</v>
      </c>
      <c r="E237" s="1" t="s">
        <v>2197</v>
      </c>
      <c r="F237" s="1" t="s">
        <v>2197</v>
      </c>
      <c r="G237" s="1" t="s">
        <v>2197</v>
      </c>
      <c r="H237" s="1" t="s">
        <v>2197</v>
      </c>
      <c r="I237" s="45" t="s">
        <v>2111</v>
      </c>
      <c r="J237" s="1"/>
    </row>
    <row r="238" spans="1:10">
      <c r="A238" s="1" t="s">
        <v>1617</v>
      </c>
      <c r="B238" s="1" t="s">
        <v>1616</v>
      </c>
      <c r="C238" s="1" t="s">
        <v>201</v>
      </c>
      <c r="D238" s="45" t="s">
        <v>172</v>
      </c>
      <c r="E238" s="1" t="s">
        <v>2197</v>
      </c>
      <c r="F238" s="1" t="s">
        <v>2197</v>
      </c>
      <c r="G238" s="1" t="s">
        <v>2197</v>
      </c>
      <c r="H238" s="1" t="s">
        <v>2197</v>
      </c>
      <c r="I238" s="45" t="s">
        <v>2111</v>
      </c>
      <c r="J238" s="1"/>
    </row>
    <row r="239" spans="1:10">
      <c r="A239" s="1" t="s">
        <v>1624</v>
      </c>
      <c r="B239" s="1" t="s">
        <v>1623</v>
      </c>
      <c r="C239" s="1" t="s">
        <v>201</v>
      </c>
      <c r="D239" s="45" t="s">
        <v>172</v>
      </c>
      <c r="E239" s="1" t="s">
        <v>2197</v>
      </c>
      <c r="F239" s="1" t="s">
        <v>2197</v>
      </c>
      <c r="G239" s="1" t="s">
        <v>2197</v>
      </c>
      <c r="H239" s="1" t="s">
        <v>2197</v>
      </c>
      <c r="I239" s="45" t="s">
        <v>2111</v>
      </c>
      <c r="J239" s="1"/>
    </row>
    <row r="240" spans="1:10">
      <c r="A240" s="1" t="s">
        <v>1631</v>
      </c>
      <c r="B240" s="1" t="s">
        <v>1630</v>
      </c>
      <c r="C240" s="1" t="s">
        <v>201</v>
      </c>
      <c r="D240" s="45" t="s">
        <v>172</v>
      </c>
      <c r="E240" s="1" t="s">
        <v>2197</v>
      </c>
      <c r="F240" s="1" t="s">
        <v>2197</v>
      </c>
      <c r="G240" s="1" t="s">
        <v>2197</v>
      </c>
      <c r="H240" s="1" t="s">
        <v>2197</v>
      </c>
      <c r="I240" s="45" t="s">
        <v>2111</v>
      </c>
      <c r="J240" s="1"/>
    </row>
    <row r="241" spans="1:10">
      <c r="A241" s="1" t="s">
        <v>1637</v>
      </c>
      <c r="B241" s="1" t="s">
        <v>1636</v>
      </c>
      <c r="C241" s="1" t="s">
        <v>201</v>
      </c>
      <c r="D241" s="45" t="s">
        <v>172</v>
      </c>
      <c r="E241" s="1" t="s">
        <v>2197</v>
      </c>
      <c r="F241" s="1" t="s">
        <v>2197</v>
      </c>
      <c r="G241" s="1" t="s">
        <v>2197</v>
      </c>
      <c r="H241" s="1" t="s">
        <v>2197</v>
      </c>
      <c r="I241" s="45" t="s">
        <v>2111</v>
      </c>
      <c r="J241" s="1"/>
    </row>
    <row r="242" spans="1:10">
      <c r="A242" s="1" t="s">
        <v>1643</v>
      </c>
      <c r="B242" s="1" t="s">
        <v>1642</v>
      </c>
      <c r="C242" s="1" t="s">
        <v>201</v>
      </c>
      <c r="D242" s="45" t="s">
        <v>172</v>
      </c>
      <c r="E242" s="1" t="s">
        <v>2197</v>
      </c>
      <c r="F242" s="1" t="s">
        <v>2197</v>
      </c>
      <c r="G242" s="1" t="s">
        <v>2197</v>
      </c>
      <c r="H242" s="1" t="s">
        <v>2197</v>
      </c>
      <c r="I242" s="45" t="s">
        <v>2111</v>
      </c>
      <c r="J242" s="1"/>
    </row>
    <row r="243" spans="1:10">
      <c r="A243" s="1" t="s">
        <v>1650</v>
      </c>
      <c r="B243" s="1" t="s">
        <v>1649</v>
      </c>
      <c r="C243" s="1" t="s">
        <v>567</v>
      </c>
      <c r="D243" s="45" t="s">
        <v>172</v>
      </c>
      <c r="E243" s="1" t="s">
        <v>2197</v>
      </c>
      <c r="F243" s="1" t="s">
        <v>2197</v>
      </c>
      <c r="G243" s="1" t="s">
        <v>2197</v>
      </c>
      <c r="H243" s="1" t="s">
        <v>2197</v>
      </c>
      <c r="I243" s="45" t="s">
        <v>2111</v>
      </c>
      <c r="J243" s="1"/>
    </row>
    <row r="244" spans="1:10">
      <c r="A244" s="1" t="s">
        <v>1656</v>
      </c>
      <c r="B244" s="1" t="s">
        <v>1655</v>
      </c>
      <c r="C244" s="1" t="s">
        <v>201</v>
      </c>
      <c r="D244" s="45" t="s">
        <v>172</v>
      </c>
      <c r="E244" s="1" t="s">
        <v>2197</v>
      </c>
      <c r="F244" s="1" t="s">
        <v>2197</v>
      </c>
      <c r="G244" s="1" t="s">
        <v>2197</v>
      </c>
      <c r="H244" s="1" t="s">
        <v>2197</v>
      </c>
      <c r="I244" s="45" t="s">
        <v>2111</v>
      </c>
      <c r="J244" s="1"/>
    </row>
    <row r="245" spans="1:10">
      <c r="A245" s="1" t="s">
        <v>1663</v>
      </c>
      <c r="B245" s="1" t="s">
        <v>1662</v>
      </c>
      <c r="C245" s="1" t="s">
        <v>201</v>
      </c>
      <c r="D245" s="45" t="s">
        <v>172</v>
      </c>
      <c r="E245" s="1" t="s">
        <v>2197</v>
      </c>
      <c r="F245" s="1" t="s">
        <v>2197</v>
      </c>
      <c r="G245" s="1" t="s">
        <v>2197</v>
      </c>
      <c r="H245" s="1" t="s">
        <v>2197</v>
      </c>
      <c r="I245" s="45" t="s">
        <v>2111</v>
      </c>
      <c r="J245" s="1"/>
    </row>
    <row r="246" spans="1:10">
      <c r="A246" s="1" t="s">
        <v>1670</v>
      </c>
      <c r="B246" s="1" t="s">
        <v>1669</v>
      </c>
      <c r="C246" s="1" t="s">
        <v>201</v>
      </c>
      <c r="D246" s="45" t="s">
        <v>172</v>
      </c>
      <c r="E246" s="1" t="s">
        <v>2197</v>
      </c>
      <c r="F246" s="1" t="s">
        <v>2197</v>
      </c>
      <c r="G246" s="1" t="s">
        <v>2197</v>
      </c>
      <c r="H246" s="1" t="s">
        <v>2197</v>
      </c>
      <c r="I246" s="45" t="s">
        <v>2111</v>
      </c>
      <c r="J246" s="1"/>
    </row>
    <row r="247" spans="1:10">
      <c r="A247" s="1" t="s">
        <v>1677</v>
      </c>
      <c r="B247" s="1" t="s">
        <v>1676</v>
      </c>
      <c r="C247" s="1" t="s">
        <v>201</v>
      </c>
      <c r="D247" s="45" t="s">
        <v>172</v>
      </c>
      <c r="E247" s="1" t="s">
        <v>2197</v>
      </c>
      <c r="F247" s="1" t="s">
        <v>2197</v>
      </c>
      <c r="G247" s="1" t="s">
        <v>2197</v>
      </c>
      <c r="H247" s="1" t="s">
        <v>2197</v>
      </c>
      <c r="I247" s="45" t="s">
        <v>2111</v>
      </c>
      <c r="J247" s="1"/>
    </row>
    <row r="248" spans="1:10">
      <c r="A248" s="1" t="s">
        <v>1684</v>
      </c>
      <c r="B248" s="1" t="s">
        <v>1683</v>
      </c>
      <c r="C248" s="1" t="s">
        <v>201</v>
      </c>
      <c r="D248" s="45" t="s">
        <v>172</v>
      </c>
      <c r="E248" s="1" t="s">
        <v>2197</v>
      </c>
      <c r="F248" s="1" t="s">
        <v>2197</v>
      </c>
      <c r="G248" s="1" t="s">
        <v>2197</v>
      </c>
      <c r="H248" s="1" t="s">
        <v>2197</v>
      </c>
      <c r="I248" s="45" t="s">
        <v>2111</v>
      </c>
      <c r="J248" s="1"/>
    </row>
    <row r="249" spans="1:10">
      <c r="A249" s="1" t="s">
        <v>1691</v>
      </c>
      <c r="B249" s="1" t="s">
        <v>1690</v>
      </c>
      <c r="C249" s="1" t="s">
        <v>201</v>
      </c>
      <c r="D249" s="45" t="s">
        <v>172</v>
      </c>
      <c r="E249" s="1" t="s">
        <v>2197</v>
      </c>
      <c r="F249" s="1" t="s">
        <v>2197</v>
      </c>
      <c r="G249" s="1" t="s">
        <v>2197</v>
      </c>
      <c r="H249" s="1" t="s">
        <v>2197</v>
      </c>
      <c r="I249" s="45" t="s">
        <v>2111</v>
      </c>
      <c r="J249" s="1"/>
    </row>
    <row r="250" spans="1:10">
      <c r="A250" s="1" t="s">
        <v>1696</v>
      </c>
      <c r="B250" s="1" t="s">
        <v>1695</v>
      </c>
      <c r="C250" s="1" t="s">
        <v>567</v>
      </c>
      <c r="D250" s="45" t="s">
        <v>172</v>
      </c>
      <c r="E250" s="1" t="s">
        <v>2197</v>
      </c>
      <c r="F250" s="1" t="s">
        <v>2197</v>
      </c>
      <c r="G250" s="1" t="s">
        <v>2197</v>
      </c>
      <c r="H250" s="1" t="s">
        <v>2197</v>
      </c>
      <c r="I250" s="45" t="s">
        <v>2111</v>
      </c>
      <c r="J250" s="1"/>
    </row>
    <row r="251" spans="1:10">
      <c r="A251" s="1" t="s">
        <v>1701</v>
      </c>
      <c r="B251" s="1" t="s">
        <v>1700</v>
      </c>
      <c r="C251" s="1" t="s">
        <v>201</v>
      </c>
      <c r="D251" s="45" t="s">
        <v>172</v>
      </c>
      <c r="E251" s="1" t="s">
        <v>2197</v>
      </c>
      <c r="F251" s="1" t="s">
        <v>2197</v>
      </c>
      <c r="G251" s="1" t="s">
        <v>2197</v>
      </c>
      <c r="H251" s="1" t="s">
        <v>2197</v>
      </c>
      <c r="I251" s="45" t="s">
        <v>2111</v>
      </c>
      <c r="J251" s="1"/>
    </row>
    <row r="252" spans="1:10">
      <c r="A252" s="1" t="s">
        <v>1708</v>
      </c>
      <c r="B252" s="1" t="s">
        <v>1707</v>
      </c>
      <c r="C252" s="1" t="s">
        <v>201</v>
      </c>
      <c r="D252" s="45" t="s">
        <v>172</v>
      </c>
      <c r="E252" s="1" t="s">
        <v>2197</v>
      </c>
      <c r="F252" s="1" t="s">
        <v>2197</v>
      </c>
      <c r="G252" s="1" t="s">
        <v>2197</v>
      </c>
      <c r="H252" s="1" t="s">
        <v>2197</v>
      </c>
      <c r="I252" s="45" t="s">
        <v>2111</v>
      </c>
      <c r="J252" s="1"/>
    </row>
    <row r="253" spans="1:10">
      <c r="A253" s="1" t="s">
        <v>1714</v>
      </c>
      <c r="B253" s="1" t="s">
        <v>1713</v>
      </c>
      <c r="C253" s="1" t="s">
        <v>201</v>
      </c>
      <c r="D253" s="45" t="s">
        <v>172</v>
      </c>
      <c r="E253" s="1" t="s">
        <v>2197</v>
      </c>
      <c r="F253" s="1" t="s">
        <v>2197</v>
      </c>
      <c r="G253" s="1" t="s">
        <v>2197</v>
      </c>
      <c r="H253" s="1" t="s">
        <v>2197</v>
      </c>
      <c r="I253" s="45" t="s">
        <v>2111</v>
      </c>
      <c r="J253" s="1"/>
    </row>
    <row r="254" spans="1:10">
      <c r="A254" s="1" t="s">
        <v>1721</v>
      </c>
      <c r="B254" s="1" t="s">
        <v>1720</v>
      </c>
      <c r="C254" s="1" t="s">
        <v>201</v>
      </c>
      <c r="D254" s="45" t="s">
        <v>172</v>
      </c>
      <c r="E254" s="1" t="s">
        <v>2197</v>
      </c>
      <c r="F254" s="1" t="s">
        <v>2197</v>
      </c>
      <c r="G254" s="1" t="s">
        <v>2197</v>
      </c>
      <c r="H254" s="1" t="s">
        <v>2197</v>
      </c>
      <c r="I254" s="45" t="s">
        <v>2111</v>
      </c>
      <c r="J254" s="1"/>
    </row>
    <row r="255" spans="1:10">
      <c r="A255" s="1" t="s">
        <v>1728</v>
      </c>
      <c r="B255" s="1" t="s">
        <v>1727</v>
      </c>
      <c r="C255" s="1" t="s">
        <v>201</v>
      </c>
      <c r="D255" s="45" t="s">
        <v>172</v>
      </c>
      <c r="E255" s="1" t="s">
        <v>2197</v>
      </c>
      <c r="F255" s="1" t="s">
        <v>2197</v>
      </c>
      <c r="G255" s="1" t="s">
        <v>2197</v>
      </c>
      <c r="H255" s="1" t="s">
        <v>2197</v>
      </c>
      <c r="I255" s="45" t="s">
        <v>2111</v>
      </c>
      <c r="J255" s="1"/>
    </row>
    <row r="256" spans="1:10">
      <c r="A256" s="1" t="s">
        <v>1734</v>
      </c>
      <c r="B256" s="1" t="s">
        <v>1733</v>
      </c>
      <c r="C256" s="1" t="s">
        <v>201</v>
      </c>
      <c r="D256" s="45" t="s">
        <v>172</v>
      </c>
      <c r="E256" s="1" t="s">
        <v>2197</v>
      </c>
      <c r="F256" s="1" t="s">
        <v>2197</v>
      </c>
      <c r="G256" s="1" t="s">
        <v>2197</v>
      </c>
      <c r="H256" s="1" t="s">
        <v>2197</v>
      </c>
      <c r="I256" s="45" t="s">
        <v>2111</v>
      </c>
      <c r="J256" s="1"/>
    </row>
    <row r="257" spans="1:10">
      <c r="A257" s="1" t="s">
        <v>1740</v>
      </c>
      <c r="B257" s="1" t="s">
        <v>1739</v>
      </c>
      <c r="C257" s="1" t="s">
        <v>201</v>
      </c>
      <c r="D257" s="45" t="s">
        <v>172</v>
      </c>
      <c r="E257" s="1" t="s">
        <v>2197</v>
      </c>
      <c r="F257" s="1" t="s">
        <v>2197</v>
      </c>
      <c r="G257" s="1" t="s">
        <v>2197</v>
      </c>
      <c r="H257" s="1" t="s">
        <v>2197</v>
      </c>
      <c r="I257" s="45" t="s">
        <v>2111</v>
      </c>
      <c r="J257" s="1"/>
    </row>
    <row r="258" spans="1:10">
      <c r="A258" s="1" t="s">
        <v>1746</v>
      </c>
      <c r="B258" s="1" t="s">
        <v>1745</v>
      </c>
      <c r="C258" s="1" t="s">
        <v>201</v>
      </c>
      <c r="D258" s="45" t="s">
        <v>172</v>
      </c>
      <c r="E258" s="1" t="s">
        <v>2197</v>
      </c>
      <c r="F258" s="1" t="s">
        <v>2197</v>
      </c>
      <c r="G258" s="1" t="s">
        <v>2197</v>
      </c>
      <c r="H258" s="1" t="s">
        <v>2197</v>
      </c>
      <c r="I258" s="45" t="s">
        <v>2111</v>
      </c>
      <c r="J258" s="1"/>
    </row>
    <row r="259" spans="1:10">
      <c r="A259" s="1" t="s">
        <v>1752</v>
      </c>
      <c r="B259" s="1" t="s">
        <v>1751</v>
      </c>
      <c r="C259" s="1" t="s">
        <v>201</v>
      </c>
      <c r="D259" s="45" t="s">
        <v>172</v>
      </c>
      <c r="E259" s="1" t="s">
        <v>2197</v>
      </c>
      <c r="F259" s="1" t="s">
        <v>2197</v>
      </c>
      <c r="G259" s="1" t="s">
        <v>2197</v>
      </c>
      <c r="H259" s="1" t="s">
        <v>2197</v>
      </c>
      <c r="I259" s="45" t="s">
        <v>2111</v>
      </c>
      <c r="J259" s="1"/>
    </row>
    <row r="260" spans="1:10">
      <c r="A260" s="1" t="s">
        <v>1759</v>
      </c>
      <c r="B260" s="1" t="s">
        <v>1758</v>
      </c>
      <c r="C260" s="1" t="s">
        <v>201</v>
      </c>
      <c r="D260" s="45" t="s">
        <v>172</v>
      </c>
      <c r="E260" s="1" t="s">
        <v>2197</v>
      </c>
      <c r="F260" s="1" t="s">
        <v>2197</v>
      </c>
      <c r="G260" s="1" t="s">
        <v>2197</v>
      </c>
      <c r="H260" s="1" t="s">
        <v>2197</v>
      </c>
      <c r="I260" s="45" t="s">
        <v>2111</v>
      </c>
      <c r="J260" s="1"/>
    </row>
    <row r="261" spans="1:10">
      <c r="A261" s="1" t="s">
        <v>1766</v>
      </c>
      <c r="B261" s="1" t="s">
        <v>1765</v>
      </c>
      <c r="C261" s="1" t="s">
        <v>201</v>
      </c>
      <c r="D261" s="45" t="s">
        <v>172</v>
      </c>
      <c r="E261" s="1" t="s">
        <v>2197</v>
      </c>
      <c r="F261" s="1" t="s">
        <v>2197</v>
      </c>
      <c r="G261" s="1" t="s">
        <v>2197</v>
      </c>
      <c r="H261" s="1" t="s">
        <v>2197</v>
      </c>
      <c r="I261" s="45" t="s">
        <v>2111</v>
      </c>
      <c r="J261" s="1"/>
    </row>
    <row r="262" spans="1:10">
      <c r="A262" s="1" t="s">
        <v>1773</v>
      </c>
      <c r="B262" s="1" t="s">
        <v>1772</v>
      </c>
      <c r="C262" s="1" t="s">
        <v>201</v>
      </c>
      <c r="D262" s="45" t="s">
        <v>172</v>
      </c>
      <c r="E262" s="1" t="s">
        <v>2197</v>
      </c>
      <c r="F262" s="1" t="s">
        <v>2197</v>
      </c>
      <c r="G262" s="1" t="s">
        <v>2197</v>
      </c>
      <c r="H262" s="1" t="s">
        <v>2197</v>
      </c>
      <c r="I262" s="45" t="s">
        <v>2111</v>
      </c>
      <c r="J262" s="1"/>
    </row>
    <row r="263" spans="1:10">
      <c r="A263" s="1" t="s">
        <v>1779</v>
      </c>
      <c r="B263" s="1" t="s">
        <v>1778</v>
      </c>
      <c r="C263" s="1" t="s">
        <v>201</v>
      </c>
      <c r="D263" s="45" t="s">
        <v>172</v>
      </c>
      <c r="E263" s="1" t="s">
        <v>2197</v>
      </c>
      <c r="F263" s="1" t="s">
        <v>2197</v>
      </c>
      <c r="G263" s="1" t="s">
        <v>2197</v>
      </c>
      <c r="H263" s="1" t="s">
        <v>2197</v>
      </c>
      <c r="I263" s="45" t="s">
        <v>2111</v>
      </c>
      <c r="J263" s="1"/>
    </row>
    <row r="264" spans="1:10">
      <c r="A264" s="1" t="s">
        <v>1785</v>
      </c>
      <c r="B264" s="1" t="s">
        <v>1784</v>
      </c>
      <c r="C264" s="1" t="s">
        <v>201</v>
      </c>
      <c r="D264" s="45" t="s">
        <v>172</v>
      </c>
      <c r="E264" s="1" t="s">
        <v>2197</v>
      </c>
      <c r="F264" s="1" t="s">
        <v>2197</v>
      </c>
      <c r="G264" s="1" t="s">
        <v>2197</v>
      </c>
      <c r="H264" s="1" t="s">
        <v>2197</v>
      </c>
      <c r="I264" s="45" t="s">
        <v>2111</v>
      </c>
      <c r="J264" s="1"/>
    </row>
    <row r="265" spans="1:10">
      <c r="A265" s="1" t="s">
        <v>1792</v>
      </c>
      <c r="B265" s="1" t="s">
        <v>1791</v>
      </c>
      <c r="C265" s="1" t="s">
        <v>201</v>
      </c>
      <c r="D265" s="45" t="s">
        <v>172</v>
      </c>
      <c r="E265" s="1" t="s">
        <v>2197</v>
      </c>
      <c r="F265" s="1" t="s">
        <v>2197</v>
      </c>
      <c r="G265" s="1" t="s">
        <v>2197</v>
      </c>
      <c r="H265" s="1" t="s">
        <v>2197</v>
      </c>
      <c r="I265" s="45" t="s">
        <v>2111</v>
      </c>
      <c r="J265" s="1"/>
    </row>
    <row r="266" spans="1:10">
      <c r="A266" s="1" t="s">
        <v>1799</v>
      </c>
      <c r="B266" s="1" t="s">
        <v>1798</v>
      </c>
      <c r="C266" s="1" t="s">
        <v>201</v>
      </c>
      <c r="D266" s="45" t="s">
        <v>172</v>
      </c>
      <c r="E266" s="1" t="s">
        <v>2197</v>
      </c>
      <c r="F266" s="1" t="s">
        <v>2197</v>
      </c>
      <c r="G266" s="1" t="s">
        <v>2197</v>
      </c>
      <c r="H266" s="1" t="s">
        <v>2197</v>
      </c>
      <c r="I266" s="45" t="s">
        <v>2111</v>
      </c>
      <c r="J266" s="1"/>
    </row>
    <row r="267" spans="1:10">
      <c r="A267" s="1" t="s">
        <v>1806</v>
      </c>
      <c r="B267" s="1" t="s">
        <v>1805</v>
      </c>
      <c r="C267" s="1" t="s">
        <v>201</v>
      </c>
      <c r="D267" s="45" t="s">
        <v>172</v>
      </c>
      <c r="E267" s="1" t="s">
        <v>2197</v>
      </c>
      <c r="F267" s="1" t="s">
        <v>2197</v>
      </c>
      <c r="G267" s="1" t="s">
        <v>2197</v>
      </c>
      <c r="H267" s="1" t="s">
        <v>2197</v>
      </c>
      <c r="I267" s="45" t="s">
        <v>2111</v>
      </c>
      <c r="J267" s="1"/>
    </row>
    <row r="268" spans="1:10">
      <c r="A268" s="1" t="s">
        <v>1813</v>
      </c>
      <c r="B268" s="1" t="s">
        <v>1812</v>
      </c>
      <c r="C268" s="1" t="s">
        <v>201</v>
      </c>
      <c r="D268" s="45" t="s">
        <v>172</v>
      </c>
      <c r="E268" s="1" t="s">
        <v>2197</v>
      </c>
      <c r="F268" s="1" t="s">
        <v>2197</v>
      </c>
      <c r="G268" s="1" t="s">
        <v>2197</v>
      </c>
      <c r="H268" s="1" t="s">
        <v>2197</v>
      </c>
      <c r="I268" s="45" t="s">
        <v>2111</v>
      </c>
      <c r="J268" s="1"/>
    </row>
    <row r="269" spans="1:10">
      <c r="A269" s="1" t="s">
        <v>1820</v>
      </c>
      <c r="B269" s="1" t="s">
        <v>1819</v>
      </c>
      <c r="C269" s="1" t="s">
        <v>201</v>
      </c>
      <c r="D269" s="45" t="s">
        <v>172</v>
      </c>
      <c r="E269" s="1" t="s">
        <v>2197</v>
      </c>
      <c r="F269" s="1" t="s">
        <v>2197</v>
      </c>
      <c r="G269" s="1" t="s">
        <v>2197</v>
      </c>
      <c r="H269" s="1" t="s">
        <v>2197</v>
      </c>
      <c r="I269" s="45" t="s">
        <v>2111</v>
      </c>
      <c r="J269" s="1"/>
    </row>
    <row r="270" spans="1:10">
      <c r="A270" s="1" t="s">
        <v>1827</v>
      </c>
      <c r="B270" s="1" t="s">
        <v>1826</v>
      </c>
      <c r="C270" s="1" t="s">
        <v>201</v>
      </c>
      <c r="D270" s="45" t="s">
        <v>172</v>
      </c>
      <c r="E270" s="1" t="s">
        <v>2197</v>
      </c>
      <c r="F270" s="1" t="s">
        <v>2197</v>
      </c>
      <c r="G270" s="1" t="s">
        <v>2197</v>
      </c>
      <c r="H270" s="1" t="s">
        <v>2197</v>
      </c>
      <c r="I270" s="45" t="s">
        <v>2111</v>
      </c>
      <c r="J270" s="1"/>
    </row>
    <row r="271" spans="1:10">
      <c r="A271" s="1" t="s">
        <v>1834</v>
      </c>
      <c r="B271" s="1" t="s">
        <v>1833</v>
      </c>
      <c r="C271" s="1" t="s">
        <v>201</v>
      </c>
      <c r="D271" s="45" t="s">
        <v>172</v>
      </c>
      <c r="E271" s="1" t="s">
        <v>2197</v>
      </c>
      <c r="F271" s="1" t="s">
        <v>2197</v>
      </c>
      <c r="G271" s="1" t="s">
        <v>2197</v>
      </c>
      <c r="H271" s="1" t="s">
        <v>2197</v>
      </c>
      <c r="I271" s="45" t="s">
        <v>2111</v>
      </c>
      <c r="J271" s="1"/>
    </row>
    <row r="272" spans="1:10">
      <c r="A272" s="1" t="s">
        <v>1841</v>
      </c>
      <c r="B272" s="1" t="s">
        <v>1840</v>
      </c>
      <c r="C272" s="1" t="s">
        <v>201</v>
      </c>
      <c r="D272" s="45" t="s">
        <v>172</v>
      </c>
      <c r="E272" s="1" t="s">
        <v>2197</v>
      </c>
      <c r="F272" s="1" t="s">
        <v>2197</v>
      </c>
      <c r="G272" s="1" t="s">
        <v>2197</v>
      </c>
      <c r="H272" s="1" t="s">
        <v>2197</v>
      </c>
      <c r="I272" s="45" t="s">
        <v>2111</v>
      </c>
      <c r="J272" s="1"/>
    </row>
    <row r="273" spans="1:10">
      <c r="A273" s="1" t="s">
        <v>1847</v>
      </c>
      <c r="B273" s="1" t="s">
        <v>1846</v>
      </c>
      <c r="C273" s="1" t="s">
        <v>201</v>
      </c>
      <c r="D273" s="45" t="s">
        <v>172</v>
      </c>
      <c r="E273" s="1" t="s">
        <v>2197</v>
      </c>
      <c r="F273" s="1" t="s">
        <v>2197</v>
      </c>
      <c r="G273" s="1" t="s">
        <v>2197</v>
      </c>
      <c r="H273" s="1" t="s">
        <v>2197</v>
      </c>
      <c r="I273" s="45" t="s">
        <v>2111</v>
      </c>
      <c r="J273" s="1"/>
    </row>
    <row r="274" spans="1:10">
      <c r="A274" s="1" t="s">
        <v>1854</v>
      </c>
      <c r="B274" s="1" t="s">
        <v>1853</v>
      </c>
      <c r="C274" s="1" t="s">
        <v>201</v>
      </c>
      <c r="D274" s="45" t="s">
        <v>172</v>
      </c>
      <c r="E274" s="1" t="s">
        <v>2197</v>
      </c>
      <c r="F274" s="1" t="s">
        <v>2197</v>
      </c>
      <c r="G274" s="1" t="s">
        <v>2197</v>
      </c>
      <c r="H274" s="1" t="s">
        <v>2197</v>
      </c>
      <c r="I274" s="45" t="s">
        <v>2111</v>
      </c>
      <c r="J274" s="1"/>
    </row>
    <row r="275" spans="1:10">
      <c r="A275" s="1" t="s">
        <v>1861</v>
      </c>
      <c r="B275" s="1" t="s">
        <v>1860</v>
      </c>
      <c r="C275" s="1" t="s">
        <v>201</v>
      </c>
      <c r="D275" s="45" t="s">
        <v>172</v>
      </c>
      <c r="E275" s="1" t="s">
        <v>2197</v>
      </c>
      <c r="F275" s="1" t="s">
        <v>2197</v>
      </c>
      <c r="G275" s="1" t="s">
        <v>2197</v>
      </c>
      <c r="H275" s="1" t="s">
        <v>2197</v>
      </c>
      <c r="I275" s="45" t="s">
        <v>2111</v>
      </c>
      <c r="J275" s="1"/>
    </row>
    <row r="276" spans="1:10">
      <c r="A276" s="1" t="s">
        <v>1868</v>
      </c>
      <c r="B276" s="1" t="s">
        <v>1867</v>
      </c>
      <c r="C276" s="1" t="s">
        <v>201</v>
      </c>
      <c r="D276" s="45" t="s">
        <v>172</v>
      </c>
      <c r="E276" s="1" t="s">
        <v>2197</v>
      </c>
      <c r="F276" s="1" t="s">
        <v>2197</v>
      </c>
      <c r="G276" s="1" t="s">
        <v>2197</v>
      </c>
      <c r="H276" s="1" t="s">
        <v>2197</v>
      </c>
      <c r="I276" s="45" t="s">
        <v>2111</v>
      </c>
      <c r="J276" s="1"/>
    </row>
    <row r="277" spans="1:10">
      <c r="A277" s="1" t="s">
        <v>1875</v>
      </c>
      <c r="B277" s="1" t="s">
        <v>1874</v>
      </c>
      <c r="C277" s="1" t="s">
        <v>201</v>
      </c>
      <c r="D277" s="45" t="s">
        <v>172</v>
      </c>
      <c r="E277" s="1" t="s">
        <v>2197</v>
      </c>
      <c r="F277" s="1" t="s">
        <v>2197</v>
      </c>
      <c r="G277" s="1" t="s">
        <v>2197</v>
      </c>
      <c r="H277" s="1" t="s">
        <v>2197</v>
      </c>
      <c r="I277" s="45" t="s">
        <v>2111</v>
      </c>
      <c r="J277" s="1"/>
    </row>
    <row r="278" spans="1:10">
      <c r="A278" s="1" t="s">
        <v>1882</v>
      </c>
      <c r="B278" s="1" t="s">
        <v>1881</v>
      </c>
      <c r="C278" s="1" t="s">
        <v>372</v>
      </c>
      <c r="D278" s="45" t="s">
        <v>172</v>
      </c>
      <c r="E278" s="1" t="s">
        <v>2197</v>
      </c>
      <c r="F278" s="1" t="s">
        <v>2197</v>
      </c>
      <c r="G278" s="1" t="s">
        <v>2197</v>
      </c>
      <c r="H278" s="1" t="s">
        <v>2197</v>
      </c>
      <c r="I278" s="45" t="s">
        <v>2111</v>
      </c>
      <c r="J278" s="1"/>
    </row>
    <row r="279" spans="1:10">
      <c r="A279" s="1" t="s">
        <v>1888</v>
      </c>
      <c r="B279" s="1" t="s">
        <v>1887</v>
      </c>
      <c r="C279" s="1" t="s">
        <v>201</v>
      </c>
      <c r="D279" s="45" t="s">
        <v>172</v>
      </c>
      <c r="E279" s="1" t="s">
        <v>2197</v>
      </c>
      <c r="F279" s="1" t="s">
        <v>2197</v>
      </c>
      <c r="G279" s="1" t="s">
        <v>2197</v>
      </c>
      <c r="H279" s="1" t="s">
        <v>2197</v>
      </c>
      <c r="I279" s="45" t="s">
        <v>2111</v>
      </c>
      <c r="J279" s="1"/>
    </row>
    <row r="280" spans="1:10">
      <c r="A280" s="1" t="s">
        <v>1895</v>
      </c>
      <c r="B280" s="1" t="s">
        <v>1894</v>
      </c>
      <c r="C280" s="1" t="s">
        <v>201</v>
      </c>
      <c r="D280" s="45" t="s">
        <v>172</v>
      </c>
      <c r="E280" s="1" t="s">
        <v>2197</v>
      </c>
      <c r="F280" s="1" t="s">
        <v>2197</v>
      </c>
      <c r="G280" s="1" t="s">
        <v>2197</v>
      </c>
      <c r="H280" s="1" t="s">
        <v>2197</v>
      </c>
      <c r="I280" s="45" t="s">
        <v>2111</v>
      </c>
      <c r="J280" s="1"/>
    </row>
    <row r="281" spans="1:10">
      <c r="A281" s="1" t="s">
        <v>1900</v>
      </c>
      <c r="B281" s="1" t="s">
        <v>1899</v>
      </c>
      <c r="C281" s="1" t="s">
        <v>201</v>
      </c>
      <c r="D281" s="45" t="s">
        <v>172</v>
      </c>
      <c r="E281" s="1" t="s">
        <v>2197</v>
      </c>
      <c r="F281" s="1" t="s">
        <v>2197</v>
      </c>
      <c r="G281" s="1" t="s">
        <v>2197</v>
      </c>
      <c r="H281" s="1" t="s">
        <v>2197</v>
      </c>
      <c r="I281" s="45" t="s">
        <v>2111</v>
      </c>
      <c r="J281" s="1"/>
    </row>
    <row r="282" spans="1:10">
      <c r="A282" s="1" t="s">
        <v>1907</v>
      </c>
      <c r="B282" s="1" t="s">
        <v>1906</v>
      </c>
      <c r="C282" s="1" t="s">
        <v>201</v>
      </c>
      <c r="D282" s="45" t="s">
        <v>172</v>
      </c>
      <c r="E282" s="1" t="s">
        <v>2197</v>
      </c>
      <c r="F282" s="1" t="s">
        <v>2197</v>
      </c>
      <c r="G282" s="1" t="s">
        <v>2197</v>
      </c>
      <c r="H282" s="1" t="s">
        <v>2197</v>
      </c>
      <c r="I282" s="45" t="s">
        <v>2111</v>
      </c>
      <c r="J282" s="1"/>
    </row>
    <row r="283" spans="1:10">
      <c r="A283" s="1" t="s">
        <v>1914</v>
      </c>
      <c r="B283" s="1" t="s">
        <v>1913</v>
      </c>
      <c r="C283" s="1" t="s">
        <v>201</v>
      </c>
      <c r="D283" s="45" t="s">
        <v>172</v>
      </c>
      <c r="E283" s="1" t="s">
        <v>2197</v>
      </c>
      <c r="F283" s="1" t="s">
        <v>2197</v>
      </c>
      <c r="G283" s="1" t="s">
        <v>2197</v>
      </c>
      <c r="H283" s="1" t="s">
        <v>2197</v>
      </c>
      <c r="I283" s="45" t="s">
        <v>2111</v>
      </c>
      <c r="J283" s="1"/>
    </row>
    <row r="284" spans="1:10">
      <c r="A284" s="1" t="s">
        <v>1921</v>
      </c>
      <c r="B284" s="1" t="s">
        <v>1920</v>
      </c>
      <c r="C284" s="1" t="s">
        <v>201</v>
      </c>
      <c r="D284" s="45" t="s">
        <v>172</v>
      </c>
      <c r="E284" s="1" t="s">
        <v>2197</v>
      </c>
      <c r="F284" s="1" t="s">
        <v>2197</v>
      </c>
      <c r="G284" s="1" t="s">
        <v>2197</v>
      </c>
      <c r="H284" s="1" t="s">
        <v>2197</v>
      </c>
      <c r="I284" s="45" t="s">
        <v>2111</v>
      </c>
      <c r="J284" s="1"/>
    </row>
    <row r="285" spans="1:10">
      <c r="A285" s="1" t="s">
        <v>1928</v>
      </c>
      <c r="B285" s="1" t="s">
        <v>1927</v>
      </c>
      <c r="C285" s="1" t="s">
        <v>567</v>
      </c>
      <c r="D285" s="45" t="s">
        <v>172</v>
      </c>
      <c r="E285" s="1" t="s">
        <v>2197</v>
      </c>
      <c r="F285" s="1" t="s">
        <v>2197</v>
      </c>
      <c r="G285" s="1" t="s">
        <v>2197</v>
      </c>
      <c r="H285" s="1" t="s">
        <v>2197</v>
      </c>
      <c r="I285" s="45" t="s">
        <v>2111</v>
      </c>
      <c r="J285" s="1"/>
    </row>
    <row r="286" spans="1:10">
      <c r="A286" s="1" t="s">
        <v>1935</v>
      </c>
      <c r="B286" s="1" t="s">
        <v>1934</v>
      </c>
      <c r="C286" s="1" t="s">
        <v>201</v>
      </c>
      <c r="D286" s="45" t="s">
        <v>172</v>
      </c>
      <c r="E286" s="1" t="s">
        <v>2197</v>
      </c>
      <c r="F286" s="1" t="s">
        <v>2197</v>
      </c>
      <c r="G286" s="1" t="s">
        <v>2197</v>
      </c>
      <c r="H286" s="1" t="s">
        <v>2197</v>
      </c>
      <c r="I286" s="45" t="s">
        <v>2111</v>
      </c>
      <c r="J286" s="1"/>
    </row>
    <row r="287" spans="1:10">
      <c r="A287" s="1" t="s">
        <v>1941</v>
      </c>
      <c r="B287" s="1" t="s">
        <v>1940</v>
      </c>
      <c r="C287" s="1" t="s">
        <v>201</v>
      </c>
      <c r="D287" s="45" t="s">
        <v>172</v>
      </c>
      <c r="E287" s="1" t="s">
        <v>2197</v>
      </c>
      <c r="F287" s="1" t="s">
        <v>2197</v>
      </c>
      <c r="G287" s="1" t="s">
        <v>2197</v>
      </c>
      <c r="H287" s="1" t="s">
        <v>2197</v>
      </c>
      <c r="I287" s="45" t="s">
        <v>2111</v>
      </c>
      <c r="J287" s="1"/>
    </row>
    <row r="288" spans="1:10">
      <c r="A288" s="1" t="s">
        <v>1948</v>
      </c>
      <c r="B288" s="1" t="s">
        <v>1947</v>
      </c>
      <c r="C288" s="1" t="s">
        <v>201</v>
      </c>
      <c r="D288" s="45" t="s">
        <v>172</v>
      </c>
      <c r="E288" s="1" t="s">
        <v>2197</v>
      </c>
      <c r="F288" s="1" t="s">
        <v>2197</v>
      </c>
      <c r="G288" s="1" t="s">
        <v>2197</v>
      </c>
      <c r="H288" s="1" t="s">
        <v>2197</v>
      </c>
      <c r="I288" s="45" t="s">
        <v>2111</v>
      </c>
      <c r="J288" s="1"/>
    </row>
    <row r="289" spans="1:10">
      <c r="A289" s="1" t="s">
        <v>1955</v>
      </c>
      <c r="B289" s="1" t="s">
        <v>1954</v>
      </c>
      <c r="C289" s="1" t="s">
        <v>201</v>
      </c>
      <c r="D289" s="45" t="s">
        <v>172</v>
      </c>
      <c r="E289" s="1" t="s">
        <v>2197</v>
      </c>
      <c r="F289" s="1" t="s">
        <v>2197</v>
      </c>
      <c r="G289" s="1" t="s">
        <v>2197</v>
      </c>
      <c r="H289" s="1" t="s">
        <v>2197</v>
      </c>
      <c r="I289" s="45" t="s">
        <v>2111</v>
      </c>
      <c r="J289" s="1"/>
    </row>
    <row r="290" spans="1:10">
      <c r="A290" s="1" t="s">
        <v>1961</v>
      </c>
      <c r="B290" s="1" t="s">
        <v>1960</v>
      </c>
      <c r="C290" s="1" t="s">
        <v>201</v>
      </c>
      <c r="D290" s="45" t="s">
        <v>172</v>
      </c>
      <c r="E290" s="1" t="s">
        <v>2197</v>
      </c>
      <c r="F290" s="1" t="s">
        <v>2197</v>
      </c>
      <c r="G290" s="1" t="s">
        <v>2197</v>
      </c>
      <c r="H290" s="1" t="s">
        <v>2197</v>
      </c>
      <c r="I290" s="45" t="s">
        <v>2111</v>
      </c>
      <c r="J290" s="1"/>
    </row>
    <row r="291" spans="1:10">
      <c r="A291" s="1" t="s">
        <v>1967</v>
      </c>
      <c r="B291" s="1" t="s">
        <v>1966</v>
      </c>
      <c r="C291" s="1" t="s">
        <v>201</v>
      </c>
      <c r="D291" s="45" t="s">
        <v>172</v>
      </c>
      <c r="E291" s="1" t="s">
        <v>2197</v>
      </c>
      <c r="F291" s="1" t="s">
        <v>2197</v>
      </c>
      <c r="G291" s="1" t="s">
        <v>2197</v>
      </c>
      <c r="H291" s="1" t="s">
        <v>2197</v>
      </c>
      <c r="I291" s="45" t="s">
        <v>2111</v>
      </c>
      <c r="J291" s="1"/>
    </row>
    <row r="292" spans="1:10">
      <c r="A292" s="1" t="s">
        <v>1974</v>
      </c>
      <c r="B292" s="1" t="s">
        <v>1973</v>
      </c>
      <c r="C292" s="1" t="s">
        <v>201</v>
      </c>
      <c r="D292" s="45" t="s">
        <v>172</v>
      </c>
      <c r="E292" s="1" t="s">
        <v>2197</v>
      </c>
      <c r="F292" s="1" t="s">
        <v>2197</v>
      </c>
      <c r="G292" s="1" t="s">
        <v>2197</v>
      </c>
      <c r="H292" s="1" t="s">
        <v>2197</v>
      </c>
      <c r="I292" s="45" t="s">
        <v>2111</v>
      </c>
      <c r="J292" s="1"/>
    </row>
    <row r="293" spans="1:10">
      <c r="A293" s="1" t="s">
        <v>1979</v>
      </c>
      <c r="B293" s="1" t="s">
        <v>1978</v>
      </c>
      <c r="C293" s="1" t="s">
        <v>201</v>
      </c>
      <c r="D293" s="45" t="s">
        <v>172</v>
      </c>
      <c r="E293" s="1" t="s">
        <v>2197</v>
      </c>
      <c r="F293" s="1" t="s">
        <v>2197</v>
      </c>
      <c r="G293" s="1" t="s">
        <v>2197</v>
      </c>
      <c r="H293" s="1" t="s">
        <v>2197</v>
      </c>
      <c r="I293" s="45" t="s">
        <v>2111</v>
      </c>
      <c r="J293" s="1"/>
    </row>
    <row r="294" spans="1:10">
      <c r="A294" s="1" t="s">
        <v>1986</v>
      </c>
      <c r="B294" s="1" t="s">
        <v>1985</v>
      </c>
      <c r="C294" s="1" t="s">
        <v>201</v>
      </c>
      <c r="D294" s="45" t="s">
        <v>172</v>
      </c>
      <c r="E294" s="1" t="s">
        <v>2197</v>
      </c>
      <c r="F294" s="1" t="s">
        <v>2197</v>
      </c>
      <c r="G294" s="1" t="s">
        <v>2197</v>
      </c>
      <c r="H294" s="1" t="s">
        <v>2197</v>
      </c>
      <c r="I294" s="45" t="s">
        <v>2111</v>
      </c>
      <c r="J294" s="1"/>
    </row>
    <row r="295" spans="1:10">
      <c r="A295" s="1" t="s">
        <v>1992</v>
      </c>
      <c r="B295" s="1" t="s">
        <v>1991</v>
      </c>
      <c r="C295" s="1" t="s">
        <v>201</v>
      </c>
      <c r="D295" s="45" t="s">
        <v>172</v>
      </c>
      <c r="E295" s="1" t="s">
        <v>2197</v>
      </c>
      <c r="F295" s="1" t="s">
        <v>2197</v>
      </c>
      <c r="G295" s="1" t="s">
        <v>2197</v>
      </c>
      <c r="H295" s="1" t="s">
        <v>2197</v>
      </c>
      <c r="I295" s="45" t="s">
        <v>2111</v>
      </c>
      <c r="J295" s="1"/>
    </row>
    <row r="296" spans="1:10">
      <c r="A296" s="1" t="s">
        <v>1998</v>
      </c>
      <c r="B296" s="1" t="s">
        <v>1997</v>
      </c>
      <c r="C296" s="1" t="s">
        <v>201</v>
      </c>
      <c r="D296" s="45" t="s">
        <v>172</v>
      </c>
      <c r="E296" s="1" t="s">
        <v>2197</v>
      </c>
      <c r="F296" s="1" t="s">
        <v>2197</v>
      </c>
      <c r="G296" s="1" t="s">
        <v>2197</v>
      </c>
      <c r="H296" s="1" t="s">
        <v>2197</v>
      </c>
      <c r="I296" s="45" t="s">
        <v>2111</v>
      </c>
      <c r="J296" s="1"/>
    </row>
    <row r="297" spans="1:10">
      <c r="A297" s="1" t="s">
        <v>2005</v>
      </c>
      <c r="B297" s="1" t="s">
        <v>2004</v>
      </c>
      <c r="C297" s="1" t="s">
        <v>201</v>
      </c>
      <c r="D297" s="45" t="s">
        <v>172</v>
      </c>
      <c r="E297" s="1" t="s">
        <v>2197</v>
      </c>
      <c r="F297" s="1" t="s">
        <v>2197</v>
      </c>
      <c r="G297" s="1" t="s">
        <v>2197</v>
      </c>
      <c r="H297" s="1" t="s">
        <v>2197</v>
      </c>
      <c r="I297" s="45" t="s">
        <v>2111</v>
      </c>
      <c r="J297" s="1"/>
    </row>
    <row r="298" spans="1:10">
      <c r="A298" s="1" t="s">
        <v>2012</v>
      </c>
      <c r="B298" s="1" t="s">
        <v>2011</v>
      </c>
      <c r="C298" s="1" t="s">
        <v>201</v>
      </c>
      <c r="D298" s="45" t="s">
        <v>172</v>
      </c>
      <c r="E298" s="1" t="s">
        <v>2197</v>
      </c>
      <c r="F298" s="1" t="s">
        <v>2197</v>
      </c>
      <c r="G298" s="1" t="s">
        <v>2197</v>
      </c>
      <c r="H298" s="1" t="s">
        <v>2197</v>
      </c>
      <c r="I298" s="45" t="s">
        <v>2111</v>
      </c>
      <c r="J298" s="1"/>
    </row>
    <row r="299" spans="1:10">
      <c r="A299" s="1" t="s">
        <v>2019</v>
      </c>
      <c r="B299" s="1" t="s">
        <v>2018</v>
      </c>
      <c r="C299" s="1" t="s">
        <v>201</v>
      </c>
      <c r="D299" s="45" t="s">
        <v>172</v>
      </c>
      <c r="E299" s="1" t="s">
        <v>2197</v>
      </c>
      <c r="F299" s="1" t="s">
        <v>2197</v>
      </c>
      <c r="G299" s="1" t="s">
        <v>2197</v>
      </c>
      <c r="H299" s="1" t="s">
        <v>2197</v>
      </c>
      <c r="I299" s="45" t="s">
        <v>2111</v>
      </c>
      <c r="J299" s="1"/>
    </row>
    <row r="300" spans="1:10">
      <c r="A300" s="1" t="s">
        <v>2026</v>
      </c>
      <c r="B300" s="1" t="s">
        <v>2025</v>
      </c>
      <c r="C300" s="1" t="s">
        <v>201</v>
      </c>
      <c r="D300" s="45" t="s">
        <v>172</v>
      </c>
      <c r="E300" s="1" t="s">
        <v>2197</v>
      </c>
      <c r="F300" s="1" t="s">
        <v>2197</v>
      </c>
      <c r="G300" s="1" t="s">
        <v>2197</v>
      </c>
      <c r="H300" s="1" t="s">
        <v>2197</v>
      </c>
      <c r="I300" s="45" t="s">
        <v>2111</v>
      </c>
      <c r="J300" s="1"/>
    </row>
    <row r="301" spans="1:10">
      <c r="A301" s="1" t="s">
        <v>2033</v>
      </c>
      <c r="B301" s="1" t="s">
        <v>2032</v>
      </c>
      <c r="C301" s="1" t="s">
        <v>201</v>
      </c>
      <c r="D301" s="45" t="s">
        <v>172</v>
      </c>
      <c r="E301" s="1" t="s">
        <v>2197</v>
      </c>
      <c r="F301" s="1" t="s">
        <v>2197</v>
      </c>
      <c r="G301" s="1" t="s">
        <v>2197</v>
      </c>
      <c r="H301" s="1" t="s">
        <v>2197</v>
      </c>
      <c r="I301" s="45" t="s">
        <v>2111</v>
      </c>
      <c r="J301" s="1"/>
    </row>
    <row r="302" spans="1:10">
      <c r="A302" s="1" t="s">
        <v>2040</v>
      </c>
      <c r="B302" s="1" t="s">
        <v>2039</v>
      </c>
      <c r="C302" s="1" t="s">
        <v>201</v>
      </c>
      <c r="D302" s="45" t="s">
        <v>172</v>
      </c>
      <c r="E302" s="1" t="s">
        <v>2197</v>
      </c>
      <c r="F302" s="1" t="s">
        <v>2197</v>
      </c>
      <c r="G302" s="1" t="s">
        <v>2197</v>
      </c>
      <c r="H302" s="1" t="s">
        <v>2197</v>
      </c>
      <c r="I302" s="45" t="s">
        <v>2111</v>
      </c>
      <c r="J302" s="1"/>
    </row>
    <row r="303" spans="1:10">
      <c r="A303" s="1" t="s">
        <v>2047</v>
      </c>
      <c r="B303" s="1" t="s">
        <v>2046</v>
      </c>
      <c r="C303" s="1" t="s">
        <v>201</v>
      </c>
      <c r="D303" s="45" t="s">
        <v>172</v>
      </c>
      <c r="E303" s="1" t="s">
        <v>2197</v>
      </c>
      <c r="F303" s="1" t="s">
        <v>2197</v>
      </c>
      <c r="G303" s="1" t="s">
        <v>2197</v>
      </c>
      <c r="H303" s="1" t="s">
        <v>2197</v>
      </c>
      <c r="I303" s="45" t="s">
        <v>2111</v>
      </c>
      <c r="J303" s="1"/>
    </row>
    <row r="304" spans="1:10">
      <c r="A304" s="1" t="s">
        <v>2053</v>
      </c>
      <c r="B304" s="1" t="s">
        <v>2052</v>
      </c>
      <c r="C304" s="1" t="s">
        <v>201</v>
      </c>
      <c r="D304" s="45" t="s">
        <v>172</v>
      </c>
      <c r="E304" s="1" t="s">
        <v>2197</v>
      </c>
      <c r="F304" s="1" t="s">
        <v>2197</v>
      </c>
      <c r="G304" s="1" t="s">
        <v>2197</v>
      </c>
      <c r="H304" s="1" t="s">
        <v>2197</v>
      </c>
      <c r="I304" s="45" t="s">
        <v>2111</v>
      </c>
      <c r="J304" s="1"/>
    </row>
    <row r="305" spans="1:10">
      <c r="A305" s="1" t="s">
        <v>2059</v>
      </c>
      <c r="B305" s="1" t="s">
        <v>2058</v>
      </c>
      <c r="C305" s="1" t="s">
        <v>201</v>
      </c>
      <c r="D305" s="45" t="s">
        <v>172</v>
      </c>
      <c r="E305" s="1" t="s">
        <v>2197</v>
      </c>
      <c r="F305" s="1" t="s">
        <v>2197</v>
      </c>
      <c r="G305" s="1" t="s">
        <v>2197</v>
      </c>
      <c r="H305" s="1" t="s">
        <v>2197</v>
      </c>
      <c r="I305" s="45" t="s">
        <v>2111</v>
      </c>
      <c r="J305" s="1"/>
    </row>
    <row r="306" spans="1:10">
      <c r="A306" s="1" t="s">
        <v>2065</v>
      </c>
      <c r="B306" s="1" t="s">
        <v>2064</v>
      </c>
      <c r="C306" s="1" t="s">
        <v>201</v>
      </c>
      <c r="D306" s="45" t="s">
        <v>172</v>
      </c>
      <c r="E306" s="1" t="s">
        <v>2197</v>
      </c>
      <c r="F306" s="1" t="s">
        <v>2197</v>
      </c>
      <c r="G306" s="1" t="s">
        <v>2197</v>
      </c>
      <c r="H306" s="1" t="s">
        <v>2197</v>
      </c>
      <c r="I306" s="45" t="s">
        <v>2111</v>
      </c>
      <c r="J306" s="1"/>
    </row>
    <row r="307" spans="1:10">
      <c r="A307" s="1" t="s">
        <v>2071</v>
      </c>
      <c r="B307" s="1" t="s">
        <v>2070</v>
      </c>
      <c r="C307" s="1" t="s">
        <v>201</v>
      </c>
      <c r="D307" s="45" t="s">
        <v>172</v>
      </c>
      <c r="E307" s="1" t="s">
        <v>2197</v>
      </c>
      <c r="F307" s="1" t="s">
        <v>2197</v>
      </c>
      <c r="G307" s="1" t="s">
        <v>2197</v>
      </c>
      <c r="H307" s="1" t="s">
        <v>2197</v>
      </c>
      <c r="I307" s="45" t="s">
        <v>2111</v>
      </c>
      <c r="J307" s="1"/>
    </row>
    <row r="308" spans="1:10">
      <c r="A308" s="1" t="s">
        <v>2076</v>
      </c>
      <c r="B308" s="1" t="s">
        <v>2075</v>
      </c>
      <c r="C308" s="1" t="s">
        <v>201</v>
      </c>
      <c r="D308" s="45" t="s">
        <v>172</v>
      </c>
      <c r="E308" s="1" t="s">
        <v>2197</v>
      </c>
      <c r="F308" s="1" t="s">
        <v>2197</v>
      </c>
      <c r="G308" s="1" t="s">
        <v>2197</v>
      </c>
      <c r="H308" s="1" t="s">
        <v>2197</v>
      </c>
      <c r="I308" s="45" t="s">
        <v>2111</v>
      </c>
      <c r="J308" s="1"/>
    </row>
    <row r="309" spans="1:10">
      <c r="A309" s="1" t="s">
        <v>2081</v>
      </c>
      <c r="B309" s="1" t="s">
        <v>2080</v>
      </c>
      <c r="C309" s="1" t="s">
        <v>201</v>
      </c>
      <c r="D309" s="45" t="s">
        <v>172</v>
      </c>
      <c r="E309" s="1" t="s">
        <v>2197</v>
      </c>
      <c r="F309" s="1" t="s">
        <v>2197</v>
      </c>
      <c r="G309" s="1" t="s">
        <v>2197</v>
      </c>
      <c r="H309" s="1" t="s">
        <v>2197</v>
      </c>
      <c r="I309" s="45" t="s">
        <v>2111</v>
      </c>
      <c r="J309" s="1"/>
    </row>
    <row r="310" spans="1:10">
      <c r="A310" s="1" t="s">
        <v>2087</v>
      </c>
      <c r="B310" s="1" t="s">
        <v>2086</v>
      </c>
      <c r="C310" s="1" t="s">
        <v>201</v>
      </c>
      <c r="D310" s="45" t="s">
        <v>172</v>
      </c>
      <c r="E310" s="1" t="s">
        <v>2197</v>
      </c>
      <c r="F310" s="1" t="s">
        <v>2197</v>
      </c>
      <c r="G310" s="1" t="s">
        <v>2197</v>
      </c>
      <c r="H310" s="1" t="s">
        <v>2197</v>
      </c>
      <c r="I310" s="45" t="s">
        <v>2111</v>
      </c>
      <c r="J310" s="1"/>
    </row>
  </sheetData>
  <mergeCells count="2">
    <mergeCell ref="A1:J1"/>
    <mergeCell ref="A2:J2"/>
  </mergeCell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3"/>
  <sheetViews>
    <sheetView showGridLines="0" workbookViewId="0">
      <pane ySplit="4" topLeftCell="A5" activePane="bottomLeft" state="frozen"/>
      <selection pane="bottomLeft"/>
    </sheetView>
  </sheetViews>
  <sheetFormatPr defaultRowHeight="15"/>
  <cols>
    <col min="1" max="1" width="10" customWidth="1"/>
    <col min="2" max="2" width="42" customWidth="1"/>
    <col min="3" max="3" width="90" customWidth="1"/>
    <col min="4" max="4" width="24" customWidth="1"/>
    <col min="5" max="5" width="18" customWidth="1"/>
  </cols>
  <sheetData>
    <row r="1" spans="1:5">
      <c r="A1" s="21" t="s">
        <v>2198</v>
      </c>
      <c r="B1" s="30"/>
      <c r="C1" s="30"/>
      <c r="D1" s="30"/>
      <c r="E1" s="30"/>
    </row>
    <row r="2" spans="1:5" ht="54" customHeight="1">
      <c r="A2" s="22" t="s">
        <v>2199</v>
      </c>
      <c r="B2" s="30"/>
      <c r="C2" s="30"/>
      <c r="D2" s="30"/>
      <c r="E2" s="30"/>
    </row>
    <row r="4" spans="1:5">
      <c r="A4" s="15" t="s">
        <v>2200</v>
      </c>
      <c r="B4" s="15" t="s">
        <v>2201</v>
      </c>
      <c r="C4" s="15" t="s">
        <v>2202</v>
      </c>
      <c r="D4" s="15" t="s">
        <v>192</v>
      </c>
      <c r="E4" s="15" t="s">
        <v>2203</v>
      </c>
    </row>
    <row r="5" spans="1:5" ht="57.95" customHeight="1">
      <c r="A5" s="1">
        <v>1</v>
      </c>
      <c r="B5" s="1" t="s">
        <v>2204</v>
      </c>
      <c r="C5" s="1" t="s">
        <v>2205</v>
      </c>
      <c r="D5" s="1" t="s">
        <v>4</v>
      </c>
      <c r="E5" s="1" t="s">
        <v>2206</v>
      </c>
    </row>
    <row r="6" spans="1:5" ht="57.95" customHeight="1">
      <c r="A6" s="1">
        <v>2</v>
      </c>
      <c r="B6" s="1" t="s">
        <v>2207</v>
      </c>
      <c r="C6" s="1" t="s">
        <v>2208</v>
      </c>
      <c r="D6" s="1" t="s">
        <v>4</v>
      </c>
      <c r="E6" s="1" t="s">
        <v>2206</v>
      </c>
    </row>
    <row r="7" spans="1:5" ht="57.95" customHeight="1">
      <c r="A7" s="1">
        <v>3</v>
      </c>
      <c r="B7" s="1" t="s">
        <v>92</v>
      </c>
      <c r="C7" s="1" t="s">
        <v>2209</v>
      </c>
      <c r="D7" s="1" t="s">
        <v>4</v>
      </c>
      <c r="E7" s="1" t="s">
        <v>2206</v>
      </c>
    </row>
    <row r="8" spans="1:5" ht="57.95" customHeight="1">
      <c r="A8" s="1">
        <v>4</v>
      </c>
      <c r="B8" s="1" t="s">
        <v>2210</v>
      </c>
      <c r="C8" s="1" t="s">
        <v>2211</v>
      </c>
      <c r="D8" s="1" t="s">
        <v>2212</v>
      </c>
      <c r="E8" s="1" t="s">
        <v>2213</v>
      </c>
    </row>
    <row r="9" spans="1:5" ht="57.95" customHeight="1">
      <c r="A9" s="1">
        <v>5</v>
      </c>
      <c r="B9" s="1" t="s">
        <v>2214</v>
      </c>
      <c r="C9" s="1" t="s">
        <v>2215</v>
      </c>
      <c r="D9" s="1" t="s">
        <v>2212</v>
      </c>
      <c r="E9" s="1" t="s">
        <v>2213</v>
      </c>
    </row>
    <row r="10" spans="1:5" ht="57.95" customHeight="1">
      <c r="A10" s="1">
        <v>6</v>
      </c>
      <c r="B10" s="1" t="s">
        <v>2216</v>
      </c>
      <c r="C10" s="1" t="s">
        <v>2217</v>
      </c>
      <c r="D10" s="1" t="s">
        <v>2218</v>
      </c>
      <c r="E10" s="1" t="s">
        <v>2219</v>
      </c>
    </row>
    <row r="11" spans="1:5" ht="57.95" customHeight="1">
      <c r="A11" s="1">
        <v>7</v>
      </c>
      <c r="B11" s="1" t="s">
        <v>2220</v>
      </c>
      <c r="C11" s="1" t="s">
        <v>2221</v>
      </c>
      <c r="D11" s="1" t="s">
        <v>2212</v>
      </c>
      <c r="E11" s="1" t="s">
        <v>2219</v>
      </c>
    </row>
    <row r="12" spans="1:5" ht="57.95" customHeight="1">
      <c r="A12" s="1">
        <v>8</v>
      </c>
      <c r="B12" s="1" t="s">
        <v>2222</v>
      </c>
      <c r="C12" s="1" t="s">
        <v>2223</v>
      </c>
      <c r="D12" s="1" t="s">
        <v>4</v>
      </c>
      <c r="E12" s="1" t="s">
        <v>2206</v>
      </c>
    </row>
    <row r="13" spans="1:5" ht="57.95" customHeight="1">
      <c r="A13" s="1">
        <v>9</v>
      </c>
      <c r="B13" s="1" t="s">
        <v>2224</v>
      </c>
      <c r="C13" s="1" t="s">
        <v>2225</v>
      </c>
      <c r="D13" s="1" t="s">
        <v>2226</v>
      </c>
      <c r="E13" s="1" t="s">
        <v>2227</v>
      </c>
    </row>
  </sheetData>
  <mergeCells count="2">
    <mergeCell ref="A2:E2"/>
    <mergeCell ref="A1:E1"/>
  </mergeCells>
  <pageMargins left="0.75" right="0.75" top="1" bottom="1" header="0.5" footer="0.5"/>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5"/>
  <sheetViews>
    <sheetView showGridLines="0" workbookViewId="0">
      <pane ySplit="4" topLeftCell="A5" activePane="bottomLeft" state="frozen"/>
      <selection pane="bottomLeft"/>
    </sheetView>
  </sheetViews>
  <sheetFormatPr defaultRowHeight="15"/>
  <cols>
    <col min="1" max="1" width="12" customWidth="1"/>
    <col min="2" max="2" width="32" customWidth="1"/>
    <col min="3" max="3" width="96" customWidth="1"/>
    <col min="4" max="4" width="28" customWidth="1"/>
    <col min="5" max="5" width="46" customWidth="1"/>
  </cols>
  <sheetData>
    <row r="1" spans="1:5">
      <c r="A1" s="27" t="s">
        <v>2228</v>
      </c>
      <c r="B1" s="30"/>
      <c r="C1" s="30"/>
      <c r="D1" s="30"/>
      <c r="E1" s="30"/>
    </row>
    <row r="2" spans="1:5" ht="54" customHeight="1">
      <c r="A2" s="26" t="s">
        <v>2229</v>
      </c>
      <c r="B2" s="30"/>
      <c r="C2" s="30"/>
      <c r="D2" s="30"/>
      <c r="E2" s="30"/>
    </row>
    <row r="4" spans="1:5">
      <c r="A4" s="6" t="s">
        <v>188</v>
      </c>
      <c r="B4" s="6" t="s">
        <v>2230</v>
      </c>
      <c r="C4" s="6" t="s">
        <v>2231</v>
      </c>
      <c r="D4" s="6" t="s">
        <v>2232</v>
      </c>
      <c r="E4" s="6" t="s">
        <v>2233</v>
      </c>
    </row>
    <row r="5" spans="1:5">
      <c r="A5" s="1" t="s">
        <v>2234</v>
      </c>
      <c r="B5" s="1" t="s">
        <v>2235</v>
      </c>
      <c r="C5" s="1" t="s">
        <v>2236</v>
      </c>
      <c r="D5" s="1" t="s">
        <v>201</v>
      </c>
      <c r="E5" s="1" t="s">
        <v>2237</v>
      </c>
    </row>
    <row r="6" spans="1:5">
      <c r="A6" s="1" t="s">
        <v>2238</v>
      </c>
      <c r="B6" s="1" t="s">
        <v>2239</v>
      </c>
      <c r="C6" s="1" t="s">
        <v>2240</v>
      </c>
      <c r="D6" s="1" t="s">
        <v>201</v>
      </c>
      <c r="E6" s="1" t="s">
        <v>2241</v>
      </c>
    </row>
    <row r="7" spans="1:5">
      <c r="A7" s="1" t="s">
        <v>2242</v>
      </c>
      <c r="B7" s="1" t="s">
        <v>2243</v>
      </c>
      <c r="C7" s="1" t="s">
        <v>2244</v>
      </c>
      <c r="D7" s="1" t="s">
        <v>201</v>
      </c>
      <c r="E7" s="1" t="s">
        <v>2245</v>
      </c>
    </row>
    <row r="8" spans="1:5">
      <c r="A8" s="1" t="s">
        <v>2246</v>
      </c>
      <c r="B8" s="1" t="s">
        <v>2247</v>
      </c>
      <c r="C8" s="1" t="s">
        <v>2248</v>
      </c>
      <c r="D8" s="1" t="s">
        <v>201</v>
      </c>
      <c r="E8" s="1" t="s">
        <v>2249</v>
      </c>
    </row>
    <row r="9" spans="1:5">
      <c r="A9" s="1" t="s">
        <v>2250</v>
      </c>
      <c r="B9" s="1" t="s">
        <v>2251</v>
      </c>
      <c r="C9" s="1" t="s">
        <v>2252</v>
      </c>
      <c r="D9" s="1" t="s">
        <v>201</v>
      </c>
      <c r="E9" s="1" t="s">
        <v>2253</v>
      </c>
    </row>
    <row r="10" spans="1:5">
      <c r="A10" s="1" t="s">
        <v>2254</v>
      </c>
      <c r="B10" s="1" t="s">
        <v>2255</v>
      </c>
      <c r="C10" s="1" t="s">
        <v>2256</v>
      </c>
      <c r="D10" s="1" t="s">
        <v>201</v>
      </c>
      <c r="E10" s="1" t="s">
        <v>2257</v>
      </c>
    </row>
    <row r="11" spans="1:5">
      <c r="A11" s="1" t="s">
        <v>2258</v>
      </c>
      <c r="B11" s="1" t="s">
        <v>2259</v>
      </c>
      <c r="C11" s="1" t="s">
        <v>2260</v>
      </c>
      <c r="D11" s="1" t="s">
        <v>201</v>
      </c>
      <c r="E11" s="1" t="s">
        <v>2261</v>
      </c>
    </row>
    <row r="12" spans="1:5">
      <c r="A12" s="1" t="s">
        <v>2262</v>
      </c>
      <c r="B12" s="1" t="s">
        <v>2263</v>
      </c>
      <c r="C12" s="1" t="s">
        <v>2264</v>
      </c>
      <c r="D12" s="1" t="s">
        <v>201</v>
      </c>
      <c r="E12" s="1" t="s">
        <v>2265</v>
      </c>
    </row>
    <row r="13" spans="1:5">
      <c r="A13" s="1" t="s">
        <v>2266</v>
      </c>
      <c r="B13" s="1" t="s">
        <v>2267</v>
      </c>
      <c r="C13" s="1" t="s">
        <v>2268</v>
      </c>
      <c r="D13" s="1" t="s">
        <v>201</v>
      </c>
      <c r="E13" s="1" t="s">
        <v>2269</v>
      </c>
    </row>
    <row r="14" spans="1:5">
      <c r="A14" s="1" t="s">
        <v>2270</v>
      </c>
      <c r="B14" s="1" t="s">
        <v>2271</v>
      </c>
      <c r="C14" s="1" t="s">
        <v>2272</v>
      </c>
      <c r="D14" s="1" t="s">
        <v>201</v>
      </c>
      <c r="E14" s="1" t="s">
        <v>2273</v>
      </c>
    </row>
    <row r="15" spans="1:5">
      <c r="A15" s="1" t="s">
        <v>2274</v>
      </c>
      <c r="B15" s="1" t="s">
        <v>2275</v>
      </c>
      <c r="C15" s="1" t="s">
        <v>2276</v>
      </c>
      <c r="D15" s="1" t="s">
        <v>201</v>
      </c>
      <c r="E15" s="1" t="s">
        <v>2277</v>
      </c>
    </row>
    <row r="16" spans="1:5">
      <c r="A16" s="1" t="s">
        <v>2278</v>
      </c>
      <c r="B16" s="1" t="s">
        <v>2279</v>
      </c>
      <c r="C16" s="1" t="s">
        <v>2280</v>
      </c>
      <c r="D16" s="1" t="s">
        <v>201</v>
      </c>
      <c r="E16" s="1" t="s">
        <v>2281</v>
      </c>
    </row>
    <row r="17" spans="1:5">
      <c r="A17" s="1" t="s">
        <v>2282</v>
      </c>
      <c r="B17" s="1" t="s">
        <v>2283</v>
      </c>
      <c r="C17" s="1" t="s">
        <v>2284</v>
      </c>
      <c r="D17" s="1" t="s">
        <v>201</v>
      </c>
      <c r="E17" s="1" t="s">
        <v>2285</v>
      </c>
    </row>
    <row r="18" spans="1:5">
      <c r="A18" s="1" t="s">
        <v>2286</v>
      </c>
      <c r="B18" s="1" t="s">
        <v>2287</v>
      </c>
      <c r="C18" s="1" t="s">
        <v>2288</v>
      </c>
      <c r="D18" s="1" t="s">
        <v>201</v>
      </c>
      <c r="E18" s="1" t="s">
        <v>2289</v>
      </c>
    </row>
    <row r="19" spans="1:5">
      <c r="A19" s="1" t="s">
        <v>2290</v>
      </c>
      <c r="B19" s="1" t="s">
        <v>2291</v>
      </c>
      <c r="C19" s="1" t="s">
        <v>2292</v>
      </c>
      <c r="D19" s="1" t="s">
        <v>201</v>
      </c>
      <c r="E19" s="1" t="s">
        <v>2293</v>
      </c>
    </row>
    <row r="20" spans="1:5">
      <c r="A20" s="1" t="s">
        <v>2294</v>
      </c>
      <c r="B20" s="1" t="s">
        <v>2295</v>
      </c>
      <c r="C20" s="1" t="s">
        <v>2296</v>
      </c>
      <c r="D20" s="1" t="s">
        <v>201</v>
      </c>
      <c r="E20" s="1" t="s">
        <v>2297</v>
      </c>
    </row>
    <row r="21" spans="1:5">
      <c r="A21" s="1" t="s">
        <v>2298</v>
      </c>
      <c r="B21" s="1" t="s">
        <v>2299</v>
      </c>
      <c r="C21" s="1" t="s">
        <v>2300</v>
      </c>
      <c r="D21" s="1" t="s">
        <v>201</v>
      </c>
      <c r="E21" s="1" t="s">
        <v>2301</v>
      </c>
    </row>
    <row r="22" spans="1:5">
      <c r="A22" s="1" t="s">
        <v>2302</v>
      </c>
      <c r="B22" s="1" t="s">
        <v>2303</v>
      </c>
      <c r="C22" s="1" t="s">
        <v>2304</v>
      </c>
      <c r="D22" s="1" t="s">
        <v>201</v>
      </c>
      <c r="E22" s="1" t="s">
        <v>2305</v>
      </c>
    </row>
    <row r="23" spans="1:5">
      <c r="A23" s="1" t="s">
        <v>2306</v>
      </c>
      <c r="B23" s="1" t="s">
        <v>2307</v>
      </c>
      <c r="C23" s="1" t="s">
        <v>2308</v>
      </c>
      <c r="D23" s="1" t="s">
        <v>201</v>
      </c>
      <c r="E23" s="1" t="s">
        <v>2309</v>
      </c>
    </row>
    <row r="24" spans="1:5">
      <c r="A24" s="1" t="s">
        <v>2310</v>
      </c>
      <c r="B24" s="1" t="s">
        <v>2311</v>
      </c>
      <c r="C24" s="1" t="s">
        <v>2312</v>
      </c>
      <c r="D24" s="1" t="s">
        <v>201</v>
      </c>
      <c r="E24" s="1" t="s">
        <v>2313</v>
      </c>
    </row>
    <row r="25" spans="1:5">
      <c r="A25" s="1" t="s">
        <v>2314</v>
      </c>
      <c r="B25" s="1" t="s">
        <v>2315</v>
      </c>
      <c r="C25" s="1" t="s">
        <v>2316</v>
      </c>
      <c r="D25" s="1" t="s">
        <v>201</v>
      </c>
      <c r="E25" s="1" t="s">
        <v>2317</v>
      </c>
    </row>
    <row r="26" spans="1:5">
      <c r="A26" s="1" t="s">
        <v>2318</v>
      </c>
      <c r="B26" s="1" t="s">
        <v>2319</v>
      </c>
      <c r="C26" s="1" t="s">
        <v>2320</v>
      </c>
      <c r="D26" s="1" t="s">
        <v>201</v>
      </c>
      <c r="E26" s="1" t="s">
        <v>2321</v>
      </c>
    </row>
    <row r="27" spans="1:5">
      <c r="A27" s="1" t="s">
        <v>2322</v>
      </c>
      <c r="B27" s="1" t="s">
        <v>2323</v>
      </c>
      <c r="C27" s="1" t="s">
        <v>2324</v>
      </c>
      <c r="D27" s="1" t="s">
        <v>201</v>
      </c>
      <c r="E27" s="1" t="s">
        <v>2325</v>
      </c>
    </row>
    <row r="28" spans="1:5">
      <c r="A28" s="1" t="s">
        <v>2326</v>
      </c>
      <c r="B28" s="1" t="s">
        <v>2327</v>
      </c>
      <c r="C28" s="1" t="s">
        <v>2328</v>
      </c>
      <c r="D28" s="1" t="s">
        <v>201</v>
      </c>
      <c r="E28" s="1" t="s">
        <v>2329</v>
      </c>
    </row>
    <row r="29" spans="1:5">
      <c r="A29" s="1" t="s">
        <v>2330</v>
      </c>
      <c r="B29" s="1" t="s">
        <v>2331</v>
      </c>
      <c r="C29" s="1" t="s">
        <v>2332</v>
      </c>
      <c r="D29" s="1" t="s">
        <v>201</v>
      </c>
      <c r="E29" s="1" t="s">
        <v>2333</v>
      </c>
    </row>
    <row r="30" spans="1:5">
      <c r="A30" s="1" t="s">
        <v>2334</v>
      </c>
      <c r="B30" s="1" t="s">
        <v>2335</v>
      </c>
      <c r="C30" s="1" t="s">
        <v>2336</v>
      </c>
      <c r="D30" s="1" t="s">
        <v>201</v>
      </c>
      <c r="E30" s="1" t="s">
        <v>2337</v>
      </c>
    </row>
    <row r="31" spans="1:5">
      <c r="A31" s="1" t="s">
        <v>2338</v>
      </c>
      <c r="B31" s="1" t="s">
        <v>2339</v>
      </c>
      <c r="C31" s="1" t="s">
        <v>2340</v>
      </c>
      <c r="D31" s="1" t="s">
        <v>201</v>
      </c>
      <c r="E31" s="1" t="s">
        <v>2341</v>
      </c>
    </row>
    <row r="32" spans="1:5">
      <c r="A32" s="1" t="s">
        <v>2342</v>
      </c>
      <c r="B32" s="1" t="s">
        <v>2343</v>
      </c>
      <c r="C32" s="1" t="s">
        <v>2344</v>
      </c>
      <c r="D32" s="1" t="s">
        <v>201</v>
      </c>
      <c r="E32" s="1" t="s">
        <v>2345</v>
      </c>
    </row>
    <row r="33" spans="1:5">
      <c r="A33" s="1" t="s">
        <v>2346</v>
      </c>
      <c r="B33" s="1" t="s">
        <v>2347</v>
      </c>
      <c r="C33" s="1" t="s">
        <v>2348</v>
      </c>
      <c r="D33" s="1" t="s">
        <v>201</v>
      </c>
      <c r="E33" s="1" t="s">
        <v>2349</v>
      </c>
    </row>
    <row r="34" spans="1:5">
      <c r="A34" s="1" t="s">
        <v>2350</v>
      </c>
      <c r="B34" s="1" t="s">
        <v>2351</v>
      </c>
      <c r="C34" s="1" t="s">
        <v>2352</v>
      </c>
      <c r="D34" s="1" t="s">
        <v>201</v>
      </c>
      <c r="E34" s="1" t="s">
        <v>2353</v>
      </c>
    </row>
    <row r="35" spans="1:5">
      <c r="A35" s="1" t="s">
        <v>2354</v>
      </c>
      <c r="B35" s="1" t="s">
        <v>2355</v>
      </c>
      <c r="C35" s="1" t="s">
        <v>2356</v>
      </c>
      <c r="D35" s="1" t="s">
        <v>201</v>
      </c>
      <c r="E35" s="1" t="s">
        <v>2357</v>
      </c>
    </row>
    <row r="36" spans="1:5">
      <c r="A36" s="1" t="s">
        <v>2358</v>
      </c>
      <c r="B36" s="1" t="s">
        <v>2359</v>
      </c>
      <c r="C36" s="1" t="s">
        <v>2360</v>
      </c>
      <c r="D36" s="1" t="s">
        <v>201</v>
      </c>
      <c r="E36" s="1" t="s">
        <v>2361</v>
      </c>
    </row>
    <row r="37" spans="1:5">
      <c r="A37" s="1" t="s">
        <v>2362</v>
      </c>
      <c r="B37" s="1" t="s">
        <v>2363</v>
      </c>
      <c r="C37" s="1" t="s">
        <v>2364</v>
      </c>
      <c r="D37" s="1" t="s">
        <v>201</v>
      </c>
      <c r="E37" s="1" t="s">
        <v>2365</v>
      </c>
    </row>
    <row r="38" spans="1:5">
      <c r="A38" s="1" t="s">
        <v>2366</v>
      </c>
      <c r="B38" s="1" t="s">
        <v>2367</v>
      </c>
      <c r="C38" s="1" t="s">
        <v>2368</v>
      </c>
      <c r="D38" s="1" t="s">
        <v>201</v>
      </c>
      <c r="E38" s="1" t="s">
        <v>2369</v>
      </c>
    </row>
    <row r="39" spans="1:5">
      <c r="A39" s="1" t="s">
        <v>2370</v>
      </c>
      <c r="B39" s="1" t="s">
        <v>2371</v>
      </c>
      <c r="C39" s="1" t="s">
        <v>2372</v>
      </c>
      <c r="D39" s="1" t="s">
        <v>201</v>
      </c>
      <c r="E39" s="1" t="s">
        <v>2373</v>
      </c>
    </row>
    <row r="40" spans="1:5">
      <c r="A40" s="1" t="s">
        <v>2374</v>
      </c>
      <c r="B40" s="1" t="s">
        <v>2375</v>
      </c>
      <c r="C40" s="1" t="s">
        <v>2376</v>
      </c>
      <c r="D40" s="1" t="s">
        <v>201</v>
      </c>
      <c r="E40" s="1" t="s">
        <v>2377</v>
      </c>
    </row>
    <row r="41" spans="1:5">
      <c r="A41" s="1" t="s">
        <v>2378</v>
      </c>
      <c r="B41" s="1" t="s">
        <v>2379</v>
      </c>
      <c r="C41" s="1" t="s">
        <v>2380</v>
      </c>
      <c r="D41" s="1" t="s">
        <v>201</v>
      </c>
      <c r="E41" s="1" t="s">
        <v>2381</v>
      </c>
    </row>
    <row r="42" spans="1:5">
      <c r="A42" s="1" t="s">
        <v>2382</v>
      </c>
      <c r="B42" s="1" t="s">
        <v>2383</v>
      </c>
      <c r="C42" s="1" t="s">
        <v>2384</v>
      </c>
      <c r="D42" s="1" t="s">
        <v>201</v>
      </c>
      <c r="E42" s="1" t="s">
        <v>2385</v>
      </c>
    </row>
    <row r="43" spans="1:5">
      <c r="A43" s="1" t="s">
        <v>2386</v>
      </c>
      <c r="B43" s="1" t="s">
        <v>2387</v>
      </c>
      <c r="C43" s="1" t="s">
        <v>2388</v>
      </c>
      <c r="D43" s="1" t="s">
        <v>201</v>
      </c>
      <c r="E43" s="1" t="s">
        <v>2389</v>
      </c>
    </row>
    <row r="44" spans="1:5">
      <c r="A44" s="1" t="s">
        <v>2390</v>
      </c>
      <c r="B44" s="1" t="s">
        <v>2391</v>
      </c>
      <c r="C44" s="1" t="s">
        <v>2392</v>
      </c>
      <c r="D44" s="1" t="s">
        <v>201</v>
      </c>
      <c r="E44" s="1" t="s">
        <v>2393</v>
      </c>
    </row>
    <row r="45" spans="1:5">
      <c r="A45" s="1" t="s">
        <v>2394</v>
      </c>
      <c r="B45" s="1" t="s">
        <v>2395</v>
      </c>
      <c r="C45" s="1" t="s">
        <v>2396</v>
      </c>
      <c r="D45" s="1" t="s">
        <v>201</v>
      </c>
      <c r="E45" s="1" t="s">
        <v>2397</v>
      </c>
    </row>
    <row r="46" spans="1:5">
      <c r="A46" s="1" t="s">
        <v>2398</v>
      </c>
      <c r="B46" s="1" t="s">
        <v>2399</v>
      </c>
      <c r="C46" s="1" t="s">
        <v>2400</v>
      </c>
      <c r="D46" s="1" t="s">
        <v>201</v>
      </c>
      <c r="E46" s="1" t="s">
        <v>2401</v>
      </c>
    </row>
    <row r="47" spans="1:5">
      <c r="A47" s="1" t="s">
        <v>2402</v>
      </c>
      <c r="B47" s="1" t="s">
        <v>2403</v>
      </c>
      <c r="C47" s="1" t="s">
        <v>2404</v>
      </c>
      <c r="D47" s="1" t="s">
        <v>201</v>
      </c>
      <c r="E47" s="1" t="s">
        <v>2405</v>
      </c>
    </row>
    <row r="48" spans="1:5">
      <c r="A48" s="1" t="s">
        <v>2406</v>
      </c>
      <c r="B48" s="1" t="s">
        <v>2407</v>
      </c>
      <c r="C48" s="1" t="s">
        <v>2408</v>
      </c>
      <c r="D48" s="1" t="s">
        <v>201</v>
      </c>
      <c r="E48" s="1" t="s">
        <v>2409</v>
      </c>
    </row>
    <row r="49" spans="1:5">
      <c r="A49" s="1" t="s">
        <v>2410</v>
      </c>
      <c r="B49" s="1" t="s">
        <v>2411</v>
      </c>
      <c r="C49" s="1" t="s">
        <v>2412</v>
      </c>
      <c r="D49" s="1" t="s">
        <v>201</v>
      </c>
      <c r="E49" s="1" t="s">
        <v>2413</v>
      </c>
    </row>
    <row r="50" spans="1:5">
      <c r="A50" s="1" t="s">
        <v>2414</v>
      </c>
      <c r="B50" s="1" t="s">
        <v>2415</v>
      </c>
      <c r="C50" s="1" t="s">
        <v>2416</v>
      </c>
      <c r="D50" s="1" t="s">
        <v>201</v>
      </c>
      <c r="E50" s="1" t="s">
        <v>2417</v>
      </c>
    </row>
    <row r="51" spans="1:5">
      <c r="A51" s="1" t="s">
        <v>2418</v>
      </c>
      <c r="B51" s="1" t="s">
        <v>2419</v>
      </c>
      <c r="C51" s="1" t="s">
        <v>2420</v>
      </c>
      <c r="D51" s="1" t="s">
        <v>201</v>
      </c>
      <c r="E51" s="1" t="s">
        <v>2421</v>
      </c>
    </row>
    <row r="52" spans="1:5">
      <c r="A52" s="1" t="s">
        <v>2422</v>
      </c>
      <c r="B52" s="1" t="s">
        <v>2423</v>
      </c>
      <c r="C52" s="1" t="s">
        <v>2424</v>
      </c>
      <c r="D52" s="1" t="s">
        <v>201</v>
      </c>
      <c r="E52" s="1" t="s">
        <v>2425</v>
      </c>
    </row>
    <row r="53" spans="1:5">
      <c r="A53" s="1" t="s">
        <v>2426</v>
      </c>
      <c r="B53" s="1" t="s">
        <v>2427</v>
      </c>
      <c r="C53" s="1" t="s">
        <v>2428</v>
      </c>
      <c r="D53" s="1" t="s">
        <v>201</v>
      </c>
      <c r="E53" s="1" t="s">
        <v>2429</v>
      </c>
    </row>
    <row r="54" spans="1:5">
      <c r="A54" s="1" t="s">
        <v>2430</v>
      </c>
      <c r="B54" s="1" t="s">
        <v>2431</v>
      </c>
      <c r="C54" s="1" t="s">
        <v>2432</v>
      </c>
      <c r="D54" s="1" t="s">
        <v>201</v>
      </c>
      <c r="E54" s="1" t="s">
        <v>2433</v>
      </c>
    </row>
    <row r="55" spans="1:5">
      <c r="A55" s="1" t="s">
        <v>2434</v>
      </c>
      <c r="B55" s="1" t="s">
        <v>2435</v>
      </c>
      <c r="C55" s="1" t="s">
        <v>2436</v>
      </c>
      <c r="D55" s="1" t="s">
        <v>201</v>
      </c>
      <c r="E55" s="1" t="s">
        <v>2437</v>
      </c>
    </row>
    <row r="56" spans="1:5">
      <c r="A56" s="1" t="s">
        <v>2438</v>
      </c>
      <c r="B56" s="1" t="s">
        <v>2439</v>
      </c>
      <c r="C56" s="1" t="s">
        <v>2440</v>
      </c>
      <c r="D56" s="1" t="s">
        <v>201</v>
      </c>
      <c r="E56" s="1" t="s">
        <v>2441</v>
      </c>
    </row>
    <row r="57" spans="1:5">
      <c r="A57" s="1" t="s">
        <v>2442</v>
      </c>
      <c r="B57" s="1" t="s">
        <v>2443</v>
      </c>
      <c r="C57" s="1" t="s">
        <v>2444</v>
      </c>
      <c r="D57" s="1" t="s">
        <v>201</v>
      </c>
      <c r="E57" s="1" t="s">
        <v>2445</v>
      </c>
    </row>
    <row r="58" spans="1:5">
      <c r="A58" s="1" t="s">
        <v>2446</v>
      </c>
      <c r="B58" s="1" t="s">
        <v>2447</v>
      </c>
      <c r="C58" s="1" t="s">
        <v>2448</v>
      </c>
      <c r="D58" s="1" t="s">
        <v>201</v>
      </c>
      <c r="E58" s="1" t="s">
        <v>2449</v>
      </c>
    </row>
    <row r="59" spans="1:5">
      <c r="A59" s="1" t="s">
        <v>2450</v>
      </c>
      <c r="B59" s="1" t="s">
        <v>2451</v>
      </c>
      <c r="C59" s="1" t="s">
        <v>2452</v>
      </c>
      <c r="D59" s="1" t="s">
        <v>201</v>
      </c>
      <c r="E59" s="1" t="s">
        <v>2453</v>
      </c>
    </row>
    <row r="60" spans="1:5">
      <c r="A60" s="1" t="s">
        <v>2454</v>
      </c>
      <c r="B60" s="1" t="s">
        <v>2455</v>
      </c>
      <c r="C60" s="1" t="s">
        <v>2456</v>
      </c>
      <c r="D60" s="1" t="s">
        <v>201</v>
      </c>
      <c r="E60" s="1" t="s">
        <v>2457</v>
      </c>
    </row>
    <row r="61" spans="1:5">
      <c r="A61" s="1" t="s">
        <v>2458</v>
      </c>
      <c r="B61" s="1" t="s">
        <v>2459</v>
      </c>
      <c r="C61" s="1" t="s">
        <v>2460</v>
      </c>
      <c r="D61" s="1" t="s">
        <v>201</v>
      </c>
      <c r="E61" s="1" t="s">
        <v>2461</v>
      </c>
    </row>
    <row r="62" spans="1:5">
      <c r="A62" s="1" t="s">
        <v>2462</v>
      </c>
      <c r="B62" s="1" t="s">
        <v>2463</v>
      </c>
      <c r="C62" s="1" t="s">
        <v>2464</v>
      </c>
      <c r="D62" s="1" t="s">
        <v>201</v>
      </c>
      <c r="E62" s="1" t="s">
        <v>2465</v>
      </c>
    </row>
    <row r="63" spans="1:5">
      <c r="A63" s="1" t="s">
        <v>2466</v>
      </c>
      <c r="B63" s="1" t="s">
        <v>2467</v>
      </c>
      <c r="C63" s="1" t="s">
        <v>2468</v>
      </c>
      <c r="D63" s="1" t="s">
        <v>201</v>
      </c>
      <c r="E63" s="1" t="s">
        <v>2469</v>
      </c>
    </row>
    <row r="64" spans="1:5">
      <c r="A64" s="1" t="s">
        <v>2470</v>
      </c>
      <c r="B64" s="1" t="s">
        <v>2471</v>
      </c>
      <c r="C64" s="1" t="s">
        <v>2472</v>
      </c>
      <c r="D64" s="1" t="s">
        <v>201</v>
      </c>
      <c r="E64" s="1" t="s">
        <v>2473</v>
      </c>
    </row>
    <row r="65" spans="1:5">
      <c r="A65" s="1" t="s">
        <v>2474</v>
      </c>
      <c r="B65" s="1" t="s">
        <v>2475</v>
      </c>
      <c r="C65" s="1" t="s">
        <v>2476</v>
      </c>
      <c r="D65" s="1" t="s">
        <v>201</v>
      </c>
      <c r="E65" s="1" t="s">
        <v>2477</v>
      </c>
    </row>
    <row r="66" spans="1:5">
      <c r="A66" s="1" t="s">
        <v>2478</v>
      </c>
      <c r="B66" s="1" t="s">
        <v>2479</v>
      </c>
      <c r="C66" s="1" t="s">
        <v>2480</v>
      </c>
      <c r="D66" s="1" t="s">
        <v>201</v>
      </c>
      <c r="E66" s="1" t="s">
        <v>2481</v>
      </c>
    </row>
    <row r="67" spans="1:5">
      <c r="A67" s="1" t="s">
        <v>2482</v>
      </c>
      <c r="B67" s="1" t="s">
        <v>2483</v>
      </c>
      <c r="C67" s="1" t="s">
        <v>2484</v>
      </c>
      <c r="D67" s="1" t="s">
        <v>201</v>
      </c>
      <c r="E67" s="1" t="s">
        <v>2485</v>
      </c>
    </row>
    <row r="68" spans="1:5">
      <c r="A68" s="1" t="s">
        <v>2486</v>
      </c>
      <c r="B68" s="1" t="s">
        <v>2487</v>
      </c>
      <c r="C68" s="1" t="s">
        <v>2488</v>
      </c>
      <c r="D68" s="1" t="s">
        <v>201</v>
      </c>
      <c r="E68" s="1" t="s">
        <v>2489</v>
      </c>
    </row>
    <row r="69" spans="1:5">
      <c r="A69" s="1" t="s">
        <v>2490</v>
      </c>
      <c r="B69" s="1" t="s">
        <v>2491</v>
      </c>
      <c r="C69" s="1" t="s">
        <v>2492</v>
      </c>
      <c r="D69" s="1" t="s">
        <v>201</v>
      </c>
      <c r="E69" s="1" t="s">
        <v>2493</v>
      </c>
    </row>
    <row r="70" spans="1:5">
      <c r="A70" s="1" t="s">
        <v>2494</v>
      </c>
      <c r="B70" s="1" t="s">
        <v>2495</v>
      </c>
      <c r="C70" s="1" t="s">
        <v>2496</v>
      </c>
      <c r="D70" s="1" t="s">
        <v>201</v>
      </c>
      <c r="E70" s="1" t="s">
        <v>2497</v>
      </c>
    </row>
    <row r="71" spans="1:5">
      <c r="A71" s="1" t="s">
        <v>2498</v>
      </c>
      <c r="B71" s="1" t="s">
        <v>2499</v>
      </c>
      <c r="C71" s="1" t="s">
        <v>2500</v>
      </c>
      <c r="D71" s="1" t="s">
        <v>201</v>
      </c>
      <c r="E71" s="1" t="s">
        <v>2501</v>
      </c>
    </row>
    <row r="72" spans="1:5">
      <c r="A72" s="1" t="s">
        <v>2502</v>
      </c>
      <c r="B72" s="1" t="s">
        <v>2503</v>
      </c>
      <c r="C72" s="1" t="s">
        <v>2504</v>
      </c>
      <c r="D72" s="1" t="s">
        <v>201</v>
      </c>
      <c r="E72" s="1" t="s">
        <v>2505</v>
      </c>
    </row>
    <row r="73" spans="1:5">
      <c r="A73" s="1" t="s">
        <v>2506</v>
      </c>
      <c r="B73" s="1" t="s">
        <v>2507</v>
      </c>
      <c r="C73" s="1" t="s">
        <v>2508</v>
      </c>
      <c r="D73" s="1" t="s">
        <v>201</v>
      </c>
      <c r="E73" s="1" t="s">
        <v>2509</v>
      </c>
    </row>
    <row r="74" spans="1:5">
      <c r="A74" s="1" t="s">
        <v>2510</v>
      </c>
      <c r="B74" s="1" t="s">
        <v>2511</v>
      </c>
      <c r="C74" s="1" t="s">
        <v>2512</v>
      </c>
      <c r="D74" s="1" t="s">
        <v>201</v>
      </c>
      <c r="E74" s="1" t="s">
        <v>2513</v>
      </c>
    </row>
    <row r="75" spans="1:5">
      <c r="A75" s="1" t="s">
        <v>2514</v>
      </c>
      <c r="B75" s="1" t="s">
        <v>2515</v>
      </c>
      <c r="C75" s="1" t="s">
        <v>2516</v>
      </c>
      <c r="D75" s="1" t="s">
        <v>201</v>
      </c>
      <c r="E75" s="1" t="s">
        <v>2517</v>
      </c>
    </row>
  </sheetData>
  <mergeCells count="2">
    <mergeCell ref="A2:E2"/>
    <mergeCell ref="A1:E1"/>
  </mergeCells>
  <pageMargins left="0.75" right="0.75" top="1" bottom="1" header="0.5" footer="0.5"/>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11"/>
  <sheetViews>
    <sheetView showGridLines="0" workbookViewId="0">
      <pane ySplit="4" topLeftCell="A5" activePane="bottomLeft" state="frozen"/>
      <selection pane="bottomLeft"/>
    </sheetView>
  </sheetViews>
  <sheetFormatPr defaultRowHeight="15"/>
  <cols>
    <col min="1" max="1" width="12" customWidth="1"/>
    <col min="2" max="2" width="30" customWidth="1"/>
    <col min="3" max="3" width="94" customWidth="1"/>
    <col min="4" max="4" width="32" customWidth="1"/>
    <col min="5" max="5" width="54" customWidth="1"/>
    <col min="6" max="6" width="28" customWidth="1"/>
  </cols>
  <sheetData>
    <row r="1" spans="1:6">
      <c r="A1" s="27" t="s">
        <v>2518</v>
      </c>
      <c r="B1" s="30"/>
      <c r="C1" s="30"/>
      <c r="D1" s="30"/>
      <c r="E1" s="30"/>
      <c r="F1" s="30"/>
    </row>
    <row r="2" spans="1:6" ht="54" customHeight="1">
      <c r="A2" s="26" t="s">
        <v>2519</v>
      </c>
      <c r="B2" s="30"/>
      <c r="C2" s="30"/>
      <c r="D2" s="30"/>
      <c r="E2" s="30"/>
      <c r="F2" s="30"/>
    </row>
    <row r="4" spans="1:6">
      <c r="A4" s="6" t="s">
        <v>188</v>
      </c>
      <c r="B4" s="6" t="s">
        <v>2520</v>
      </c>
      <c r="C4" s="6" t="s">
        <v>2521</v>
      </c>
      <c r="D4" s="6" t="s">
        <v>2522</v>
      </c>
      <c r="E4" s="6" t="s">
        <v>2523</v>
      </c>
      <c r="F4" s="6" t="s">
        <v>2232</v>
      </c>
    </row>
    <row r="5" spans="1:6">
      <c r="A5" s="1" t="s">
        <v>2524</v>
      </c>
      <c r="B5" s="1" t="s">
        <v>2525</v>
      </c>
      <c r="C5" s="1" t="s">
        <v>2526</v>
      </c>
      <c r="D5" s="1" t="s">
        <v>2527</v>
      </c>
      <c r="E5" s="1" t="s">
        <v>2528</v>
      </c>
      <c r="F5" s="1" t="s">
        <v>201</v>
      </c>
    </row>
    <row r="6" spans="1:6">
      <c r="A6" s="1" t="s">
        <v>2529</v>
      </c>
      <c r="B6" s="1" t="s">
        <v>2530</v>
      </c>
      <c r="C6" s="1" t="s">
        <v>2531</v>
      </c>
      <c r="D6" s="1" t="s">
        <v>2532</v>
      </c>
      <c r="E6" s="1" t="s">
        <v>2533</v>
      </c>
      <c r="F6" s="1" t="s">
        <v>201</v>
      </c>
    </row>
    <row r="7" spans="1:6">
      <c r="A7" s="1" t="s">
        <v>2534</v>
      </c>
      <c r="B7" s="1" t="s">
        <v>2535</v>
      </c>
      <c r="C7" s="1" t="s">
        <v>2536</v>
      </c>
      <c r="D7" s="1" t="s">
        <v>2537</v>
      </c>
      <c r="E7" s="1" t="s">
        <v>2538</v>
      </c>
      <c r="F7" s="1" t="s">
        <v>201</v>
      </c>
    </row>
    <row r="8" spans="1:6">
      <c r="A8" s="1" t="s">
        <v>2539</v>
      </c>
      <c r="B8" s="1" t="s">
        <v>1091</v>
      </c>
      <c r="C8" s="1" t="s">
        <v>2540</v>
      </c>
      <c r="D8" s="1" t="s">
        <v>1092</v>
      </c>
      <c r="E8" s="1" t="s">
        <v>2541</v>
      </c>
      <c r="F8" s="1" t="s">
        <v>201</v>
      </c>
    </row>
    <row r="9" spans="1:6">
      <c r="A9" s="1" t="s">
        <v>2542</v>
      </c>
      <c r="B9" s="1" t="s">
        <v>2543</v>
      </c>
      <c r="C9" s="1" t="s">
        <v>2544</v>
      </c>
      <c r="D9" s="1" t="s">
        <v>2545</v>
      </c>
      <c r="E9" s="1" t="s">
        <v>2546</v>
      </c>
      <c r="F9" s="1" t="s">
        <v>201</v>
      </c>
    </row>
    <row r="10" spans="1:6">
      <c r="A10" s="1" t="s">
        <v>2547</v>
      </c>
      <c r="B10" s="1" t="s">
        <v>1085</v>
      </c>
      <c r="C10" s="1" t="s">
        <v>2548</v>
      </c>
      <c r="D10" s="1" t="s">
        <v>2549</v>
      </c>
      <c r="E10" s="1" t="s">
        <v>2550</v>
      </c>
      <c r="F10" s="1" t="s">
        <v>201</v>
      </c>
    </row>
    <row r="11" spans="1:6">
      <c r="A11" s="1" t="s">
        <v>2551</v>
      </c>
      <c r="B11" s="1" t="s">
        <v>2552</v>
      </c>
      <c r="C11" s="1" t="s">
        <v>2553</v>
      </c>
      <c r="D11" s="1" t="s">
        <v>2554</v>
      </c>
      <c r="E11" s="1" t="s">
        <v>2555</v>
      </c>
      <c r="F11" s="1" t="s">
        <v>201</v>
      </c>
    </row>
    <row r="12" spans="1:6">
      <c r="A12" s="1" t="s">
        <v>2556</v>
      </c>
      <c r="B12" s="1" t="s">
        <v>720</v>
      </c>
      <c r="C12" s="1" t="s">
        <v>2557</v>
      </c>
      <c r="D12" s="1" t="s">
        <v>2558</v>
      </c>
      <c r="E12" s="1" t="s">
        <v>2559</v>
      </c>
      <c r="F12" s="1" t="s">
        <v>201</v>
      </c>
    </row>
    <row r="13" spans="1:6">
      <c r="A13" s="1" t="s">
        <v>2560</v>
      </c>
      <c r="B13" s="1" t="s">
        <v>2561</v>
      </c>
      <c r="C13" s="1" t="s">
        <v>2562</v>
      </c>
      <c r="D13" s="1" t="s">
        <v>2563</v>
      </c>
      <c r="E13" s="1" t="s">
        <v>2564</v>
      </c>
      <c r="F13" s="1" t="s">
        <v>201</v>
      </c>
    </row>
    <row r="14" spans="1:6">
      <c r="A14" s="1" t="s">
        <v>2565</v>
      </c>
      <c r="B14" s="1" t="s">
        <v>2566</v>
      </c>
      <c r="C14" s="1" t="s">
        <v>2567</v>
      </c>
      <c r="D14" s="1" t="s">
        <v>2568</v>
      </c>
      <c r="E14" s="1" t="s">
        <v>2569</v>
      </c>
      <c r="F14" s="1" t="s">
        <v>201</v>
      </c>
    </row>
    <row r="15" spans="1:6">
      <c r="A15" s="1" t="s">
        <v>2570</v>
      </c>
      <c r="B15" s="1" t="s">
        <v>1415</v>
      </c>
      <c r="C15" s="1" t="s">
        <v>2571</v>
      </c>
      <c r="D15" s="1" t="s">
        <v>2572</v>
      </c>
      <c r="E15" s="1" t="s">
        <v>2573</v>
      </c>
      <c r="F15" s="1" t="s">
        <v>201</v>
      </c>
    </row>
    <row r="16" spans="1:6">
      <c r="A16" s="1" t="s">
        <v>2574</v>
      </c>
      <c r="B16" s="1" t="s">
        <v>2575</v>
      </c>
      <c r="C16" s="1" t="s">
        <v>2576</v>
      </c>
      <c r="D16" s="1" t="s">
        <v>2577</v>
      </c>
      <c r="E16" s="1" t="s">
        <v>2578</v>
      </c>
      <c r="F16" s="1" t="s">
        <v>201</v>
      </c>
    </row>
    <row r="17" spans="1:6">
      <c r="A17" s="1" t="s">
        <v>2579</v>
      </c>
      <c r="B17" s="1" t="s">
        <v>2580</v>
      </c>
      <c r="C17" s="1" t="s">
        <v>2581</v>
      </c>
      <c r="D17" s="1" t="s">
        <v>2582</v>
      </c>
      <c r="E17" s="1" t="s">
        <v>2583</v>
      </c>
      <c r="F17" s="1" t="s">
        <v>201</v>
      </c>
    </row>
    <row r="18" spans="1:6">
      <c r="A18" s="1" t="s">
        <v>2584</v>
      </c>
      <c r="B18" s="1" t="s">
        <v>2585</v>
      </c>
      <c r="C18" s="1" t="s">
        <v>2586</v>
      </c>
      <c r="D18" s="1" t="s">
        <v>2582</v>
      </c>
      <c r="E18" s="1" t="s">
        <v>2587</v>
      </c>
      <c r="F18" s="1" t="s">
        <v>201</v>
      </c>
    </row>
    <row r="19" spans="1:6">
      <c r="A19" s="1" t="s">
        <v>2588</v>
      </c>
      <c r="B19" s="1" t="s">
        <v>2589</v>
      </c>
      <c r="C19" s="1" t="s">
        <v>2590</v>
      </c>
      <c r="D19" s="1" t="s">
        <v>2591</v>
      </c>
      <c r="E19" s="1" t="s">
        <v>2592</v>
      </c>
      <c r="F19" s="1" t="s">
        <v>201</v>
      </c>
    </row>
    <row r="20" spans="1:6">
      <c r="A20" s="1" t="s">
        <v>2593</v>
      </c>
      <c r="B20" s="1" t="s">
        <v>2594</v>
      </c>
      <c r="C20" s="1" t="s">
        <v>2595</v>
      </c>
      <c r="D20" s="1" t="s">
        <v>243</v>
      </c>
      <c r="E20" s="1" t="s">
        <v>2596</v>
      </c>
      <c r="F20" s="1" t="s">
        <v>201</v>
      </c>
    </row>
    <row r="21" spans="1:6">
      <c r="A21" s="1" t="s">
        <v>2597</v>
      </c>
      <c r="B21" s="1" t="s">
        <v>2598</v>
      </c>
      <c r="C21" s="1" t="s">
        <v>2599</v>
      </c>
      <c r="D21" s="1" t="s">
        <v>243</v>
      </c>
      <c r="E21" s="1" t="s">
        <v>2600</v>
      </c>
      <c r="F21" s="1" t="s">
        <v>201</v>
      </c>
    </row>
    <row r="22" spans="1:6">
      <c r="A22" s="1" t="s">
        <v>2601</v>
      </c>
      <c r="B22" s="1" t="s">
        <v>2602</v>
      </c>
      <c r="C22" s="1" t="s">
        <v>2603</v>
      </c>
      <c r="D22" s="1" t="s">
        <v>243</v>
      </c>
      <c r="E22" s="1" t="s">
        <v>2604</v>
      </c>
      <c r="F22" s="1" t="s">
        <v>201</v>
      </c>
    </row>
    <row r="23" spans="1:6">
      <c r="A23" s="1" t="s">
        <v>2605</v>
      </c>
      <c r="B23" s="1" t="s">
        <v>2606</v>
      </c>
      <c r="C23" s="1" t="s">
        <v>2607</v>
      </c>
      <c r="D23" s="1" t="s">
        <v>283</v>
      </c>
      <c r="E23" s="1" t="s">
        <v>2608</v>
      </c>
      <c r="F23" s="1" t="s">
        <v>201</v>
      </c>
    </row>
    <row r="24" spans="1:6" ht="75" customHeight="1">
      <c r="A24" s="1" t="s">
        <v>2609</v>
      </c>
      <c r="B24" s="1" t="s">
        <v>2610</v>
      </c>
      <c r="C24" s="1" t="s">
        <v>2611</v>
      </c>
      <c r="D24" s="1" t="s">
        <v>2612</v>
      </c>
      <c r="E24" s="1" t="s">
        <v>2613</v>
      </c>
      <c r="F24" s="1" t="s">
        <v>201</v>
      </c>
    </row>
    <row r="25" spans="1:6" ht="75" customHeight="1">
      <c r="A25" s="1" t="s">
        <v>2614</v>
      </c>
      <c r="B25" s="1" t="s">
        <v>2615</v>
      </c>
      <c r="C25" s="1" t="s">
        <v>2616</v>
      </c>
      <c r="D25" s="1" t="s">
        <v>2617</v>
      </c>
      <c r="E25" s="1" t="s">
        <v>2618</v>
      </c>
      <c r="F25" s="1" t="s">
        <v>201</v>
      </c>
    </row>
    <row r="26" spans="1:6" ht="75" customHeight="1">
      <c r="A26" s="1" t="s">
        <v>2619</v>
      </c>
      <c r="B26" s="1" t="s">
        <v>2620</v>
      </c>
      <c r="C26" s="1" t="s">
        <v>2621</v>
      </c>
      <c r="D26" s="1" t="s">
        <v>2622</v>
      </c>
      <c r="E26" s="1" t="s">
        <v>2623</v>
      </c>
      <c r="F26" s="1" t="s">
        <v>201</v>
      </c>
    </row>
    <row r="27" spans="1:6" ht="75" customHeight="1">
      <c r="A27" s="1" t="s">
        <v>2624</v>
      </c>
      <c r="B27" s="1" t="s">
        <v>2625</v>
      </c>
      <c r="C27" s="1" t="s">
        <v>2626</v>
      </c>
      <c r="D27" s="1" t="s">
        <v>2627</v>
      </c>
      <c r="E27" s="1" t="s">
        <v>2628</v>
      </c>
      <c r="F27" s="1" t="s">
        <v>201</v>
      </c>
    </row>
    <row r="28" spans="1:6">
      <c r="A28" s="1" t="s">
        <v>2629</v>
      </c>
      <c r="B28" s="1" t="s">
        <v>2630</v>
      </c>
      <c r="C28" s="1" t="s">
        <v>2631</v>
      </c>
      <c r="D28" s="1" t="s">
        <v>2632</v>
      </c>
      <c r="E28" s="1" t="s">
        <v>2633</v>
      </c>
      <c r="F28" s="1" t="s">
        <v>201</v>
      </c>
    </row>
    <row r="29" spans="1:6">
      <c r="A29" s="1" t="s">
        <v>2634</v>
      </c>
      <c r="B29" s="1" t="s">
        <v>2635</v>
      </c>
      <c r="C29" s="1" t="s">
        <v>2636</v>
      </c>
      <c r="D29" s="1" t="s">
        <v>2637</v>
      </c>
      <c r="E29" s="1" t="s">
        <v>2638</v>
      </c>
      <c r="F29" s="1" t="s">
        <v>201</v>
      </c>
    </row>
    <row r="30" spans="1:6">
      <c r="A30" s="1" t="s">
        <v>2639</v>
      </c>
      <c r="B30" s="1" t="s">
        <v>2640</v>
      </c>
      <c r="C30" s="1" t="s">
        <v>2641</v>
      </c>
      <c r="D30" s="1" t="s">
        <v>2642</v>
      </c>
      <c r="E30" s="1" t="s">
        <v>2643</v>
      </c>
      <c r="F30" s="1" t="s">
        <v>201</v>
      </c>
    </row>
    <row r="31" spans="1:6">
      <c r="A31" s="1" t="s">
        <v>2644</v>
      </c>
      <c r="B31" s="1" t="s">
        <v>2645</v>
      </c>
      <c r="C31" s="1" t="s">
        <v>2646</v>
      </c>
      <c r="D31" s="1" t="s">
        <v>2647</v>
      </c>
      <c r="E31" s="1" t="s">
        <v>2648</v>
      </c>
      <c r="F31" s="1" t="s">
        <v>201</v>
      </c>
    </row>
    <row r="32" spans="1:6">
      <c r="A32" s="1" t="s">
        <v>2649</v>
      </c>
      <c r="B32" s="1" t="s">
        <v>2650</v>
      </c>
      <c r="C32" s="1" t="s">
        <v>2651</v>
      </c>
      <c r="D32" s="1" t="s">
        <v>2652</v>
      </c>
      <c r="E32" s="1" t="s">
        <v>2653</v>
      </c>
      <c r="F32" s="1" t="s">
        <v>201</v>
      </c>
    </row>
    <row r="33" spans="1:6">
      <c r="A33" s="1" t="s">
        <v>2654</v>
      </c>
      <c r="B33" s="1" t="s">
        <v>2655</v>
      </c>
      <c r="C33" s="1" t="s">
        <v>2656</v>
      </c>
      <c r="D33" s="1" t="s">
        <v>2657</v>
      </c>
      <c r="E33" s="1" t="s">
        <v>2658</v>
      </c>
      <c r="F33" s="1" t="s">
        <v>201</v>
      </c>
    </row>
    <row r="34" spans="1:6">
      <c r="A34" s="1" t="s">
        <v>2659</v>
      </c>
      <c r="B34" s="1" t="s">
        <v>1265</v>
      </c>
      <c r="C34" s="1" t="s">
        <v>2660</v>
      </c>
      <c r="D34" s="1" t="s">
        <v>2661</v>
      </c>
      <c r="E34" s="1" t="s">
        <v>2662</v>
      </c>
      <c r="F34" s="1" t="s">
        <v>201</v>
      </c>
    </row>
    <row r="35" spans="1:6">
      <c r="A35" s="1" t="s">
        <v>2663</v>
      </c>
      <c r="B35" s="1" t="s">
        <v>2664</v>
      </c>
      <c r="C35" s="1" t="s">
        <v>2665</v>
      </c>
      <c r="D35" s="1" t="s">
        <v>2666</v>
      </c>
      <c r="E35" s="1" t="s">
        <v>2667</v>
      </c>
      <c r="F35" s="1" t="s">
        <v>201</v>
      </c>
    </row>
    <row r="36" spans="1:6">
      <c r="A36" s="1" t="s">
        <v>2668</v>
      </c>
      <c r="B36" s="1" t="s">
        <v>2669</v>
      </c>
      <c r="C36" s="1" t="s">
        <v>2670</v>
      </c>
      <c r="D36" s="1" t="s">
        <v>2671</v>
      </c>
      <c r="E36" s="1" t="s">
        <v>2672</v>
      </c>
      <c r="F36" s="1" t="s">
        <v>201</v>
      </c>
    </row>
    <row r="37" spans="1:6">
      <c r="A37" s="1" t="s">
        <v>2673</v>
      </c>
      <c r="B37" s="1" t="s">
        <v>2674</v>
      </c>
      <c r="C37" s="1" t="s">
        <v>2675</v>
      </c>
      <c r="D37" s="1" t="s">
        <v>2676</v>
      </c>
      <c r="E37" s="1" t="s">
        <v>2677</v>
      </c>
      <c r="F37" s="1" t="s">
        <v>201</v>
      </c>
    </row>
    <row r="38" spans="1:6">
      <c r="A38" s="1" t="s">
        <v>2678</v>
      </c>
      <c r="B38" s="1" t="s">
        <v>2679</v>
      </c>
      <c r="C38" s="1" t="s">
        <v>2680</v>
      </c>
      <c r="D38" s="1" t="s">
        <v>2681</v>
      </c>
      <c r="E38" s="1" t="s">
        <v>2682</v>
      </c>
      <c r="F38" s="1" t="s">
        <v>201</v>
      </c>
    </row>
    <row r="39" spans="1:6">
      <c r="A39" s="1" t="s">
        <v>2683</v>
      </c>
      <c r="B39" s="1" t="s">
        <v>2684</v>
      </c>
      <c r="C39" s="1" t="s">
        <v>2685</v>
      </c>
      <c r="D39" s="1" t="s">
        <v>2686</v>
      </c>
      <c r="E39" s="1" t="s">
        <v>2687</v>
      </c>
      <c r="F39" s="1" t="s">
        <v>201</v>
      </c>
    </row>
    <row r="40" spans="1:6">
      <c r="A40" s="1" t="s">
        <v>2688</v>
      </c>
      <c r="B40" s="1" t="s">
        <v>2689</v>
      </c>
      <c r="C40" s="1" t="s">
        <v>2690</v>
      </c>
      <c r="D40" s="1" t="s">
        <v>2691</v>
      </c>
      <c r="E40" s="1" t="s">
        <v>2692</v>
      </c>
      <c r="F40" s="1" t="s">
        <v>201</v>
      </c>
    </row>
    <row r="41" spans="1:6">
      <c r="A41" s="1" t="s">
        <v>2693</v>
      </c>
      <c r="B41" s="1" t="s">
        <v>2694</v>
      </c>
      <c r="C41" s="1" t="s">
        <v>2695</v>
      </c>
      <c r="D41" s="1" t="s">
        <v>218</v>
      </c>
      <c r="E41" s="1" t="s">
        <v>2696</v>
      </c>
      <c r="F41" s="1" t="s">
        <v>201</v>
      </c>
    </row>
    <row r="42" spans="1:6">
      <c r="A42" s="1" t="s">
        <v>2697</v>
      </c>
      <c r="B42" s="1" t="s">
        <v>2698</v>
      </c>
      <c r="C42" s="1" t="s">
        <v>2699</v>
      </c>
      <c r="D42" s="1" t="s">
        <v>2700</v>
      </c>
      <c r="E42" s="1" t="s">
        <v>2701</v>
      </c>
      <c r="F42" s="1" t="s">
        <v>201</v>
      </c>
    </row>
    <row r="43" spans="1:6">
      <c r="A43" s="1" t="s">
        <v>2702</v>
      </c>
      <c r="B43" s="1" t="s">
        <v>2703</v>
      </c>
      <c r="C43" s="1" t="s">
        <v>2704</v>
      </c>
      <c r="D43" s="1" t="s">
        <v>2705</v>
      </c>
      <c r="E43" s="1" t="s">
        <v>2706</v>
      </c>
      <c r="F43" s="1" t="s">
        <v>201</v>
      </c>
    </row>
    <row r="44" spans="1:6">
      <c r="A44" s="1" t="s">
        <v>2707</v>
      </c>
      <c r="B44" s="1" t="s">
        <v>2708</v>
      </c>
      <c r="C44" s="1" t="s">
        <v>2709</v>
      </c>
      <c r="D44" s="1" t="s">
        <v>2710</v>
      </c>
      <c r="E44" s="1" t="s">
        <v>2711</v>
      </c>
      <c r="F44" s="1" t="s">
        <v>201</v>
      </c>
    </row>
    <row r="45" spans="1:6">
      <c r="A45" s="1" t="s">
        <v>2712</v>
      </c>
      <c r="B45" s="1" t="s">
        <v>2713</v>
      </c>
      <c r="C45" s="1" t="s">
        <v>2714</v>
      </c>
      <c r="D45" s="1" t="s">
        <v>2715</v>
      </c>
      <c r="E45" s="1" t="s">
        <v>2716</v>
      </c>
      <c r="F45" s="1" t="s">
        <v>201</v>
      </c>
    </row>
    <row r="46" spans="1:6">
      <c r="A46" s="1" t="s">
        <v>2717</v>
      </c>
      <c r="B46" s="1" t="s">
        <v>2718</v>
      </c>
      <c r="C46" s="1" t="s">
        <v>2719</v>
      </c>
      <c r="D46" s="1" t="s">
        <v>218</v>
      </c>
      <c r="E46" s="1" t="s">
        <v>2720</v>
      </c>
      <c r="F46" s="1" t="s">
        <v>201</v>
      </c>
    </row>
    <row r="47" spans="1:6">
      <c r="A47" s="1" t="s">
        <v>2721</v>
      </c>
      <c r="B47" s="1" t="s">
        <v>2722</v>
      </c>
      <c r="C47" s="1" t="s">
        <v>2723</v>
      </c>
      <c r="D47" s="1" t="s">
        <v>2724</v>
      </c>
      <c r="E47" s="1" t="s">
        <v>2718</v>
      </c>
      <c r="F47" s="1" t="s">
        <v>201</v>
      </c>
    </row>
    <row r="48" spans="1:6">
      <c r="A48" s="1" t="s">
        <v>2725</v>
      </c>
      <c r="B48" s="1" t="s">
        <v>2726</v>
      </c>
      <c r="C48" s="1" t="s">
        <v>2727</v>
      </c>
      <c r="D48" s="1" t="s">
        <v>2728</v>
      </c>
      <c r="E48" s="1" t="s">
        <v>2729</v>
      </c>
      <c r="F48" s="1" t="s">
        <v>201</v>
      </c>
    </row>
    <row r="49" spans="1:6">
      <c r="A49" s="1" t="s">
        <v>2730</v>
      </c>
      <c r="B49" s="1" t="s">
        <v>2731</v>
      </c>
      <c r="C49" s="1" t="s">
        <v>2732</v>
      </c>
      <c r="D49" s="1" t="s">
        <v>2733</v>
      </c>
      <c r="E49" s="1" t="s">
        <v>2734</v>
      </c>
      <c r="F49" s="1" t="s">
        <v>201</v>
      </c>
    </row>
    <row r="50" spans="1:6">
      <c r="A50" s="1" t="s">
        <v>2735</v>
      </c>
      <c r="B50" s="1" t="s">
        <v>2734</v>
      </c>
      <c r="C50" s="1" t="s">
        <v>2736</v>
      </c>
      <c r="D50" s="1" t="s">
        <v>2537</v>
      </c>
      <c r="E50" s="1" t="s">
        <v>2737</v>
      </c>
      <c r="F50" s="1" t="s">
        <v>201</v>
      </c>
    </row>
    <row r="51" spans="1:6">
      <c r="A51" s="1" t="s">
        <v>2738</v>
      </c>
      <c r="B51" s="1" t="s">
        <v>2739</v>
      </c>
      <c r="C51" s="1" t="s">
        <v>2740</v>
      </c>
      <c r="D51" s="1" t="s">
        <v>1415</v>
      </c>
      <c r="E51" s="1" t="s">
        <v>2741</v>
      </c>
      <c r="F51" s="1" t="s">
        <v>201</v>
      </c>
    </row>
    <row r="52" spans="1:6">
      <c r="A52" s="1" t="s">
        <v>2742</v>
      </c>
      <c r="B52" s="1" t="s">
        <v>2743</v>
      </c>
      <c r="C52" s="1" t="s">
        <v>2744</v>
      </c>
      <c r="D52" s="1" t="s">
        <v>2745</v>
      </c>
      <c r="E52" s="1" t="s">
        <v>2746</v>
      </c>
      <c r="F52" s="1" t="s">
        <v>201</v>
      </c>
    </row>
    <row r="53" spans="1:6">
      <c r="A53" s="1" t="s">
        <v>2747</v>
      </c>
      <c r="B53" s="1" t="s">
        <v>2748</v>
      </c>
      <c r="C53" s="1" t="s">
        <v>2749</v>
      </c>
      <c r="D53" s="1" t="s">
        <v>2750</v>
      </c>
      <c r="E53" s="1" t="s">
        <v>2751</v>
      </c>
      <c r="F53" s="1" t="s">
        <v>201</v>
      </c>
    </row>
    <row r="54" spans="1:6">
      <c r="A54" s="1" t="s">
        <v>2752</v>
      </c>
      <c r="B54" s="1" t="s">
        <v>2753</v>
      </c>
      <c r="C54" s="1" t="s">
        <v>2754</v>
      </c>
      <c r="D54" s="1" t="s">
        <v>2755</v>
      </c>
      <c r="E54" s="1" t="s">
        <v>2756</v>
      </c>
      <c r="F54" s="1" t="s">
        <v>201</v>
      </c>
    </row>
    <row r="55" spans="1:6">
      <c r="A55" s="1" t="s">
        <v>2757</v>
      </c>
      <c r="B55" s="1" t="s">
        <v>2758</v>
      </c>
      <c r="C55" s="1" t="s">
        <v>2759</v>
      </c>
      <c r="D55" s="1" t="s">
        <v>2760</v>
      </c>
      <c r="E55" s="1" t="s">
        <v>2761</v>
      </c>
      <c r="F55" s="1" t="s">
        <v>201</v>
      </c>
    </row>
    <row r="56" spans="1:6">
      <c r="A56" s="1" t="s">
        <v>2762</v>
      </c>
      <c r="B56" s="1" t="s">
        <v>2763</v>
      </c>
      <c r="C56" s="1" t="s">
        <v>2764</v>
      </c>
      <c r="D56" s="1" t="s">
        <v>2765</v>
      </c>
      <c r="E56" s="1" t="s">
        <v>2766</v>
      </c>
      <c r="F56" s="1" t="s">
        <v>201</v>
      </c>
    </row>
    <row r="57" spans="1:6">
      <c r="A57" s="1" t="s">
        <v>2767</v>
      </c>
      <c r="B57" s="1" t="s">
        <v>2768</v>
      </c>
      <c r="C57" s="1" t="s">
        <v>2769</v>
      </c>
      <c r="D57" s="1" t="s">
        <v>2770</v>
      </c>
      <c r="E57" s="1" t="s">
        <v>2771</v>
      </c>
      <c r="F57" s="1" t="s">
        <v>201</v>
      </c>
    </row>
    <row r="58" spans="1:6">
      <c r="A58" s="1" t="s">
        <v>2772</v>
      </c>
      <c r="B58" s="1" t="s">
        <v>2773</v>
      </c>
      <c r="C58" s="1" t="s">
        <v>2774</v>
      </c>
      <c r="D58" s="1" t="s">
        <v>2770</v>
      </c>
      <c r="E58" s="1" t="s">
        <v>2775</v>
      </c>
      <c r="F58" s="1" t="s">
        <v>201</v>
      </c>
    </row>
    <row r="59" spans="1:6">
      <c r="A59" s="1" t="s">
        <v>2776</v>
      </c>
      <c r="B59" s="1" t="s">
        <v>2777</v>
      </c>
      <c r="C59" s="1" t="s">
        <v>2778</v>
      </c>
      <c r="D59" s="1" t="s">
        <v>2779</v>
      </c>
      <c r="E59" s="1" t="s">
        <v>2780</v>
      </c>
      <c r="F59" s="1" t="s">
        <v>201</v>
      </c>
    </row>
    <row r="60" spans="1:6">
      <c r="A60" s="1" t="s">
        <v>2781</v>
      </c>
      <c r="B60" s="1" t="s">
        <v>2782</v>
      </c>
      <c r="C60" s="1" t="s">
        <v>2783</v>
      </c>
      <c r="D60" s="1" t="s">
        <v>2784</v>
      </c>
      <c r="E60" s="1" t="s">
        <v>2785</v>
      </c>
      <c r="F60" s="1" t="s">
        <v>201</v>
      </c>
    </row>
    <row r="61" spans="1:6">
      <c r="A61" s="1" t="s">
        <v>2786</v>
      </c>
      <c r="B61" s="1" t="s">
        <v>2787</v>
      </c>
      <c r="C61" s="1" t="s">
        <v>2788</v>
      </c>
      <c r="D61" s="1" t="s">
        <v>2789</v>
      </c>
      <c r="E61" s="1" t="s">
        <v>2790</v>
      </c>
      <c r="F61" s="1" t="s">
        <v>201</v>
      </c>
    </row>
    <row r="62" spans="1:6">
      <c r="A62" s="1" t="s">
        <v>2791</v>
      </c>
      <c r="B62" s="1" t="s">
        <v>2792</v>
      </c>
      <c r="C62" s="1" t="s">
        <v>2793</v>
      </c>
      <c r="D62" s="1" t="s">
        <v>2794</v>
      </c>
      <c r="E62" s="1" t="s">
        <v>2795</v>
      </c>
      <c r="F62" s="1" t="s">
        <v>201</v>
      </c>
    </row>
    <row r="63" spans="1:6">
      <c r="A63" s="1" t="s">
        <v>2796</v>
      </c>
      <c r="B63" s="1" t="s">
        <v>2797</v>
      </c>
      <c r="C63" s="1" t="s">
        <v>2798</v>
      </c>
      <c r="D63" s="1" t="s">
        <v>2799</v>
      </c>
      <c r="E63" s="1" t="s">
        <v>2800</v>
      </c>
      <c r="F63" s="1" t="s">
        <v>201</v>
      </c>
    </row>
    <row r="64" spans="1:6">
      <c r="A64" s="1" t="s">
        <v>2801</v>
      </c>
      <c r="B64" s="1" t="s">
        <v>2802</v>
      </c>
      <c r="C64" s="1" t="s">
        <v>2803</v>
      </c>
      <c r="D64" s="1" t="s">
        <v>2804</v>
      </c>
      <c r="E64" s="1" t="s">
        <v>2805</v>
      </c>
      <c r="F64" s="1" t="s">
        <v>201</v>
      </c>
    </row>
    <row r="65" spans="1:6">
      <c r="A65" s="1" t="s">
        <v>2806</v>
      </c>
      <c r="B65" s="1" t="s">
        <v>2807</v>
      </c>
      <c r="C65" s="1" t="s">
        <v>2808</v>
      </c>
      <c r="D65" s="1" t="s">
        <v>2809</v>
      </c>
      <c r="E65" s="1" t="s">
        <v>2810</v>
      </c>
      <c r="F65" s="1" t="s">
        <v>201</v>
      </c>
    </row>
    <row r="66" spans="1:6">
      <c r="A66" s="1" t="s">
        <v>2811</v>
      </c>
      <c r="B66" s="1" t="s">
        <v>2812</v>
      </c>
      <c r="C66" s="1" t="s">
        <v>2813</v>
      </c>
      <c r="D66" s="1" t="s">
        <v>2814</v>
      </c>
      <c r="E66" s="1" t="s">
        <v>2815</v>
      </c>
      <c r="F66" s="1" t="s">
        <v>201</v>
      </c>
    </row>
    <row r="67" spans="1:6">
      <c r="A67" s="1" t="s">
        <v>2816</v>
      </c>
      <c r="B67" s="1" t="s">
        <v>2817</v>
      </c>
      <c r="C67" s="1" t="s">
        <v>2818</v>
      </c>
      <c r="D67" s="1" t="s">
        <v>2819</v>
      </c>
      <c r="E67" s="1" t="s">
        <v>2820</v>
      </c>
      <c r="F67" s="1" t="s">
        <v>201</v>
      </c>
    </row>
    <row r="68" spans="1:6">
      <c r="A68" s="1" t="s">
        <v>2821</v>
      </c>
      <c r="B68" s="1" t="s">
        <v>2822</v>
      </c>
      <c r="C68" s="1" t="s">
        <v>2823</v>
      </c>
      <c r="D68" s="1" t="s">
        <v>2819</v>
      </c>
      <c r="E68" s="1" t="s">
        <v>2824</v>
      </c>
      <c r="F68" s="1" t="s">
        <v>201</v>
      </c>
    </row>
    <row r="69" spans="1:6">
      <c r="A69" s="1" t="s">
        <v>2825</v>
      </c>
      <c r="B69" s="1" t="s">
        <v>2826</v>
      </c>
      <c r="C69" s="1" t="s">
        <v>2827</v>
      </c>
      <c r="D69" s="1" t="s">
        <v>2804</v>
      </c>
      <c r="E69" s="1" t="s">
        <v>2828</v>
      </c>
      <c r="F69" s="1" t="s">
        <v>201</v>
      </c>
    </row>
    <row r="70" spans="1:6">
      <c r="A70" s="1" t="s">
        <v>2829</v>
      </c>
      <c r="B70" s="1" t="s">
        <v>2830</v>
      </c>
      <c r="C70" s="1" t="s">
        <v>2831</v>
      </c>
      <c r="D70" s="1" t="s">
        <v>2832</v>
      </c>
      <c r="E70" s="1" t="s">
        <v>2833</v>
      </c>
      <c r="F70" s="1" t="s">
        <v>201</v>
      </c>
    </row>
    <row r="71" spans="1:6">
      <c r="A71" s="1" t="s">
        <v>2834</v>
      </c>
      <c r="B71" s="1" t="s">
        <v>2835</v>
      </c>
      <c r="C71" s="1" t="s">
        <v>2836</v>
      </c>
      <c r="D71" s="1" t="s">
        <v>2837</v>
      </c>
      <c r="E71" s="1" t="s">
        <v>2838</v>
      </c>
      <c r="F71" s="1" t="s">
        <v>201</v>
      </c>
    </row>
    <row r="72" spans="1:6">
      <c r="A72" s="1" t="s">
        <v>2839</v>
      </c>
      <c r="B72" s="1" t="s">
        <v>2840</v>
      </c>
      <c r="C72" s="1" t="s">
        <v>2841</v>
      </c>
      <c r="D72" s="1" t="s">
        <v>2842</v>
      </c>
      <c r="E72" s="1" t="s">
        <v>2843</v>
      </c>
      <c r="F72" s="1" t="s">
        <v>201</v>
      </c>
    </row>
    <row r="73" spans="1:6">
      <c r="A73" s="1" t="s">
        <v>2844</v>
      </c>
      <c r="B73" s="1" t="s">
        <v>2845</v>
      </c>
      <c r="C73" s="1" t="s">
        <v>2846</v>
      </c>
      <c r="D73" s="1" t="s">
        <v>2847</v>
      </c>
      <c r="E73" s="1" t="s">
        <v>2848</v>
      </c>
      <c r="F73" s="1" t="s">
        <v>201</v>
      </c>
    </row>
    <row r="74" spans="1:6">
      <c r="A74" s="1" t="s">
        <v>2849</v>
      </c>
      <c r="B74" s="1" t="s">
        <v>2850</v>
      </c>
      <c r="C74" s="1" t="s">
        <v>2851</v>
      </c>
      <c r="D74" s="1" t="s">
        <v>2852</v>
      </c>
      <c r="E74" s="1" t="s">
        <v>2853</v>
      </c>
      <c r="F74" s="1" t="s">
        <v>201</v>
      </c>
    </row>
    <row r="75" spans="1:6">
      <c r="A75" s="1" t="s">
        <v>2854</v>
      </c>
      <c r="B75" s="1" t="s">
        <v>2855</v>
      </c>
      <c r="C75" s="1" t="s">
        <v>2856</v>
      </c>
      <c r="D75" s="1" t="s">
        <v>2857</v>
      </c>
      <c r="E75" s="1" t="s">
        <v>2858</v>
      </c>
      <c r="F75" s="1" t="s">
        <v>201</v>
      </c>
    </row>
    <row r="76" spans="1:6">
      <c r="A76" s="1" t="s">
        <v>2859</v>
      </c>
      <c r="B76" s="1" t="s">
        <v>2860</v>
      </c>
      <c r="C76" s="1" t="s">
        <v>2861</v>
      </c>
      <c r="D76" s="1" t="s">
        <v>2862</v>
      </c>
      <c r="E76" s="1" t="s">
        <v>2863</v>
      </c>
      <c r="F76" s="1" t="s">
        <v>201</v>
      </c>
    </row>
    <row r="77" spans="1:6">
      <c r="A77" s="1" t="s">
        <v>2864</v>
      </c>
      <c r="B77" s="1" t="s">
        <v>112</v>
      </c>
      <c r="C77" s="1" t="s">
        <v>2865</v>
      </c>
      <c r="D77" s="1" t="s">
        <v>2866</v>
      </c>
      <c r="E77" s="1" t="s">
        <v>2867</v>
      </c>
      <c r="F77" s="1" t="s">
        <v>201</v>
      </c>
    </row>
    <row r="78" spans="1:6">
      <c r="A78" s="1" t="s">
        <v>2868</v>
      </c>
      <c r="B78" s="1" t="s">
        <v>2869</v>
      </c>
      <c r="C78" s="1" t="s">
        <v>2870</v>
      </c>
      <c r="D78" s="1" t="s">
        <v>2871</v>
      </c>
      <c r="E78" s="1" t="s">
        <v>2872</v>
      </c>
      <c r="F78" s="1" t="s">
        <v>201</v>
      </c>
    </row>
    <row r="79" spans="1:6">
      <c r="A79" s="1" t="s">
        <v>2873</v>
      </c>
      <c r="B79" s="1" t="s">
        <v>2874</v>
      </c>
      <c r="C79" s="1" t="s">
        <v>2875</v>
      </c>
      <c r="D79" s="1" t="s">
        <v>2876</v>
      </c>
      <c r="E79" s="1" t="s">
        <v>2877</v>
      </c>
      <c r="F79" s="1" t="s">
        <v>201</v>
      </c>
    </row>
    <row r="80" spans="1:6">
      <c r="A80" s="1" t="s">
        <v>2878</v>
      </c>
      <c r="B80" s="1" t="s">
        <v>2879</v>
      </c>
      <c r="C80" s="1" t="s">
        <v>2880</v>
      </c>
      <c r="D80" s="1" t="s">
        <v>2881</v>
      </c>
      <c r="E80" s="1" t="s">
        <v>2882</v>
      </c>
      <c r="F80" s="1" t="s">
        <v>201</v>
      </c>
    </row>
    <row r="81" spans="1:6">
      <c r="A81" s="1" t="s">
        <v>2883</v>
      </c>
      <c r="B81" s="1" t="s">
        <v>2884</v>
      </c>
      <c r="C81" s="1" t="s">
        <v>2885</v>
      </c>
      <c r="D81" s="1" t="s">
        <v>2886</v>
      </c>
      <c r="E81" s="1" t="s">
        <v>2887</v>
      </c>
      <c r="F81" s="1" t="s">
        <v>201</v>
      </c>
    </row>
    <row r="82" spans="1:6">
      <c r="A82" s="1" t="s">
        <v>2888</v>
      </c>
      <c r="B82" s="1" t="s">
        <v>2889</v>
      </c>
      <c r="C82" s="1" t="s">
        <v>2890</v>
      </c>
      <c r="D82" s="1" t="s">
        <v>2891</v>
      </c>
      <c r="E82" s="1" t="s">
        <v>2892</v>
      </c>
      <c r="F82" s="1" t="s">
        <v>201</v>
      </c>
    </row>
    <row r="83" spans="1:6">
      <c r="A83" s="1" t="s">
        <v>2893</v>
      </c>
      <c r="B83" s="1" t="s">
        <v>2894</v>
      </c>
      <c r="C83" s="1" t="s">
        <v>2895</v>
      </c>
      <c r="D83" s="1" t="s">
        <v>2896</v>
      </c>
      <c r="E83" s="1" t="s">
        <v>2897</v>
      </c>
      <c r="F83" s="1" t="s">
        <v>201</v>
      </c>
    </row>
    <row r="84" spans="1:6">
      <c r="A84" s="1" t="s">
        <v>2898</v>
      </c>
      <c r="B84" s="1" t="s">
        <v>2899</v>
      </c>
      <c r="C84" s="1" t="s">
        <v>2900</v>
      </c>
      <c r="D84" s="1" t="s">
        <v>2901</v>
      </c>
      <c r="E84" s="1" t="s">
        <v>2902</v>
      </c>
      <c r="F84" s="1" t="s">
        <v>201</v>
      </c>
    </row>
    <row r="85" spans="1:6">
      <c r="A85" s="1" t="s">
        <v>2903</v>
      </c>
      <c r="B85" s="1" t="s">
        <v>2904</v>
      </c>
      <c r="C85" s="1" t="s">
        <v>2905</v>
      </c>
      <c r="D85" s="1" t="s">
        <v>2906</v>
      </c>
      <c r="E85" s="1" t="s">
        <v>2907</v>
      </c>
      <c r="F85" s="1" t="s">
        <v>201</v>
      </c>
    </row>
    <row r="86" spans="1:6">
      <c r="A86" s="1" t="s">
        <v>2908</v>
      </c>
      <c r="B86" s="1" t="s">
        <v>2909</v>
      </c>
      <c r="C86" s="1" t="s">
        <v>2910</v>
      </c>
      <c r="D86" s="1" t="s">
        <v>2911</v>
      </c>
      <c r="E86" s="1" t="s">
        <v>2912</v>
      </c>
      <c r="F86" s="1" t="s">
        <v>201</v>
      </c>
    </row>
    <row r="87" spans="1:6">
      <c r="A87" s="1" t="s">
        <v>2913</v>
      </c>
      <c r="B87" s="1" t="s">
        <v>2914</v>
      </c>
      <c r="C87" s="1" t="s">
        <v>2915</v>
      </c>
      <c r="D87" s="1" t="s">
        <v>2916</v>
      </c>
      <c r="E87" s="1" t="s">
        <v>2917</v>
      </c>
      <c r="F87" s="1" t="s">
        <v>201</v>
      </c>
    </row>
    <row r="88" spans="1:6">
      <c r="A88" s="1" t="s">
        <v>2918</v>
      </c>
      <c r="B88" s="1" t="s">
        <v>2919</v>
      </c>
      <c r="C88" s="1" t="s">
        <v>2920</v>
      </c>
      <c r="D88" s="1" t="s">
        <v>2916</v>
      </c>
      <c r="E88" s="1" t="s">
        <v>2921</v>
      </c>
      <c r="F88" s="1" t="s">
        <v>201</v>
      </c>
    </row>
    <row r="89" spans="1:6">
      <c r="A89" s="1" t="s">
        <v>2922</v>
      </c>
      <c r="B89" s="1" t="s">
        <v>2923</v>
      </c>
      <c r="C89" s="1" t="s">
        <v>2924</v>
      </c>
      <c r="D89" s="1" t="s">
        <v>2925</v>
      </c>
      <c r="E89" s="1" t="s">
        <v>2926</v>
      </c>
      <c r="F89" s="1" t="s">
        <v>201</v>
      </c>
    </row>
    <row r="90" spans="1:6">
      <c r="A90" s="1" t="s">
        <v>2927</v>
      </c>
      <c r="B90" s="1" t="s">
        <v>2928</v>
      </c>
      <c r="C90" s="1" t="s">
        <v>2929</v>
      </c>
      <c r="D90" s="1" t="s">
        <v>2930</v>
      </c>
      <c r="E90" s="1" t="s">
        <v>2931</v>
      </c>
      <c r="F90" s="1" t="s">
        <v>201</v>
      </c>
    </row>
    <row r="91" spans="1:6">
      <c r="A91" s="1" t="s">
        <v>2932</v>
      </c>
      <c r="B91" s="1" t="s">
        <v>2933</v>
      </c>
      <c r="C91" s="1" t="s">
        <v>2934</v>
      </c>
      <c r="D91" s="1" t="s">
        <v>2935</v>
      </c>
      <c r="E91" s="1" t="s">
        <v>2936</v>
      </c>
      <c r="F91" s="1" t="s">
        <v>201</v>
      </c>
    </row>
    <row r="92" spans="1:6">
      <c r="A92" s="1" t="s">
        <v>2937</v>
      </c>
      <c r="B92" s="1" t="s">
        <v>2938</v>
      </c>
      <c r="C92" s="1" t="s">
        <v>2939</v>
      </c>
      <c r="D92" s="1" t="s">
        <v>2940</v>
      </c>
      <c r="E92" s="1" t="s">
        <v>2941</v>
      </c>
      <c r="F92" s="1" t="s">
        <v>201</v>
      </c>
    </row>
    <row r="93" spans="1:6">
      <c r="A93" s="1" t="s">
        <v>2942</v>
      </c>
      <c r="B93" s="1" t="s">
        <v>2943</v>
      </c>
      <c r="C93" s="1" t="s">
        <v>2944</v>
      </c>
      <c r="D93" s="1" t="s">
        <v>2945</v>
      </c>
      <c r="E93" s="1" t="s">
        <v>2946</v>
      </c>
      <c r="F93" s="1" t="s">
        <v>201</v>
      </c>
    </row>
    <row r="94" spans="1:6">
      <c r="A94" s="1" t="s">
        <v>2947</v>
      </c>
      <c r="B94" s="1" t="s">
        <v>2948</v>
      </c>
      <c r="C94" s="1" t="s">
        <v>2949</v>
      </c>
      <c r="D94" s="1" t="s">
        <v>2950</v>
      </c>
      <c r="E94" s="1" t="s">
        <v>2951</v>
      </c>
      <c r="F94" s="1" t="s">
        <v>201</v>
      </c>
    </row>
    <row r="95" spans="1:6">
      <c r="A95" s="1" t="s">
        <v>2952</v>
      </c>
      <c r="B95" s="1" t="s">
        <v>2953</v>
      </c>
      <c r="C95" s="1" t="s">
        <v>2954</v>
      </c>
      <c r="D95" s="1" t="s">
        <v>2955</v>
      </c>
      <c r="E95" s="1" t="s">
        <v>2956</v>
      </c>
      <c r="F95" s="1" t="s">
        <v>201</v>
      </c>
    </row>
    <row r="96" spans="1:6">
      <c r="A96" s="1" t="s">
        <v>2957</v>
      </c>
      <c r="B96" s="1" t="s">
        <v>2958</v>
      </c>
      <c r="C96" s="1" t="s">
        <v>2959</v>
      </c>
      <c r="D96" s="1" t="s">
        <v>2960</v>
      </c>
      <c r="E96" s="1" t="s">
        <v>2961</v>
      </c>
      <c r="F96" s="1" t="s">
        <v>201</v>
      </c>
    </row>
    <row r="97" spans="1:6">
      <c r="A97" s="1" t="s">
        <v>2962</v>
      </c>
      <c r="B97" s="1" t="s">
        <v>2963</v>
      </c>
      <c r="C97" s="1" t="s">
        <v>2964</v>
      </c>
      <c r="D97" s="1" t="s">
        <v>2930</v>
      </c>
      <c r="E97" s="1" t="s">
        <v>2965</v>
      </c>
      <c r="F97" s="1" t="s">
        <v>201</v>
      </c>
    </row>
    <row r="98" spans="1:6">
      <c r="A98" s="1" t="s">
        <v>2966</v>
      </c>
      <c r="B98" s="1" t="s">
        <v>2967</v>
      </c>
      <c r="C98" s="1" t="s">
        <v>2968</v>
      </c>
      <c r="D98" s="1" t="s">
        <v>2930</v>
      </c>
      <c r="E98" s="1" t="s">
        <v>2969</v>
      </c>
      <c r="F98" s="1" t="s">
        <v>201</v>
      </c>
    </row>
    <row r="99" spans="1:6">
      <c r="A99" s="1" t="s">
        <v>2970</v>
      </c>
      <c r="B99" s="1" t="s">
        <v>2971</v>
      </c>
      <c r="C99" s="1" t="s">
        <v>2972</v>
      </c>
      <c r="D99" s="1" t="s">
        <v>2973</v>
      </c>
      <c r="E99" s="1" t="s">
        <v>2974</v>
      </c>
      <c r="F99" s="1" t="s">
        <v>201</v>
      </c>
    </row>
    <row r="100" spans="1:6">
      <c r="A100" s="1" t="s">
        <v>2975</v>
      </c>
      <c r="B100" s="1" t="s">
        <v>2222</v>
      </c>
      <c r="C100" s="1" t="s">
        <v>2976</v>
      </c>
      <c r="D100" s="1" t="s">
        <v>2977</v>
      </c>
      <c r="E100" s="1" t="s">
        <v>2978</v>
      </c>
      <c r="F100" s="1" t="s">
        <v>201</v>
      </c>
    </row>
    <row r="101" spans="1:6">
      <c r="A101" s="1" t="s">
        <v>2979</v>
      </c>
      <c r="B101" s="1" t="s">
        <v>2980</v>
      </c>
      <c r="C101" s="1" t="s">
        <v>2981</v>
      </c>
      <c r="D101" s="1" t="s">
        <v>2982</v>
      </c>
      <c r="E101" s="1" t="s">
        <v>2983</v>
      </c>
      <c r="F101" s="1" t="s">
        <v>201</v>
      </c>
    </row>
    <row r="102" spans="1:6">
      <c r="A102" s="1" t="s">
        <v>2984</v>
      </c>
      <c r="B102" s="1" t="s">
        <v>2985</v>
      </c>
      <c r="C102" s="1" t="s">
        <v>2986</v>
      </c>
      <c r="D102" s="1" t="s">
        <v>2982</v>
      </c>
      <c r="E102" s="1" t="s">
        <v>2987</v>
      </c>
      <c r="F102" s="1" t="s">
        <v>201</v>
      </c>
    </row>
    <row r="103" spans="1:6">
      <c r="A103" s="1" t="s">
        <v>2988</v>
      </c>
      <c r="B103" s="1" t="s">
        <v>2989</v>
      </c>
      <c r="C103" s="1" t="s">
        <v>2990</v>
      </c>
      <c r="D103" s="1" t="s">
        <v>2982</v>
      </c>
      <c r="E103" s="1" t="s">
        <v>2991</v>
      </c>
      <c r="F103" s="1" t="s">
        <v>201</v>
      </c>
    </row>
    <row r="104" spans="1:6">
      <c r="A104" s="1" t="s">
        <v>2992</v>
      </c>
      <c r="B104" s="1" t="s">
        <v>2993</v>
      </c>
      <c r="C104" s="1" t="s">
        <v>2994</v>
      </c>
      <c r="D104" s="1" t="s">
        <v>2891</v>
      </c>
      <c r="E104" s="1" t="s">
        <v>2995</v>
      </c>
      <c r="F104" s="1" t="s">
        <v>201</v>
      </c>
    </row>
    <row r="105" spans="1:6">
      <c r="A105" s="1" t="s">
        <v>2996</v>
      </c>
      <c r="B105" s="1" t="s">
        <v>2997</v>
      </c>
      <c r="C105" s="1" t="s">
        <v>2998</v>
      </c>
      <c r="D105" s="1" t="s">
        <v>2999</v>
      </c>
      <c r="E105" s="1" t="s">
        <v>3000</v>
      </c>
      <c r="F105" s="1" t="s">
        <v>201</v>
      </c>
    </row>
    <row r="106" spans="1:6">
      <c r="A106" s="1" t="s">
        <v>3001</v>
      </c>
      <c r="B106" s="1" t="s">
        <v>3002</v>
      </c>
      <c r="C106" s="1" t="s">
        <v>3003</v>
      </c>
      <c r="D106" s="1" t="s">
        <v>3004</v>
      </c>
      <c r="E106" s="1" t="s">
        <v>3005</v>
      </c>
      <c r="F106" s="1" t="s">
        <v>201</v>
      </c>
    </row>
    <row r="107" spans="1:6">
      <c r="A107" s="1" t="s">
        <v>3006</v>
      </c>
      <c r="B107" s="1" t="s">
        <v>3007</v>
      </c>
      <c r="C107" s="1" t="s">
        <v>3008</v>
      </c>
      <c r="D107" s="1" t="s">
        <v>3009</v>
      </c>
      <c r="E107" s="1" t="s">
        <v>3010</v>
      </c>
      <c r="F107" s="1" t="s">
        <v>201</v>
      </c>
    </row>
    <row r="108" spans="1:6">
      <c r="A108" s="1" t="s">
        <v>3011</v>
      </c>
      <c r="B108" s="1" t="s">
        <v>3012</v>
      </c>
      <c r="C108" s="1" t="s">
        <v>3013</v>
      </c>
      <c r="D108" s="1" t="s">
        <v>3014</v>
      </c>
      <c r="E108" s="1" t="s">
        <v>3015</v>
      </c>
      <c r="F108" s="1" t="s">
        <v>201</v>
      </c>
    </row>
    <row r="109" spans="1:6">
      <c r="A109" s="1" t="s">
        <v>3016</v>
      </c>
      <c r="B109" s="1" t="s">
        <v>3017</v>
      </c>
      <c r="C109" s="1" t="s">
        <v>3018</v>
      </c>
      <c r="D109" s="1" t="s">
        <v>3019</v>
      </c>
      <c r="E109" s="1" t="s">
        <v>3020</v>
      </c>
      <c r="F109" s="1" t="s">
        <v>201</v>
      </c>
    </row>
    <row r="110" spans="1:6">
      <c r="A110" s="1" t="s">
        <v>3021</v>
      </c>
      <c r="B110" s="1" t="s">
        <v>3022</v>
      </c>
      <c r="C110" s="1" t="s">
        <v>3023</v>
      </c>
      <c r="D110" s="1" t="s">
        <v>3024</v>
      </c>
      <c r="E110" s="1" t="s">
        <v>3025</v>
      </c>
      <c r="F110" s="1" t="s">
        <v>201</v>
      </c>
    </row>
    <row r="111" spans="1:6">
      <c r="A111" s="1" t="s">
        <v>3026</v>
      </c>
      <c r="B111" s="1" t="s">
        <v>3027</v>
      </c>
      <c r="C111" s="1" t="s">
        <v>3028</v>
      </c>
      <c r="D111" s="1" t="s">
        <v>3029</v>
      </c>
      <c r="E111" s="1" t="s">
        <v>3030</v>
      </c>
      <c r="F111" s="1" t="s">
        <v>201</v>
      </c>
    </row>
  </sheetData>
  <mergeCells count="2">
    <mergeCell ref="A2:F2"/>
    <mergeCell ref="A1:F1"/>
  </mergeCells>
  <pageMargins left="0.75" right="0.75" top="1" bottom="1" header="0.5" footer="0.5"/>
  <pageSetup orientation="landscape"/>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0"/>
  <sheetViews>
    <sheetView showGridLines="0" workbookViewId="0">
      <pane ySplit="4" topLeftCell="A5" activePane="bottomLeft" state="frozen"/>
      <selection pane="bottomLeft"/>
    </sheetView>
  </sheetViews>
  <sheetFormatPr defaultRowHeight="15"/>
  <sheetData>
    <row r="1" spans="1:3">
      <c r="A1" s="44" t="s">
        <v>3031</v>
      </c>
      <c r="B1" s="30"/>
      <c r="C1" s="30"/>
    </row>
    <row r="2" spans="1:3">
      <c r="A2" s="23" t="s">
        <v>3032</v>
      </c>
      <c r="B2" s="30"/>
      <c r="C2" s="30"/>
    </row>
    <row r="4" spans="1:3">
      <c r="A4" s="3" t="s">
        <v>188</v>
      </c>
      <c r="B4" s="3" t="s">
        <v>3033</v>
      </c>
      <c r="C4" s="3" t="s">
        <v>3034</v>
      </c>
    </row>
    <row r="5" spans="1:3">
      <c r="A5" s="1" t="s">
        <v>3035</v>
      </c>
      <c r="B5" s="1" t="s">
        <v>3036</v>
      </c>
      <c r="C5" s="1" t="s">
        <v>3037</v>
      </c>
    </row>
    <row r="6" spans="1:3">
      <c r="A6" s="1" t="s">
        <v>3038</v>
      </c>
      <c r="B6" s="1" t="s">
        <v>3039</v>
      </c>
      <c r="C6" s="1" t="s">
        <v>3040</v>
      </c>
    </row>
    <row r="7" spans="1:3">
      <c r="A7" s="1" t="s">
        <v>3041</v>
      </c>
      <c r="B7" s="1" t="s">
        <v>3042</v>
      </c>
      <c r="C7" s="1" t="s">
        <v>3043</v>
      </c>
    </row>
    <row r="8" spans="1:3">
      <c r="A8" s="1" t="s">
        <v>3044</v>
      </c>
      <c r="B8" s="1" t="s">
        <v>3045</v>
      </c>
      <c r="C8" s="1" t="s">
        <v>3046</v>
      </c>
    </row>
    <row r="9" spans="1:3">
      <c r="A9" s="1" t="s">
        <v>3047</v>
      </c>
      <c r="B9" s="1" t="s">
        <v>3048</v>
      </c>
      <c r="C9" s="1" t="s">
        <v>3049</v>
      </c>
    </row>
    <row r="10" spans="1:3">
      <c r="A10" s="1" t="s">
        <v>3050</v>
      </c>
      <c r="B10" s="1" t="s">
        <v>3051</v>
      </c>
      <c r="C10" s="1" t="s">
        <v>3052</v>
      </c>
    </row>
  </sheetData>
  <mergeCells count="2">
    <mergeCell ref="A1:C1"/>
    <mergeCell ref="A2:C2"/>
  </mergeCells>
  <pageMargins left="0.75" right="0.75" top="1" bottom="1" header="0.5" footer="0.5"/>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3"/>
  <sheetViews>
    <sheetView showGridLines="0" workbookViewId="0">
      <pane ySplit="4" topLeftCell="A5" activePane="bottomLeft" state="frozen"/>
      <selection pane="bottomLeft"/>
    </sheetView>
  </sheetViews>
  <sheetFormatPr defaultRowHeight="15"/>
  <sheetData>
    <row r="1" spans="1:3">
      <c r="A1" s="44" t="s">
        <v>3053</v>
      </c>
      <c r="B1" s="30"/>
      <c r="C1" s="30"/>
    </row>
    <row r="2" spans="1:3">
      <c r="A2" s="23" t="s">
        <v>3054</v>
      </c>
      <c r="B2" s="30"/>
      <c r="C2" s="30"/>
    </row>
    <row r="4" spans="1:3">
      <c r="A4" s="3" t="s">
        <v>188</v>
      </c>
      <c r="B4" s="3" t="s">
        <v>3055</v>
      </c>
      <c r="C4" s="3" t="s">
        <v>130</v>
      </c>
    </row>
    <row r="5" spans="1:3">
      <c r="A5" s="1" t="s">
        <v>3056</v>
      </c>
      <c r="B5" s="1" t="s">
        <v>3057</v>
      </c>
      <c r="C5" s="1" t="s">
        <v>3058</v>
      </c>
    </row>
    <row r="6" spans="1:3">
      <c r="A6" s="1" t="s">
        <v>3059</v>
      </c>
      <c r="B6" s="1" t="s">
        <v>3060</v>
      </c>
      <c r="C6" s="1" t="s">
        <v>3061</v>
      </c>
    </row>
    <row r="7" spans="1:3">
      <c r="A7" s="1" t="s">
        <v>3062</v>
      </c>
      <c r="B7" s="1" t="s">
        <v>3063</v>
      </c>
      <c r="C7" s="1" t="s">
        <v>3064</v>
      </c>
    </row>
    <row r="8" spans="1:3">
      <c r="A8" s="1" t="s">
        <v>3065</v>
      </c>
      <c r="B8" s="1" t="s">
        <v>3066</v>
      </c>
      <c r="C8" s="1" t="s">
        <v>3067</v>
      </c>
    </row>
    <row r="9" spans="1:3">
      <c r="A9" s="1" t="s">
        <v>3068</v>
      </c>
      <c r="B9" s="1" t="s">
        <v>3069</v>
      </c>
      <c r="C9" s="1" t="s">
        <v>3070</v>
      </c>
    </row>
    <row r="10" spans="1:3">
      <c r="A10" s="1" t="s">
        <v>3071</v>
      </c>
      <c r="B10" s="1" t="s">
        <v>3072</v>
      </c>
      <c r="C10" s="1" t="s">
        <v>3073</v>
      </c>
    </row>
    <row r="11" spans="1:3">
      <c r="A11" s="1" t="s">
        <v>3074</v>
      </c>
      <c r="B11" s="1" t="s">
        <v>3075</v>
      </c>
      <c r="C11" s="1" t="s">
        <v>3076</v>
      </c>
    </row>
    <row r="12" spans="1:3">
      <c r="A12" s="1" t="s">
        <v>3077</v>
      </c>
      <c r="B12" s="1" t="s">
        <v>3078</v>
      </c>
      <c r="C12" s="1" t="s">
        <v>3079</v>
      </c>
    </row>
    <row r="13" spans="1:3">
      <c r="A13" s="1" t="s">
        <v>3080</v>
      </c>
      <c r="B13" s="1" t="s">
        <v>3081</v>
      </c>
      <c r="C13" s="1" t="s">
        <v>3082</v>
      </c>
    </row>
  </sheetData>
  <mergeCells count="2">
    <mergeCell ref="A1:C1"/>
    <mergeCell ref="A2:C2"/>
  </mergeCells>
  <pageMargins left="0.75" right="0.75" top="1" bottom="1" header="0.5" footer="0.5"/>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6"/>
  <sheetViews>
    <sheetView showGridLines="0" workbookViewId="0">
      <pane ySplit="4" topLeftCell="A5" activePane="bottomLeft" state="frozen"/>
      <selection pane="bottomLeft"/>
    </sheetView>
  </sheetViews>
  <sheetFormatPr defaultRowHeight="15"/>
  <cols>
    <col min="1" max="1" width="12" customWidth="1"/>
    <col min="2" max="2" width="34" customWidth="1"/>
    <col min="3" max="3" width="68" customWidth="1"/>
    <col min="4" max="4" width="88" customWidth="1"/>
    <col min="5" max="5" width="28" customWidth="1"/>
  </cols>
  <sheetData>
    <row r="1" spans="1:5">
      <c r="A1" s="27" t="s">
        <v>3083</v>
      </c>
      <c r="B1" s="30"/>
      <c r="C1" s="30"/>
      <c r="D1" s="30"/>
      <c r="E1" s="30"/>
    </row>
    <row r="2" spans="1:5" ht="54" customHeight="1">
      <c r="A2" s="26" t="s">
        <v>3084</v>
      </c>
      <c r="B2" s="30"/>
      <c r="C2" s="30"/>
      <c r="D2" s="30"/>
      <c r="E2" s="30"/>
    </row>
    <row r="4" spans="1:5">
      <c r="A4" s="6" t="s">
        <v>188</v>
      </c>
      <c r="B4" s="6" t="s">
        <v>3085</v>
      </c>
      <c r="C4" s="6" t="s">
        <v>3086</v>
      </c>
      <c r="D4" s="6" t="s">
        <v>3087</v>
      </c>
      <c r="E4" s="6" t="s">
        <v>3088</v>
      </c>
    </row>
    <row r="5" spans="1:5">
      <c r="A5" s="1" t="s">
        <v>3089</v>
      </c>
      <c r="B5" s="1" t="s">
        <v>3090</v>
      </c>
      <c r="C5" s="1" t="s">
        <v>3091</v>
      </c>
      <c r="D5" s="1" t="s">
        <v>3092</v>
      </c>
      <c r="E5" s="1" t="s">
        <v>3093</v>
      </c>
    </row>
    <row r="6" spans="1:5">
      <c r="A6" s="1" t="s">
        <v>3094</v>
      </c>
      <c r="B6" s="1" t="s">
        <v>3095</v>
      </c>
      <c r="C6" s="1" t="s">
        <v>3096</v>
      </c>
      <c r="D6" s="1" t="s">
        <v>3097</v>
      </c>
      <c r="E6" s="1" t="s">
        <v>3093</v>
      </c>
    </row>
    <row r="7" spans="1:5">
      <c r="A7" s="1" t="s">
        <v>3098</v>
      </c>
      <c r="B7" s="1" t="s">
        <v>3099</v>
      </c>
      <c r="C7" s="1" t="s">
        <v>3100</v>
      </c>
      <c r="D7" s="1" t="s">
        <v>3101</v>
      </c>
      <c r="E7" s="1" t="s">
        <v>3102</v>
      </c>
    </row>
    <row r="8" spans="1:5">
      <c r="A8" s="1" t="s">
        <v>3103</v>
      </c>
      <c r="B8" s="1" t="s">
        <v>3104</v>
      </c>
      <c r="C8" s="1" t="s">
        <v>3105</v>
      </c>
      <c r="D8" s="1" t="s">
        <v>3106</v>
      </c>
      <c r="E8" s="1" t="s">
        <v>3093</v>
      </c>
    </row>
    <row r="9" spans="1:5">
      <c r="A9" s="1" t="s">
        <v>3107</v>
      </c>
      <c r="B9" s="1" t="s">
        <v>3108</v>
      </c>
      <c r="C9" s="1" t="s">
        <v>3109</v>
      </c>
      <c r="D9" s="1" t="s">
        <v>3110</v>
      </c>
      <c r="E9" s="1" t="s">
        <v>3111</v>
      </c>
    </row>
    <row r="10" spans="1:5">
      <c r="A10" s="1" t="s">
        <v>3112</v>
      </c>
      <c r="B10" s="1" t="s">
        <v>3113</v>
      </c>
      <c r="C10" s="1" t="s">
        <v>3114</v>
      </c>
      <c r="D10" s="1" t="s">
        <v>3115</v>
      </c>
      <c r="E10" s="1" t="s">
        <v>3111</v>
      </c>
    </row>
    <row r="11" spans="1:5">
      <c r="A11" s="1" t="s">
        <v>3116</v>
      </c>
      <c r="B11" s="1" t="s">
        <v>3117</v>
      </c>
      <c r="C11" s="1" t="s">
        <v>3118</v>
      </c>
      <c r="D11" s="1" t="s">
        <v>3119</v>
      </c>
      <c r="E11" s="1" t="s">
        <v>3093</v>
      </c>
    </row>
    <row r="12" spans="1:5">
      <c r="A12" s="1" t="s">
        <v>3120</v>
      </c>
      <c r="B12" s="1" t="s">
        <v>3121</v>
      </c>
      <c r="C12" s="1" t="s">
        <v>3122</v>
      </c>
      <c r="D12" s="1" t="s">
        <v>3123</v>
      </c>
      <c r="E12" s="1" t="s">
        <v>3093</v>
      </c>
    </row>
    <row r="13" spans="1:5">
      <c r="A13" s="1" t="s">
        <v>3124</v>
      </c>
      <c r="B13" s="1" t="s">
        <v>3125</v>
      </c>
      <c r="C13" s="1" t="s">
        <v>3126</v>
      </c>
      <c r="D13" s="1" t="s">
        <v>3127</v>
      </c>
      <c r="E13" s="1" t="s">
        <v>3093</v>
      </c>
    </row>
    <row r="14" spans="1:5">
      <c r="A14" s="1" t="s">
        <v>3128</v>
      </c>
      <c r="B14" s="1" t="s">
        <v>3129</v>
      </c>
      <c r="C14" s="1" t="s">
        <v>3130</v>
      </c>
      <c r="D14" s="1" t="s">
        <v>3131</v>
      </c>
      <c r="E14" s="1" t="s">
        <v>3093</v>
      </c>
    </row>
    <row r="15" spans="1:5">
      <c r="A15" s="1" t="s">
        <v>3132</v>
      </c>
      <c r="B15" s="1" t="s">
        <v>3133</v>
      </c>
      <c r="C15" s="1" t="s">
        <v>3134</v>
      </c>
      <c r="D15" s="1" t="s">
        <v>3135</v>
      </c>
      <c r="E15" s="1" t="s">
        <v>3093</v>
      </c>
    </row>
    <row r="16" spans="1:5">
      <c r="A16" s="1" t="s">
        <v>3136</v>
      </c>
      <c r="B16" s="1" t="s">
        <v>3137</v>
      </c>
      <c r="C16" s="1" t="s">
        <v>3138</v>
      </c>
      <c r="D16" s="1" t="s">
        <v>3139</v>
      </c>
      <c r="E16" s="1" t="s">
        <v>3140</v>
      </c>
    </row>
  </sheetData>
  <mergeCells count="2">
    <mergeCell ref="A2:E2"/>
    <mergeCell ref="A1:E1"/>
  </mergeCells>
  <pageMargins left="0.75" right="0.75" top="1" bottom="1" header="0.5" footer="0.5"/>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39"/>
  <sheetViews>
    <sheetView showGridLines="0" workbookViewId="0">
      <pane ySplit="4" topLeftCell="A5" activePane="bottomLeft" state="frozen"/>
      <selection pane="bottomLeft"/>
    </sheetView>
  </sheetViews>
  <sheetFormatPr defaultRowHeight="15"/>
  <cols>
    <col min="1" max="1" width="12" customWidth="1"/>
    <col min="2" max="3" width="30" customWidth="1"/>
    <col min="4" max="4" width="44" customWidth="1"/>
  </cols>
  <sheetData>
    <row r="1" spans="1:4">
      <c r="A1" s="27" t="s">
        <v>3141</v>
      </c>
      <c r="B1" s="30"/>
      <c r="C1" s="30"/>
      <c r="D1" s="30"/>
    </row>
    <row r="2" spans="1:4" ht="54" customHeight="1">
      <c r="A2" s="26" t="s">
        <v>3142</v>
      </c>
      <c r="B2" s="30"/>
      <c r="C2" s="30"/>
      <c r="D2" s="30"/>
    </row>
    <row r="4" spans="1:4">
      <c r="A4" s="6" t="s">
        <v>188</v>
      </c>
      <c r="B4" s="6" t="s">
        <v>3143</v>
      </c>
      <c r="C4" s="6" t="s">
        <v>3144</v>
      </c>
      <c r="D4" s="6" t="s">
        <v>3145</v>
      </c>
    </row>
    <row r="5" spans="1:4">
      <c r="A5" s="1" t="s">
        <v>3146</v>
      </c>
      <c r="B5" s="1" t="s">
        <v>3090</v>
      </c>
      <c r="C5" s="1" t="s">
        <v>3147</v>
      </c>
      <c r="D5" s="1" t="s">
        <v>3148</v>
      </c>
    </row>
    <row r="6" spans="1:4">
      <c r="A6" s="1" t="s">
        <v>3149</v>
      </c>
      <c r="B6" s="1" t="s">
        <v>3150</v>
      </c>
      <c r="C6" s="1" t="s">
        <v>3151</v>
      </c>
      <c r="D6" s="1" t="s">
        <v>3152</v>
      </c>
    </row>
    <row r="7" spans="1:4">
      <c r="A7" s="1" t="s">
        <v>3153</v>
      </c>
      <c r="B7" s="1" t="s">
        <v>2575</v>
      </c>
      <c r="C7" s="1" t="s">
        <v>3154</v>
      </c>
      <c r="D7" s="1" t="s">
        <v>3155</v>
      </c>
    </row>
    <row r="8" spans="1:4">
      <c r="A8" s="1" t="s">
        <v>3156</v>
      </c>
      <c r="B8" s="1" t="s">
        <v>3157</v>
      </c>
      <c r="C8" s="1" t="s">
        <v>3158</v>
      </c>
      <c r="D8" s="1" t="s">
        <v>3159</v>
      </c>
    </row>
    <row r="9" spans="1:4">
      <c r="A9" s="1" t="s">
        <v>3160</v>
      </c>
      <c r="B9" s="1" t="s">
        <v>3161</v>
      </c>
      <c r="C9" s="1" t="s">
        <v>3162</v>
      </c>
      <c r="D9" s="1" t="s">
        <v>3163</v>
      </c>
    </row>
    <row r="10" spans="1:4">
      <c r="A10" s="1" t="s">
        <v>3164</v>
      </c>
      <c r="B10" s="1" t="s">
        <v>3165</v>
      </c>
      <c r="C10" s="1" t="s">
        <v>3166</v>
      </c>
      <c r="D10" s="1" t="s">
        <v>3161</v>
      </c>
    </row>
    <row r="11" spans="1:4">
      <c r="A11" s="1" t="s">
        <v>3167</v>
      </c>
      <c r="B11" s="1" t="s">
        <v>3168</v>
      </c>
      <c r="C11" s="1" t="s">
        <v>3169</v>
      </c>
      <c r="D11" s="1" t="s">
        <v>720</v>
      </c>
    </row>
    <row r="12" spans="1:4">
      <c r="A12" s="1" t="s">
        <v>3170</v>
      </c>
      <c r="B12" s="1" t="s">
        <v>720</v>
      </c>
      <c r="C12" s="1" t="s">
        <v>3169</v>
      </c>
      <c r="D12" s="1" t="s">
        <v>3171</v>
      </c>
    </row>
    <row r="13" spans="1:4">
      <c r="A13" s="1" t="s">
        <v>3172</v>
      </c>
      <c r="B13" s="1" t="s">
        <v>2561</v>
      </c>
      <c r="C13" s="1" t="s">
        <v>3173</v>
      </c>
      <c r="D13" s="1" t="s">
        <v>3174</v>
      </c>
    </row>
    <row r="14" spans="1:4">
      <c r="A14" s="1" t="s">
        <v>3175</v>
      </c>
      <c r="B14" s="1" t="s">
        <v>2566</v>
      </c>
      <c r="C14" s="1" t="s">
        <v>3176</v>
      </c>
      <c r="D14" s="1" t="s">
        <v>3177</v>
      </c>
    </row>
    <row r="15" spans="1:4">
      <c r="A15" s="1" t="s">
        <v>3178</v>
      </c>
      <c r="B15" s="1" t="s">
        <v>1415</v>
      </c>
      <c r="C15" s="1" t="s">
        <v>3179</v>
      </c>
      <c r="D15" s="1" t="s">
        <v>3180</v>
      </c>
    </row>
    <row r="16" spans="1:4">
      <c r="A16" s="1" t="s">
        <v>3181</v>
      </c>
      <c r="B16" s="1" t="s">
        <v>2589</v>
      </c>
      <c r="C16" s="1" t="s">
        <v>3182</v>
      </c>
      <c r="D16" s="1" t="s">
        <v>3183</v>
      </c>
    </row>
    <row r="17" spans="1:4">
      <c r="A17" s="1" t="s">
        <v>3184</v>
      </c>
      <c r="B17" s="1" t="s">
        <v>3185</v>
      </c>
      <c r="C17" s="1" t="s">
        <v>3186</v>
      </c>
      <c r="D17" s="1" t="s">
        <v>3187</v>
      </c>
    </row>
    <row r="18" spans="1:4">
      <c r="A18" s="1" t="s">
        <v>3188</v>
      </c>
      <c r="B18" s="1" t="s">
        <v>3187</v>
      </c>
      <c r="C18" s="1" t="s">
        <v>3189</v>
      </c>
      <c r="D18" s="1" t="s">
        <v>3190</v>
      </c>
    </row>
    <row r="19" spans="1:4" ht="42" customHeight="1">
      <c r="A19" s="1" t="s">
        <v>3191</v>
      </c>
      <c r="B19" s="1" t="s">
        <v>2610</v>
      </c>
      <c r="C19" s="1" t="s">
        <v>3192</v>
      </c>
      <c r="D19" s="1" t="s">
        <v>3193</v>
      </c>
    </row>
    <row r="20" spans="1:4" ht="42" customHeight="1">
      <c r="A20" s="1" t="s">
        <v>3194</v>
      </c>
      <c r="B20" s="1" t="s">
        <v>2615</v>
      </c>
      <c r="C20" s="1" t="s">
        <v>3195</v>
      </c>
      <c r="D20" s="1" t="s">
        <v>3196</v>
      </c>
    </row>
    <row r="21" spans="1:4" ht="42" customHeight="1">
      <c r="A21" s="1" t="s">
        <v>3197</v>
      </c>
      <c r="B21" s="1" t="s">
        <v>2615</v>
      </c>
      <c r="C21" s="1" t="s">
        <v>3198</v>
      </c>
      <c r="D21" s="1" t="s">
        <v>720</v>
      </c>
    </row>
    <row r="22" spans="1:4" ht="42" customHeight="1">
      <c r="A22" s="1" t="s">
        <v>3199</v>
      </c>
      <c r="B22" s="1" t="s">
        <v>773</v>
      </c>
      <c r="C22" s="1" t="s">
        <v>3200</v>
      </c>
      <c r="D22" s="1" t="s">
        <v>3201</v>
      </c>
    </row>
    <row r="23" spans="1:4" ht="42" customHeight="1">
      <c r="A23" s="1" t="s">
        <v>3202</v>
      </c>
      <c r="B23" s="1" t="s">
        <v>779</v>
      </c>
      <c r="C23" s="1" t="s">
        <v>3203</v>
      </c>
      <c r="D23" s="1" t="s">
        <v>3204</v>
      </c>
    </row>
    <row r="24" spans="1:4">
      <c r="A24" s="1" t="s">
        <v>3205</v>
      </c>
      <c r="B24" s="1" t="s">
        <v>3206</v>
      </c>
      <c r="C24" s="1" t="s">
        <v>3207</v>
      </c>
      <c r="D24" s="1" t="s">
        <v>3208</v>
      </c>
    </row>
    <row r="25" spans="1:4">
      <c r="A25" s="1" t="s">
        <v>3209</v>
      </c>
      <c r="B25" s="1" t="s">
        <v>3165</v>
      </c>
      <c r="C25" s="1" t="s">
        <v>3198</v>
      </c>
      <c r="D25" s="1" t="s">
        <v>720</v>
      </c>
    </row>
    <row r="26" spans="1:4">
      <c r="A26" s="1" t="s">
        <v>3210</v>
      </c>
      <c r="B26" s="1" t="s">
        <v>2635</v>
      </c>
      <c r="C26" s="1" t="s">
        <v>3211</v>
      </c>
      <c r="D26" s="1" t="s">
        <v>3212</v>
      </c>
    </row>
    <row r="27" spans="1:4">
      <c r="A27" s="1" t="s">
        <v>3213</v>
      </c>
      <c r="B27" s="1" t="s">
        <v>3159</v>
      </c>
      <c r="C27" s="1" t="s">
        <v>3214</v>
      </c>
      <c r="D27" s="1" t="s">
        <v>2643</v>
      </c>
    </row>
    <row r="28" spans="1:4">
      <c r="A28" s="1" t="s">
        <v>3215</v>
      </c>
      <c r="B28" s="1" t="s">
        <v>2640</v>
      </c>
      <c r="C28" s="1" t="s">
        <v>3203</v>
      </c>
      <c r="D28" s="1" t="s">
        <v>3216</v>
      </c>
    </row>
    <row r="29" spans="1:4">
      <c r="A29" s="1" t="s">
        <v>3217</v>
      </c>
      <c r="B29" s="1" t="s">
        <v>2645</v>
      </c>
      <c r="C29" s="1" t="s">
        <v>3166</v>
      </c>
      <c r="D29" s="1" t="s">
        <v>3218</v>
      </c>
    </row>
    <row r="30" spans="1:4">
      <c r="A30" s="1" t="s">
        <v>3219</v>
      </c>
      <c r="B30" s="1" t="s">
        <v>2650</v>
      </c>
      <c r="C30" s="1" t="s">
        <v>3220</v>
      </c>
      <c r="D30" s="1" t="s">
        <v>3221</v>
      </c>
    </row>
    <row r="31" spans="1:4">
      <c r="A31" s="1" t="s">
        <v>3222</v>
      </c>
      <c r="B31" s="1" t="s">
        <v>2655</v>
      </c>
      <c r="C31" s="1" t="s">
        <v>3223</v>
      </c>
      <c r="D31" s="1" t="s">
        <v>2615</v>
      </c>
    </row>
    <row r="32" spans="1:4">
      <c r="A32" s="1" t="s">
        <v>3224</v>
      </c>
      <c r="B32" s="1" t="s">
        <v>1265</v>
      </c>
      <c r="C32" s="1" t="s">
        <v>3225</v>
      </c>
      <c r="D32" s="1" t="s">
        <v>3226</v>
      </c>
    </row>
    <row r="33" spans="1:4">
      <c r="A33" s="1" t="s">
        <v>3227</v>
      </c>
      <c r="B33" s="1" t="s">
        <v>2664</v>
      </c>
      <c r="C33" s="1" t="s">
        <v>3228</v>
      </c>
      <c r="D33" s="1" t="s">
        <v>3229</v>
      </c>
    </row>
    <row r="34" spans="1:4">
      <c r="A34" s="1" t="s">
        <v>3230</v>
      </c>
      <c r="B34" s="1" t="s">
        <v>2669</v>
      </c>
      <c r="C34" s="1" t="s">
        <v>3231</v>
      </c>
      <c r="D34" s="1" t="s">
        <v>2561</v>
      </c>
    </row>
    <row r="35" spans="1:4">
      <c r="A35" s="1" t="s">
        <v>3232</v>
      </c>
      <c r="B35" s="1" t="s">
        <v>2674</v>
      </c>
      <c r="C35" s="1" t="s">
        <v>3233</v>
      </c>
      <c r="D35" s="1" t="s">
        <v>3234</v>
      </c>
    </row>
    <row r="36" spans="1:4">
      <c r="A36" s="1" t="s">
        <v>3235</v>
      </c>
      <c r="B36" s="1" t="s">
        <v>2684</v>
      </c>
      <c r="C36" s="1" t="s">
        <v>3236</v>
      </c>
      <c r="D36" s="1" t="s">
        <v>2679</v>
      </c>
    </row>
    <row r="37" spans="1:4">
      <c r="A37" s="1" t="s">
        <v>3237</v>
      </c>
      <c r="B37" s="1" t="s">
        <v>2679</v>
      </c>
      <c r="C37" s="1" t="s">
        <v>3169</v>
      </c>
      <c r="D37" s="1" t="s">
        <v>3238</v>
      </c>
    </row>
    <row r="38" spans="1:4">
      <c r="A38" s="1" t="s">
        <v>3239</v>
      </c>
      <c r="B38" s="1" t="s">
        <v>862</v>
      </c>
      <c r="C38" s="1" t="s">
        <v>3203</v>
      </c>
      <c r="D38" s="1" t="s">
        <v>3240</v>
      </c>
    </row>
    <row r="39" spans="1:4">
      <c r="A39" s="1" t="s">
        <v>3241</v>
      </c>
      <c r="B39" s="1" t="s">
        <v>1793</v>
      </c>
      <c r="C39" s="1" t="s">
        <v>3242</v>
      </c>
      <c r="D39" s="1" t="s">
        <v>3243</v>
      </c>
    </row>
    <row r="40" spans="1:4">
      <c r="A40" s="1" t="s">
        <v>3244</v>
      </c>
      <c r="B40" s="1" t="s">
        <v>918</v>
      </c>
      <c r="C40" s="1" t="s">
        <v>3245</v>
      </c>
      <c r="D40" s="1" t="s">
        <v>254</v>
      </c>
    </row>
    <row r="41" spans="1:4">
      <c r="A41" s="1" t="s">
        <v>3246</v>
      </c>
      <c r="B41" s="1" t="s">
        <v>432</v>
      </c>
      <c r="C41" s="1" t="s">
        <v>3203</v>
      </c>
      <c r="D41" s="1" t="s">
        <v>3247</v>
      </c>
    </row>
    <row r="42" spans="1:4">
      <c r="A42" s="1" t="s">
        <v>3248</v>
      </c>
      <c r="B42" s="1" t="s">
        <v>438</v>
      </c>
      <c r="C42" s="1" t="s">
        <v>3249</v>
      </c>
      <c r="D42" s="1" t="s">
        <v>3250</v>
      </c>
    </row>
    <row r="43" spans="1:4">
      <c r="A43" s="1" t="s">
        <v>3251</v>
      </c>
      <c r="B43" s="1" t="s">
        <v>2753</v>
      </c>
      <c r="C43" s="1" t="s">
        <v>3252</v>
      </c>
      <c r="D43" s="1" t="s">
        <v>3253</v>
      </c>
    </row>
    <row r="44" spans="1:4">
      <c r="A44" s="1" t="s">
        <v>3254</v>
      </c>
      <c r="B44" s="1" t="s">
        <v>2758</v>
      </c>
      <c r="C44" s="1" t="s">
        <v>3255</v>
      </c>
      <c r="D44" s="1" t="s">
        <v>3256</v>
      </c>
    </row>
    <row r="45" spans="1:4">
      <c r="A45" s="1" t="s">
        <v>3257</v>
      </c>
      <c r="B45" s="1" t="s">
        <v>2013</v>
      </c>
      <c r="C45" s="1" t="s">
        <v>3186</v>
      </c>
      <c r="D45" s="1" t="s">
        <v>3258</v>
      </c>
    </row>
    <row r="46" spans="1:4">
      <c r="A46" s="1" t="s">
        <v>3259</v>
      </c>
      <c r="B46" s="1" t="s">
        <v>1336</v>
      </c>
      <c r="C46" s="1" t="s">
        <v>3203</v>
      </c>
      <c r="D46" s="1" t="s">
        <v>3260</v>
      </c>
    </row>
    <row r="47" spans="1:4">
      <c r="A47" s="1" t="s">
        <v>3261</v>
      </c>
      <c r="B47" s="1" t="s">
        <v>1342</v>
      </c>
      <c r="C47" s="1" t="s">
        <v>3203</v>
      </c>
      <c r="D47" s="1" t="s">
        <v>3262</v>
      </c>
    </row>
    <row r="48" spans="1:4">
      <c r="A48" s="1" t="s">
        <v>3263</v>
      </c>
      <c r="B48" s="1" t="s">
        <v>1157</v>
      </c>
      <c r="C48" s="1" t="s">
        <v>3264</v>
      </c>
      <c r="D48" s="1" t="s">
        <v>3265</v>
      </c>
    </row>
    <row r="49" spans="1:4">
      <c r="A49" s="1" t="s">
        <v>3266</v>
      </c>
      <c r="B49" s="1" t="s">
        <v>2787</v>
      </c>
      <c r="C49" s="1" t="s">
        <v>3267</v>
      </c>
      <c r="D49" s="1" t="s">
        <v>3268</v>
      </c>
    </row>
    <row r="50" spans="1:4">
      <c r="A50" s="1" t="s">
        <v>3269</v>
      </c>
      <c r="B50" s="1" t="s">
        <v>2792</v>
      </c>
      <c r="C50" s="1" t="s">
        <v>3270</v>
      </c>
      <c r="D50" s="1" t="s">
        <v>3271</v>
      </c>
    </row>
    <row r="51" spans="1:4">
      <c r="A51" s="1" t="s">
        <v>3272</v>
      </c>
      <c r="B51" s="1" t="s">
        <v>2797</v>
      </c>
      <c r="C51" s="1" t="s">
        <v>3211</v>
      </c>
      <c r="D51" s="1" t="s">
        <v>3273</v>
      </c>
    </row>
    <row r="52" spans="1:4">
      <c r="A52" s="1" t="s">
        <v>3274</v>
      </c>
      <c r="B52" s="1" t="s">
        <v>1908</v>
      </c>
      <c r="C52" s="1" t="s">
        <v>3242</v>
      </c>
      <c r="D52" s="1" t="s">
        <v>3275</v>
      </c>
    </row>
    <row r="53" spans="1:4">
      <c r="A53" s="1" t="s">
        <v>3276</v>
      </c>
      <c r="B53" s="1" t="s">
        <v>1915</v>
      </c>
      <c r="C53" s="1" t="s">
        <v>3242</v>
      </c>
      <c r="D53" s="1" t="s">
        <v>3277</v>
      </c>
    </row>
    <row r="54" spans="1:4">
      <c r="A54" s="1" t="s">
        <v>3278</v>
      </c>
      <c r="B54" s="1" t="s">
        <v>1922</v>
      </c>
      <c r="C54" s="1" t="s">
        <v>3242</v>
      </c>
      <c r="D54" s="1" t="s">
        <v>3279</v>
      </c>
    </row>
    <row r="55" spans="1:4">
      <c r="A55" s="1" t="s">
        <v>3280</v>
      </c>
      <c r="B55" s="1" t="s">
        <v>1355</v>
      </c>
      <c r="C55" s="1" t="s">
        <v>3203</v>
      </c>
      <c r="D55" s="1" t="s">
        <v>3281</v>
      </c>
    </row>
    <row r="56" spans="1:4">
      <c r="A56" s="1" t="s">
        <v>3282</v>
      </c>
      <c r="B56" s="1" t="s">
        <v>2041</v>
      </c>
      <c r="C56" s="1" t="s">
        <v>3203</v>
      </c>
      <c r="D56" s="1" t="s">
        <v>3283</v>
      </c>
    </row>
    <row r="57" spans="1:4">
      <c r="A57" s="1" t="s">
        <v>3284</v>
      </c>
      <c r="B57" s="1" t="s">
        <v>1517</v>
      </c>
      <c r="C57" s="1" t="s">
        <v>3285</v>
      </c>
      <c r="D57" s="1" t="s">
        <v>3286</v>
      </c>
    </row>
    <row r="58" spans="1:4">
      <c r="A58" s="1" t="s">
        <v>3287</v>
      </c>
      <c r="B58" s="1" t="s">
        <v>1840</v>
      </c>
      <c r="C58" s="1" t="s">
        <v>3288</v>
      </c>
      <c r="D58" s="1" t="s">
        <v>3289</v>
      </c>
    </row>
    <row r="59" spans="1:4">
      <c r="A59" s="1" t="s">
        <v>3290</v>
      </c>
      <c r="B59" s="1" t="s">
        <v>1960</v>
      </c>
      <c r="C59" s="1" t="s">
        <v>3291</v>
      </c>
      <c r="D59" s="1" t="s">
        <v>3292</v>
      </c>
    </row>
    <row r="60" spans="1:4">
      <c r="A60" s="1" t="s">
        <v>3293</v>
      </c>
      <c r="B60" s="1" t="s">
        <v>1472</v>
      </c>
      <c r="C60" s="1" t="s">
        <v>3294</v>
      </c>
      <c r="D60" s="1" t="s">
        <v>3295</v>
      </c>
    </row>
    <row r="61" spans="1:4">
      <c r="A61" s="1" t="s">
        <v>3296</v>
      </c>
      <c r="B61" s="1" t="s">
        <v>1727</v>
      </c>
      <c r="C61" s="1" t="s">
        <v>3173</v>
      </c>
      <c r="D61" s="1" t="s">
        <v>3297</v>
      </c>
    </row>
    <row r="62" spans="1:4">
      <c r="A62" s="1" t="s">
        <v>3298</v>
      </c>
      <c r="B62" s="1" t="s">
        <v>1954</v>
      </c>
      <c r="C62" s="1" t="s">
        <v>3211</v>
      </c>
      <c r="D62" s="1" t="s">
        <v>3299</v>
      </c>
    </row>
    <row r="63" spans="1:4">
      <c r="A63" s="1" t="s">
        <v>3300</v>
      </c>
      <c r="B63" s="1" t="s">
        <v>1707</v>
      </c>
      <c r="C63" s="1" t="s">
        <v>3203</v>
      </c>
      <c r="D63" s="1" t="s">
        <v>3301</v>
      </c>
    </row>
    <row r="64" spans="1:4">
      <c r="A64" s="1" t="s">
        <v>3302</v>
      </c>
      <c r="B64" s="1" t="s">
        <v>1778</v>
      </c>
      <c r="C64" s="1" t="s">
        <v>3303</v>
      </c>
      <c r="D64" s="1" t="s">
        <v>3304</v>
      </c>
    </row>
    <row r="65" spans="1:4">
      <c r="A65" s="1" t="s">
        <v>3305</v>
      </c>
      <c r="B65" s="1" t="s">
        <v>469</v>
      </c>
      <c r="C65" s="1" t="s">
        <v>3306</v>
      </c>
      <c r="D65" s="1" t="s">
        <v>3307</v>
      </c>
    </row>
    <row r="66" spans="1:4">
      <c r="A66" s="1" t="s">
        <v>3308</v>
      </c>
      <c r="B66" s="1" t="s">
        <v>335</v>
      </c>
      <c r="C66" s="1" t="s">
        <v>3309</v>
      </c>
      <c r="D66" s="1" t="s">
        <v>3310</v>
      </c>
    </row>
    <row r="67" spans="1:4">
      <c r="A67" s="1" t="s">
        <v>3311</v>
      </c>
      <c r="B67" s="1" t="s">
        <v>1143</v>
      </c>
      <c r="C67" s="1" t="s">
        <v>3242</v>
      </c>
      <c r="D67" s="1" t="s">
        <v>3312</v>
      </c>
    </row>
    <row r="68" spans="1:4">
      <c r="A68" s="1" t="s">
        <v>3313</v>
      </c>
      <c r="B68" s="1" t="s">
        <v>2840</v>
      </c>
      <c r="C68" s="1" t="s">
        <v>3214</v>
      </c>
      <c r="D68" s="1" t="s">
        <v>3314</v>
      </c>
    </row>
    <row r="69" spans="1:4">
      <c r="A69" s="1" t="s">
        <v>3315</v>
      </c>
      <c r="B69" s="1" t="s">
        <v>341</v>
      </c>
      <c r="C69" s="1" t="s">
        <v>3173</v>
      </c>
      <c r="D69" s="1" t="s">
        <v>3316</v>
      </c>
    </row>
    <row r="70" spans="1:4">
      <c r="A70" s="1" t="s">
        <v>3317</v>
      </c>
      <c r="B70" s="1" t="s">
        <v>558</v>
      </c>
      <c r="C70" s="1" t="s">
        <v>3242</v>
      </c>
      <c r="D70" s="1" t="s">
        <v>3318</v>
      </c>
    </row>
    <row r="71" spans="1:4">
      <c r="A71" s="1" t="s">
        <v>3319</v>
      </c>
      <c r="B71" s="1" t="s">
        <v>3320</v>
      </c>
      <c r="C71" s="1" t="s">
        <v>3321</v>
      </c>
      <c r="D71" s="1" t="s">
        <v>3322</v>
      </c>
    </row>
    <row r="72" spans="1:4">
      <c r="A72" s="1" t="s">
        <v>3323</v>
      </c>
      <c r="B72" s="1" t="s">
        <v>2860</v>
      </c>
      <c r="C72" s="1" t="s">
        <v>3324</v>
      </c>
      <c r="D72" s="1" t="s">
        <v>3325</v>
      </c>
    </row>
    <row r="73" spans="1:4">
      <c r="A73" s="1" t="s">
        <v>3326</v>
      </c>
      <c r="B73" s="1" t="s">
        <v>2615</v>
      </c>
      <c r="C73" s="1" t="s">
        <v>3327</v>
      </c>
      <c r="D73" s="1" t="s">
        <v>3328</v>
      </c>
    </row>
    <row r="74" spans="1:4">
      <c r="A74" s="1" t="s">
        <v>3329</v>
      </c>
      <c r="B74" s="1" t="s">
        <v>301</v>
      </c>
      <c r="C74" s="1" t="s">
        <v>3330</v>
      </c>
      <c r="D74" s="1" t="s">
        <v>3331</v>
      </c>
    </row>
    <row r="75" spans="1:4">
      <c r="A75" s="1" t="s">
        <v>3332</v>
      </c>
      <c r="B75" s="1" t="s">
        <v>112</v>
      </c>
      <c r="C75" s="1" t="s">
        <v>3333</v>
      </c>
      <c r="D75" s="1" t="s">
        <v>3334</v>
      </c>
    </row>
    <row r="76" spans="1:4">
      <c r="A76" s="1" t="s">
        <v>3335</v>
      </c>
      <c r="B76" s="1" t="s">
        <v>112</v>
      </c>
      <c r="C76" s="1" t="s">
        <v>3336</v>
      </c>
      <c r="D76" s="1" t="s">
        <v>3337</v>
      </c>
    </row>
    <row r="77" spans="1:4">
      <c r="A77" s="1" t="s">
        <v>3338</v>
      </c>
      <c r="B77" s="1" t="s">
        <v>486</v>
      </c>
      <c r="C77" s="1" t="s">
        <v>3176</v>
      </c>
      <c r="D77" s="1" t="s">
        <v>3339</v>
      </c>
    </row>
    <row r="78" spans="1:4">
      <c r="A78" s="1" t="s">
        <v>3340</v>
      </c>
      <c r="B78" s="1" t="s">
        <v>3185</v>
      </c>
      <c r="C78" s="1" t="s">
        <v>3341</v>
      </c>
      <c r="D78" s="1" t="s">
        <v>3342</v>
      </c>
    </row>
    <row r="79" spans="1:4">
      <c r="A79" s="1" t="s">
        <v>3343</v>
      </c>
      <c r="B79" s="1" t="s">
        <v>458</v>
      </c>
      <c r="C79" s="1" t="s">
        <v>3344</v>
      </c>
      <c r="D79" s="1" t="s">
        <v>3345</v>
      </c>
    </row>
    <row r="80" spans="1:4">
      <c r="A80" s="1" t="s">
        <v>3346</v>
      </c>
      <c r="B80" s="1" t="s">
        <v>2869</v>
      </c>
      <c r="C80" s="1" t="s">
        <v>3169</v>
      </c>
      <c r="D80" s="1" t="s">
        <v>3347</v>
      </c>
    </row>
    <row r="81" spans="1:4">
      <c r="A81" s="1" t="s">
        <v>3348</v>
      </c>
      <c r="B81" s="1" t="s">
        <v>2589</v>
      </c>
      <c r="C81" s="1" t="s">
        <v>3349</v>
      </c>
      <c r="D81" s="1" t="s">
        <v>3350</v>
      </c>
    </row>
    <row r="82" spans="1:4">
      <c r="A82" s="1" t="s">
        <v>3351</v>
      </c>
      <c r="B82" s="1" t="s">
        <v>3352</v>
      </c>
      <c r="C82" s="1" t="s">
        <v>3242</v>
      </c>
      <c r="D82" s="1" t="s">
        <v>3353</v>
      </c>
    </row>
    <row r="83" spans="1:4">
      <c r="A83" s="1" t="s">
        <v>3354</v>
      </c>
      <c r="B83" s="1" t="s">
        <v>3355</v>
      </c>
      <c r="C83" s="1" t="s">
        <v>3356</v>
      </c>
      <c r="D83" s="1" t="s">
        <v>3357</v>
      </c>
    </row>
    <row r="84" spans="1:4">
      <c r="A84" s="1" t="s">
        <v>3358</v>
      </c>
      <c r="B84" s="1" t="s">
        <v>112</v>
      </c>
      <c r="C84" s="1" t="s">
        <v>3359</v>
      </c>
      <c r="D84" s="1" t="s">
        <v>3360</v>
      </c>
    </row>
    <row r="85" spans="1:4">
      <c r="A85" s="1" t="s">
        <v>3361</v>
      </c>
      <c r="B85" s="1" t="s">
        <v>519</v>
      </c>
      <c r="C85" s="1" t="s">
        <v>3162</v>
      </c>
      <c r="D85" s="1" t="s">
        <v>3362</v>
      </c>
    </row>
    <row r="86" spans="1:4">
      <c r="A86" s="1" t="s">
        <v>3363</v>
      </c>
      <c r="B86" s="1" t="s">
        <v>610</v>
      </c>
      <c r="C86" s="1" t="s">
        <v>3162</v>
      </c>
      <c r="D86" s="1" t="s">
        <v>3364</v>
      </c>
    </row>
    <row r="87" spans="1:4">
      <c r="A87" s="1" t="s">
        <v>3365</v>
      </c>
      <c r="B87" s="1" t="s">
        <v>3366</v>
      </c>
      <c r="C87" s="1" t="s">
        <v>3176</v>
      </c>
      <c r="D87" s="1" t="s">
        <v>3367</v>
      </c>
    </row>
    <row r="88" spans="1:4">
      <c r="A88" s="1" t="s">
        <v>3368</v>
      </c>
      <c r="B88" s="1" t="s">
        <v>2889</v>
      </c>
      <c r="C88" s="1" t="s">
        <v>3369</v>
      </c>
      <c r="D88" s="1" t="s">
        <v>3370</v>
      </c>
    </row>
    <row r="89" spans="1:4">
      <c r="A89" s="1" t="s">
        <v>3371</v>
      </c>
      <c r="B89" s="1" t="s">
        <v>3372</v>
      </c>
      <c r="C89" s="1" t="s">
        <v>3373</v>
      </c>
      <c r="D89" s="1" t="s">
        <v>3374</v>
      </c>
    </row>
    <row r="90" spans="1:4">
      <c r="A90" s="1" t="s">
        <v>3375</v>
      </c>
      <c r="B90" s="1" t="s">
        <v>3376</v>
      </c>
      <c r="C90" s="1" t="s">
        <v>3203</v>
      </c>
      <c r="D90" s="1" t="s">
        <v>3377</v>
      </c>
    </row>
    <row r="91" spans="1:4">
      <c r="A91" s="1" t="s">
        <v>3378</v>
      </c>
      <c r="B91" s="1" t="s">
        <v>3379</v>
      </c>
      <c r="C91" s="1" t="s">
        <v>3380</v>
      </c>
      <c r="D91" s="1" t="s">
        <v>3381</v>
      </c>
    </row>
    <row r="92" spans="1:4">
      <c r="A92" s="1" t="s">
        <v>3382</v>
      </c>
      <c r="B92" s="1" t="s">
        <v>2894</v>
      </c>
      <c r="C92" s="1" t="s">
        <v>3383</v>
      </c>
      <c r="D92" s="1" t="s">
        <v>3384</v>
      </c>
    </row>
    <row r="93" spans="1:4">
      <c r="A93" s="1" t="s">
        <v>3385</v>
      </c>
      <c r="B93" s="1" t="s">
        <v>3150</v>
      </c>
      <c r="C93" s="1" t="s">
        <v>3386</v>
      </c>
      <c r="D93" s="1" t="s">
        <v>3387</v>
      </c>
    </row>
    <row r="94" spans="1:4">
      <c r="A94" s="1" t="s">
        <v>3388</v>
      </c>
      <c r="B94" s="1" t="s">
        <v>2899</v>
      </c>
      <c r="C94" s="1" t="s">
        <v>3211</v>
      </c>
      <c r="D94" s="1" t="s">
        <v>3389</v>
      </c>
    </row>
    <row r="95" spans="1:4">
      <c r="A95" s="1" t="s">
        <v>3390</v>
      </c>
      <c r="B95" s="1" t="s">
        <v>2904</v>
      </c>
      <c r="C95" s="1" t="s">
        <v>3391</v>
      </c>
      <c r="D95" s="1" t="s">
        <v>3392</v>
      </c>
    </row>
    <row r="96" spans="1:4">
      <c r="A96" s="1" t="s">
        <v>3393</v>
      </c>
      <c r="B96" s="1" t="s">
        <v>2909</v>
      </c>
      <c r="C96" s="1" t="s">
        <v>3394</v>
      </c>
      <c r="D96" s="1" t="s">
        <v>3395</v>
      </c>
    </row>
    <row r="97" spans="1:4">
      <c r="A97" s="1" t="s">
        <v>3396</v>
      </c>
      <c r="B97" s="1" t="s">
        <v>1434</v>
      </c>
      <c r="C97" s="1" t="s">
        <v>3391</v>
      </c>
      <c r="D97" s="1" t="s">
        <v>3397</v>
      </c>
    </row>
    <row r="98" spans="1:4">
      <c r="A98" s="1" t="s">
        <v>3398</v>
      </c>
      <c r="B98" s="1" t="s">
        <v>1441</v>
      </c>
      <c r="C98" s="1" t="s">
        <v>3391</v>
      </c>
      <c r="D98" s="1" t="s">
        <v>3399</v>
      </c>
    </row>
    <row r="99" spans="1:4">
      <c r="A99" s="1" t="s">
        <v>3400</v>
      </c>
      <c r="B99" s="1" t="s">
        <v>1448</v>
      </c>
      <c r="C99" s="1" t="s">
        <v>3203</v>
      </c>
      <c r="D99" s="1" t="s">
        <v>3401</v>
      </c>
    </row>
    <row r="100" spans="1:4">
      <c r="A100" s="1" t="s">
        <v>3402</v>
      </c>
      <c r="B100" s="1" t="s">
        <v>1455</v>
      </c>
      <c r="C100" s="1" t="s">
        <v>3203</v>
      </c>
      <c r="D100" s="1" t="s">
        <v>3403</v>
      </c>
    </row>
    <row r="101" spans="1:4">
      <c r="A101" s="1" t="s">
        <v>3404</v>
      </c>
      <c r="B101" s="1" t="s">
        <v>1942</v>
      </c>
      <c r="C101" s="1" t="s">
        <v>3203</v>
      </c>
      <c r="D101" s="1" t="s">
        <v>3405</v>
      </c>
    </row>
    <row r="102" spans="1:4">
      <c r="A102" s="1" t="s">
        <v>3406</v>
      </c>
      <c r="B102" s="1" t="s">
        <v>1657</v>
      </c>
      <c r="C102" s="1" t="s">
        <v>3203</v>
      </c>
      <c r="D102" s="1" t="s">
        <v>3407</v>
      </c>
    </row>
    <row r="103" spans="1:4">
      <c r="A103" s="1" t="s">
        <v>3408</v>
      </c>
      <c r="B103" s="1" t="s">
        <v>1855</v>
      </c>
      <c r="C103" s="1" t="s">
        <v>3242</v>
      </c>
      <c r="D103" s="1" t="s">
        <v>3409</v>
      </c>
    </row>
    <row r="104" spans="1:4">
      <c r="A104" s="1" t="s">
        <v>3410</v>
      </c>
      <c r="B104" s="1" t="s">
        <v>1848</v>
      </c>
      <c r="C104" s="1" t="s">
        <v>3242</v>
      </c>
      <c r="D104" s="1" t="s">
        <v>3411</v>
      </c>
    </row>
    <row r="105" spans="1:4">
      <c r="A105" s="1" t="s">
        <v>3412</v>
      </c>
      <c r="B105" s="1" t="s">
        <v>1881</v>
      </c>
      <c r="C105" s="1" t="s">
        <v>3245</v>
      </c>
      <c r="D105" s="1" t="s">
        <v>1498</v>
      </c>
    </row>
    <row r="106" spans="1:4">
      <c r="A106" s="1" t="s">
        <v>3413</v>
      </c>
      <c r="B106" s="1" t="s">
        <v>1129</v>
      </c>
      <c r="C106" s="1" t="s">
        <v>3203</v>
      </c>
      <c r="D106" s="1" t="s">
        <v>3414</v>
      </c>
    </row>
    <row r="107" spans="1:4">
      <c r="A107" s="1" t="s">
        <v>3415</v>
      </c>
      <c r="B107" s="1" t="s">
        <v>3416</v>
      </c>
      <c r="C107" s="1" t="s">
        <v>3203</v>
      </c>
      <c r="D107" s="1" t="s">
        <v>3417</v>
      </c>
    </row>
    <row r="108" spans="1:4">
      <c r="A108" s="1" t="s">
        <v>3418</v>
      </c>
      <c r="B108" s="1" t="s">
        <v>3419</v>
      </c>
      <c r="C108" s="1" t="s">
        <v>3420</v>
      </c>
      <c r="D108" s="1" t="s">
        <v>3421</v>
      </c>
    </row>
    <row r="109" spans="1:4">
      <c r="A109" s="1" t="s">
        <v>3422</v>
      </c>
      <c r="B109" s="1" t="s">
        <v>1350</v>
      </c>
      <c r="C109" s="1" t="s">
        <v>3200</v>
      </c>
      <c r="D109" s="1" t="s">
        <v>3423</v>
      </c>
    </row>
    <row r="110" spans="1:4">
      <c r="A110" s="1" t="s">
        <v>3424</v>
      </c>
      <c r="B110" s="1" t="s">
        <v>1625</v>
      </c>
      <c r="C110" s="1" t="s">
        <v>3425</v>
      </c>
      <c r="D110" s="1" t="s">
        <v>3426</v>
      </c>
    </row>
    <row r="111" spans="1:4">
      <c r="A111" s="1" t="s">
        <v>3427</v>
      </c>
      <c r="B111" s="1" t="s">
        <v>1630</v>
      </c>
      <c r="C111" s="1" t="s">
        <v>3428</v>
      </c>
      <c r="D111" s="1" t="s">
        <v>3429</v>
      </c>
    </row>
    <row r="112" spans="1:4">
      <c r="A112" s="1" t="s">
        <v>3430</v>
      </c>
      <c r="B112" s="1" t="s">
        <v>1807</v>
      </c>
      <c r="C112" s="1" t="s">
        <v>3242</v>
      </c>
      <c r="D112" s="1" t="s">
        <v>3431</v>
      </c>
    </row>
    <row r="113" spans="1:4">
      <c r="A113" s="1" t="s">
        <v>3432</v>
      </c>
      <c r="B113" s="1" t="s">
        <v>2006</v>
      </c>
      <c r="C113" s="1" t="s">
        <v>3223</v>
      </c>
      <c r="D113" s="1" t="s">
        <v>3433</v>
      </c>
    </row>
    <row r="114" spans="1:4">
      <c r="A114" s="1" t="s">
        <v>3434</v>
      </c>
      <c r="B114" s="1" t="s">
        <v>1901</v>
      </c>
      <c r="C114" s="1" t="s">
        <v>3435</v>
      </c>
      <c r="D114" s="1" t="s">
        <v>3436</v>
      </c>
    </row>
    <row r="115" spans="1:4">
      <c r="A115" s="1" t="s">
        <v>3437</v>
      </c>
      <c r="B115" s="1" t="s">
        <v>3438</v>
      </c>
      <c r="C115" s="1" t="s">
        <v>3439</v>
      </c>
      <c r="D115" s="1" t="s">
        <v>3440</v>
      </c>
    </row>
    <row r="116" spans="1:4">
      <c r="A116" s="1" t="s">
        <v>3441</v>
      </c>
      <c r="B116" s="1" t="s">
        <v>3442</v>
      </c>
      <c r="C116" s="1" t="s">
        <v>3443</v>
      </c>
      <c r="D116" s="1" t="s">
        <v>3444</v>
      </c>
    </row>
    <row r="117" spans="1:4">
      <c r="A117" s="1" t="s">
        <v>3445</v>
      </c>
      <c r="B117" s="1" t="s">
        <v>1544</v>
      </c>
      <c r="C117" s="1" t="s">
        <v>3203</v>
      </c>
      <c r="D117" s="1" t="s">
        <v>3446</v>
      </c>
    </row>
    <row r="118" spans="1:4">
      <c r="A118" s="1" t="s">
        <v>3447</v>
      </c>
      <c r="B118" s="1" t="s">
        <v>1551</v>
      </c>
      <c r="C118" s="1" t="s">
        <v>3203</v>
      </c>
      <c r="D118" s="1" t="s">
        <v>3448</v>
      </c>
    </row>
    <row r="119" spans="1:4">
      <c r="A119" s="1" t="s">
        <v>3449</v>
      </c>
      <c r="B119" s="1" t="s">
        <v>1558</v>
      </c>
      <c r="C119" s="1" t="s">
        <v>3203</v>
      </c>
      <c r="D119" s="1" t="s">
        <v>3450</v>
      </c>
    </row>
    <row r="120" spans="1:4">
      <c r="A120" s="1" t="s">
        <v>3451</v>
      </c>
      <c r="B120" s="1" t="s">
        <v>1565</v>
      </c>
      <c r="C120" s="1" t="s">
        <v>3203</v>
      </c>
      <c r="D120" s="1" t="s">
        <v>3452</v>
      </c>
    </row>
    <row r="121" spans="1:4">
      <c r="A121" s="1" t="s">
        <v>3453</v>
      </c>
      <c r="B121" s="1" t="s">
        <v>1576</v>
      </c>
      <c r="C121" s="1" t="s">
        <v>3454</v>
      </c>
      <c r="D121" s="1" t="s">
        <v>3455</v>
      </c>
    </row>
    <row r="122" spans="1:4">
      <c r="A122" s="1" t="s">
        <v>3456</v>
      </c>
      <c r="B122" s="1" t="s">
        <v>1570</v>
      </c>
      <c r="C122" s="1" t="s">
        <v>3454</v>
      </c>
      <c r="D122" s="1" t="s">
        <v>3457</v>
      </c>
    </row>
    <row r="123" spans="1:4">
      <c r="A123" s="1" t="s">
        <v>3458</v>
      </c>
      <c r="B123" s="1" t="s">
        <v>1584</v>
      </c>
      <c r="C123" s="1" t="s">
        <v>3173</v>
      </c>
      <c r="D123" s="1" t="s">
        <v>3459</v>
      </c>
    </row>
    <row r="124" spans="1:4">
      <c r="A124" s="1" t="s">
        <v>3460</v>
      </c>
      <c r="B124" s="1" t="s">
        <v>1596</v>
      </c>
      <c r="C124" s="1" t="s">
        <v>3245</v>
      </c>
      <c r="D124" s="1" t="s">
        <v>1570</v>
      </c>
    </row>
    <row r="125" spans="1:4">
      <c r="A125" s="1" t="s">
        <v>3461</v>
      </c>
      <c r="B125" s="1" t="s">
        <v>1589</v>
      </c>
      <c r="C125" s="1" t="s">
        <v>3462</v>
      </c>
      <c r="D125" s="1" t="s">
        <v>3463</v>
      </c>
    </row>
    <row r="126" spans="1:4">
      <c r="A126" s="1" t="s">
        <v>3464</v>
      </c>
      <c r="B126" s="1" t="s">
        <v>1602</v>
      </c>
      <c r="C126" s="1" t="s">
        <v>3462</v>
      </c>
      <c r="D126" s="1" t="s">
        <v>3465</v>
      </c>
    </row>
    <row r="127" spans="1:4">
      <c r="A127" s="1" t="s">
        <v>3466</v>
      </c>
      <c r="B127" s="1" t="s">
        <v>2222</v>
      </c>
      <c r="C127" s="1" t="s">
        <v>3467</v>
      </c>
      <c r="D127" s="1" t="s">
        <v>3468</v>
      </c>
    </row>
    <row r="128" spans="1:4">
      <c r="A128" s="1" t="s">
        <v>3469</v>
      </c>
      <c r="B128" s="1" t="s">
        <v>3470</v>
      </c>
      <c r="C128" s="1" t="s">
        <v>3471</v>
      </c>
      <c r="D128" s="1" t="s">
        <v>3472</v>
      </c>
    </row>
    <row r="129" spans="1:4">
      <c r="A129" s="1" t="s">
        <v>3473</v>
      </c>
      <c r="B129" s="1" t="s">
        <v>3474</v>
      </c>
      <c r="C129" s="1" t="s">
        <v>3475</v>
      </c>
      <c r="D129" s="1" t="s">
        <v>3476</v>
      </c>
    </row>
    <row r="130" spans="1:4">
      <c r="A130" s="1" t="s">
        <v>3477</v>
      </c>
      <c r="B130" s="1" t="s">
        <v>3478</v>
      </c>
      <c r="C130" s="1" t="s">
        <v>3479</v>
      </c>
      <c r="D130" s="1" t="s">
        <v>3480</v>
      </c>
    </row>
    <row r="131" spans="1:4">
      <c r="A131" s="1" t="s">
        <v>3481</v>
      </c>
      <c r="B131" s="1" t="s">
        <v>2993</v>
      </c>
      <c r="C131" s="1" t="s">
        <v>3482</v>
      </c>
      <c r="D131" s="1" t="s">
        <v>2222</v>
      </c>
    </row>
    <row r="132" spans="1:4">
      <c r="A132" s="1" t="s">
        <v>3483</v>
      </c>
      <c r="B132" s="1" t="s">
        <v>636</v>
      </c>
      <c r="C132" s="1" t="s">
        <v>3211</v>
      </c>
      <c r="D132" s="1" t="s">
        <v>3484</v>
      </c>
    </row>
    <row r="133" spans="1:4">
      <c r="A133" s="1" t="s">
        <v>3485</v>
      </c>
      <c r="B133" s="1" t="s">
        <v>995</v>
      </c>
      <c r="C133" s="1" t="s">
        <v>3486</v>
      </c>
      <c r="D133" s="1" t="s">
        <v>3487</v>
      </c>
    </row>
    <row r="134" spans="1:4">
      <c r="A134" s="1" t="s">
        <v>3488</v>
      </c>
      <c r="B134" s="1" t="s">
        <v>3012</v>
      </c>
      <c r="C134" s="1" t="s">
        <v>3203</v>
      </c>
      <c r="D134" s="1" t="s">
        <v>3489</v>
      </c>
    </row>
    <row r="135" spans="1:4">
      <c r="A135" s="1" t="s">
        <v>3490</v>
      </c>
      <c r="B135" s="1" t="s">
        <v>3017</v>
      </c>
      <c r="C135" s="1" t="s">
        <v>3228</v>
      </c>
      <c r="D135" s="1" t="s">
        <v>3491</v>
      </c>
    </row>
    <row r="136" spans="1:4">
      <c r="A136" s="1" t="s">
        <v>3492</v>
      </c>
      <c r="B136" s="1" t="s">
        <v>3022</v>
      </c>
      <c r="C136" s="1" t="s">
        <v>3176</v>
      </c>
      <c r="D136" s="1" t="s">
        <v>3493</v>
      </c>
    </row>
    <row r="137" spans="1:4">
      <c r="A137" s="1" t="s">
        <v>3494</v>
      </c>
      <c r="B137" s="1" t="s">
        <v>3495</v>
      </c>
      <c r="C137" s="1" t="s">
        <v>3496</v>
      </c>
      <c r="D137" s="1" t="s">
        <v>3497</v>
      </c>
    </row>
    <row r="138" spans="1:4">
      <c r="A138" s="1" t="s">
        <v>3498</v>
      </c>
      <c r="B138" s="1" t="s">
        <v>3027</v>
      </c>
      <c r="C138" s="1" t="s">
        <v>3203</v>
      </c>
      <c r="D138" s="1" t="s">
        <v>3499</v>
      </c>
    </row>
    <row r="139" spans="1:4">
      <c r="A139" s="1" t="s">
        <v>3500</v>
      </c>
      <c r="B139" s="1" t="s">
        <v>3185</v>
      </c>
      <c r="C139" s="1" t="s">
        <v>3501</v>
      </c>
      <c r="D139" s="1" t="s">
        <v>3502</v>
      </c>
    </row>
  </sheetData>
  <mergeCells count="2">
    <mergeCell ref="A1:D1"/>
    <mergeCell ref="A2:D2"/>
  </mergeCells>
  <pageMargins left="0.75" right="0.75" top="1" bottom="1" header="0.5" footer="0.5"/>
  <pageSetup orientation="landscape"/>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4"/>
  <sheetViews>
    <sheetView showGridLines="0" workbookViewId="0">
      <pane ySplit="4" topLeftCell="A5" activePane="bottomLeft" state="frozen"/>
      <selection pane="bottomLeft"/>
    </sheetView>
  </sheetViews>
  <sheetFormatPr defaultRowHeight="15"/>
  <cols>
    <col min="1" max="1" width="12" customWidth="1"/>
    <col min="2" max="2" width="34" customWidth="1"/>
    <col min="3" max="3" width="100" customWidth="1"/>
    <col min="4" max="4" width="28" customWidth="1"/>
  </cols>
  <sheetData>
    <row r="1" spans="1:4">
      <c r="A1" s="27" t="s">
        <v>3503</v>
      </c>
      <c r="B1" s="30"/>
      <c r="C1" s="30"/>
      <c r="D1" s="30"/>
    </row>
    <row r="2" spans="1:4" ht="54" customHeight="1">
      <c r="A2" s="26" t="s">
        <v>3504</v>
      </c>
      <c r="B2" s="30"/>
      <c r="C2" s="30"/>
      <c r="D2" s="30"/>
    </row>
    <row r="4" spans="1:4">
      <c r="A4" s="6" t="s">
        <v>188</v>
      </c>
      <c r="B4" s="6" t="s">
        <v>3505</v>
      </c>
      <c r="C4" s="6" t="s">
        <v>3506</v>
      </c>
      <c r="D4" s="6" t="s">
        <v>2232</v>
      </c>
    </row>
    <row r="5" spans="1:4">
      <c r="A5" s="1" t="s">
        <v>3507</v>
      </c>
      <c r="B5" s="1" t="s">
        <v>3508</v>
      </c>
      <c r="C5" s="1" t="s">
        <v>3509</v>
      </c>
      <c r="D5" s="1" t="s">
        <v>201</v>
      </c>
    </row>
    <row r="6" spans="1:4">
      <c r="A6" s="1" t="s">
        <v>3510</v>
      </c>
      <c r="B6" s="1" t="s">
        <v>3511</v>
      </c>
      <c r="C6" s="1" t="s">
        <v>3512</v>
      </c>
      <c r="D6" s="1" t="s">
        <v>201</v>
      </c>
    </row>
    <row r="7" spans="1:4">
      <c r="A7" s="1" t="s">
        <v>3513</v>
      </c>
      <c r="B7" s="1" t="s">
        <v>3514</v>
      </c>
      <c r="C7" s="1" t="s">
        <v>3515</v>
      </c>
      <c r="D7" s="1" t="s">
        <v>201</v>
      </c>
    </row>
    <row r="8" spans="1:4">
      <c r="A8" s="1" t="s">
        <v>3516</v>
      </c>
      <c r="B8" s="1" t="s">
        <v>3517</v>
      </c>
      <c r="C8" s="1" t="s">
        <v>3518</v>
      </c>
      <c r="D8" s="1" t="s">
        <v>201</v>
      </c>
    </row>
    <row r="9" spans="1:4">
      <c r="A9" s="1" t="s">
        <v>3519</v>
      </c>
      <c r="B9" s="1" t="s">
        <v>3520</v>
      </c>
      <c r="C9" s="1" t="s">
        <v>3521</v>
      </c>
      <c r="D9" s="1" t="s">
        <v>201</v>
      </c>
    </row>
    <row r="10" spans="1:4">
      <c r="A10" s="1" t="s">
        <v>3522</v>
      </c>
      <c r="B10" s="1" t="s">
        <v>3523</v>
      </c>
      <c r="C10" s="1" t="s">
        <v>3524</v>
      </c>
      <c r="D10" s="1" t="s">
        <v>201</v>
      </c>
    </row>
    <row r="11" spans="1:4">
      <c r="A11" s="1" t="s">
        <v>3525</v>
      </c>
      <c r="B11" s="1" t="s">
        <v>3526</v>
      </c>
      <c r="C11" s="1" t="s">
        <v>3527</v>
      </c>
      <c r="D11" s="1" t="s">
        <v>201</v>
      </c>
    </row>
    <row r="12" spans="1:4">
      <c r="A12" s="1" t="s">
        <v>3528</v>
      </c>
      <c r="B12" s="1" t="s">
        <v>3529</v>
      </c>
      <c r="C12" s="1" t="s">
        <v>3530</v>
      </c>
      <c r="D12" s="1" t="s">
        <v>201</v>
      </c>
    </row>
    <row r="13" spans="1:4">
      <c r="A13" s="1" t="s">
        <v>3531</v>
      </c>
      <c r="B13" s="1" t="s">
        <v>3532</v>
      </c>
      <c r="C13" s="1" t="s">
        <v>3533</v>
      </c>
      <c r="D13" s="1" t="s">
        <v>201</v>
      </c>
    </row>
    <row r="14" spans="1:4">
      <c r="A14" s="1" t="s">
        <v>3534</v>
      </c>
      <c r="B14" s="1" t="s">
        <v>3535</v>
      </c>
      <c r="C14" s="1" t="s">
        <v>3536</v>
      </c>
      <c r="D14" s="1" t="s">
        <v>201</v>
      </c>
    </row>
  </sheetData>
  <mergeCells count="2">
    <mergeCell ref="A1:D1"/>
    <mergeCell ref="A2:D2"/>
  </mergeCells>
  <pageMargins left="0.75" right="0.75" top="1" bottom="1" header="0.5" footer="0.5"/>
  <pageSetup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7"/>
  <sheetViews>
    <sheetView showGridLines="0" workbookViewId="0">
      <pane ySplit="4" topLeftCell="A5" activePane="bottomLeft" state="frozen"/>
      <selection pane="bottomLeft"/>
    </sheetView>
  </sheetViews>
  <sheetFormatPr defaultRowHeight="15"/>
  <cols>
    <col min="1" max="1" width="12" customWidth="1"/>
    <col min="2" max="3" width="30" customWidth="1"/>
    <col min="4" max="4" width="96" customWidth="1"/>
  </cols>
  <sheetData>
    <row r="1" spans="1:4">
      <c r="A1" s="27" t="s">
        <v>3537</v>
      </c>
      <c r="B1" s="30"/>
      <c r="C1" s="30"/>
      <c r="D1" s="30"/>
    </row>
    <row r="2" spans="1:4" ht="54" customHeight="1">
      <c r="A2" s="26" t="s">
        <v>3538</v>
      </c>
      <c r="B2" s="30"/>
      <c r="C2" s="30"/>
      <c r="D2" s="30"/>
    </row>
    <row r="4" spans="1:4">
      <c r="A4" s="6" t="s">
        <v>188</v>
      </c>
      <c r="B4" s="6" t="s">
        <v>2192</v>
      </c>
      <c r="C4" s="6" t="s">
        <v>2522</v>
      </c>
      <c r="D4" s="6" t="s">
        <v>55</v>
      </c>
    </row>
    <row r="5" spans="1:4">
      <c r="A5" s="1" t="s">
        <v>3539</v>
      </c>
      <c r="B5" s="1" t="s">
        <v>2075</v>
      </c>
      <c r="C5" s="1" t="s">
        <v>3117</v>
      </c>
      <c r="D5" s="1" t="s">
        <v>3540</v>
      </c>
    </row>
    <row r="6" spans="1:4">
      <c r="A6" s="1" t="s">
        <v>3541</v>
      </c>
      <c r="B6" s="1" t="s">
        <v>2080</v>
      </c>
      <c r="C6" s="1" t="s">
        <v>2527</v>
      </c>
      <c r="D6" s="1" t="s">
        <v>3542</v>
      </c>
    </row>
    <row r="7" spans="1:4">
      <c r="A7" s="1" t="s">
        <v>3543</v>
      </c>
      <c r="B7" s="1" t="s">
        <v>2070</v>
      </c>
      <c r="C7" s="1" t="s">
        <v>3117</v>
      </c>
      <c r="D7" s="1" t="s">
        <v>3544</v>
      </c>
    </row>
    <row r="8" spans="1:4">
      <c r="A8" s="1" t="s">
        <v>3545</v>
      </c>
      <c r="B8" s="1" t="s">
        <v>3546</v>
      </c>
      <c r="C8" s="1" t="s">
        <v>3117</v>
      </c>
      <c r="D8" s="1" t="s">
        <v>3547</v>
      </c>
    </row>
    <row r="9" spans="1:4">
      <c r="A9" s="1" t="s">
        <v>3548</v>
      </c>
      <c r="B9" s="1" t="s">
        <v>3549</v>
      </c>
      <c r="C9" s="1" t="s">
        <v>3117</v>
      </c>
      <c r="D9" s="1" t="s">
        <v>3550</v>
      </c>
    </row>
    <row r="10" spans="1:4">
      <c r="A10" s="1" t="s">
        <v>3551</v>
      </c>
      <c r="B10" s="1" t="s">
        <v>3552</v>
      </c>
      <c r="C10" s="1" t="s">
        <v>3117</v>
      </c>
      <c r="D10" s="1" t="s">
        <v>3553</v>
      </c>
    </row>
    <row r="11" spans="1:4">
      <c r="A11" s="1" t="s">
        <v>3554</v>
      </c>
      <c r="B11" s="1" t="s">
        <v>3555</v>
      </c>
      <c r="C11" s="1" t="s">
        <v>3556</v>
      </c>
      <c r="D11" s="1" t="s">
        <v>3557</v>
      </c>
    </row>
    <row r="12" spans="1:4">
      <c r="A12" s="1" t="s">
        <v>3558</v>
      </c>
      <c r="B12" s="1" t="s">
        <v>3559</v>
      </c>
      <c r="C12" s="1" t="s">
        <v>3560</v>
      </c>
      <c r="D12" s="1" t="s">
        <v>3561</v>
      </c>
    </row>
    <row r="13" spans="1:4">
      <c r="A13" s="1" t="s">
        <v>3562</v>
      </c>
      <c r="B13" s="1" t="s">
        <v>3563</v>
      </c>
      <c r="C13" s="1" t="s">
        <v>3564</v>
      </c>
      <c r="D13" s="1" t="s">
        <v>3565</v>
      </c>
    </row>
    <row r="14" spans="1:4">
      <c r="A14" s="1" t="s">
        <v>3566</v>
      </c>
      <c r="B14" s="1" t="s">
        <v>491</v>
      </c>
      <c r="C14" s="1" t="s">
        <v>3567</v>
      </c>
      <c r="D14" s="1" t="s">
        <v>3568</v>
      </c>
    </row>
    <row r="15" spans="1:4">
      <c r="A15" s="1" t="s">
        <v>3569</v>
      </c>
      <c r="B15" s="1" t="s">
        <v>958</v>
      </c>
      <c r="C15" s="1" t="s">
        <v>3570</v>
      </c>
      <c r="D15" s="1" t="s">
        <v>3571</v>
      </c>
    </row>
    <row r="16" spans="1:4">
      <c r="A16" s="1" t="s">
        <v>3572</v>
      </c>
      <c r="B16" s="1" t="s">
        <v>965</v>
      </c>
      <c r="C16" s="1" t="s">
        <v>3573</v>
      </c>
      <c r="D16" s="1" t="s">
        <v>3574</v>
      </c>
    </row>
    <row r="17" spans="1:4">
      <c r="A17" s="1" t="s">
        <v>3575</v>
      </c>
      <c r="B17" s="1" t="s">
        <v>972</v>
      </c>
      <c r="C17" s="1" t="s">
        <v>3576</v>
      </c>
      <c r="D17" s="1" t="s">
        <v>3577</v>
      </c>
    </row>
  </sheetData>
  <mergeCells count="2">
    <mergeCell ref="A1:D1"/>
    <mergeCell ref="A2:D2"/>
  </mergeCells>
  <pageMargins left="0.75" right="0.75" top="1" bottom="1" header="0.5" footer="0.5"/>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7"/>
  <sheetViews>
    <sheetView showGridLines="0" workbookViewId="0">
      <pane ySplit="4" topLeftCell="A5" activePane="bottomLeft" state="frozen"/>
      <selection pane="bottomLeft"/>
    </sheetView>
  </sheetViews>
  <sheetFormatPr defaultRowHeight="15"/>
  <cols>
    <col min="1" max="1" width="12" customWidth="1"/>
    <col min="2" max="2" width="34" customWidth="1"/>
    <col min="3" max="3" width="100" customWidth="1"/>
  </cols>
  <sheetData>
    <row r="1" spans="1:3">
      <c r="A1" s="27" t="s">
        <v>3578</v>
      </c>
      <c r="B1" s="30"/>
      <c r="C1" s="30"/>
    </row>
    <row r="2" spans="1:3" ht="54" customHeight="1">
      <c r="A2" s="26" t="s">
        <v>3579</v>
      </c>
      <c r="B2" s="30"/>
      <c r="C2" s="30"/>
    </row>
    <row r="4" spans="1:3">
      <c r="A4" s="6" t="s">
        <v>188</v>
      </c>
      <c r="B4" s="6" t="s">
        <v>129</v>
      </c>
      <c r="C4" s="6" t="s">
        <v>3086</v>
      </c>
    </row>
    <row r="5" spans="1:3">
      <c r="A5" s="1" t="s">
        <v>3580</v>
      </c>
      <c r="B5" s="1" t="s">
        <v>3581</v>
      </c>
      <c r="C5" s="1" t="s">
        <v>3582</v>
      </c>
    </row>
    <row r="6" spans="1:3">
      <c r="A6" s="1" t="s">
        <v>3583</v>
      </c>
      <c r="B6" s="1" t="s">
        <v>3584</v>
      </c>
      <c r="C6" s="1" t="s">
        <v>3585</v>
      </c>
    </row>
    <row r="7" spans="1:3">
      <c r="A7" s="1" t="s">
        <v>3586</v>
      </c>
      <c r="B7" s="1" t="s">
        <v>3168</v>
      </c>
      <c r="C7" s="1" t="s">
        <v>3587</v>
      </c>
    </row>
    <row r="8" spans="1:3">
      <c r="A8" s="1" t="s">
        <v>3588</v>
      </c>
      <c r="B8" s="1" t="s">
        <v>720</v>
      </c>
      <c r="C8" s="1" t="s">
        <v>3589</v>
      </c>
    </row>
    <row r="9" spans="1:3">
      <c r="A9" s="1" t="s">
        <v>3590</v>
      </c>
      <c r="B9" s="1" t="s">
        <v>3591</v>
      </c>
      <c r="C9" s="1" t="s">
        <v>3592</v>
      </c>
    </row>
    <row r="10" spans="1:3">
      <c r="A10" s="1" t="s">
        <v>3593</v>
      </c>
      <c r="B10" s="1" t="s">
        <v>3594</v>
      </c>
      <c r="C10" s="1" t="s">
        <v>3595</v>
      </c>
    </row>
    <row r="11" spans="1:3">
      <c r="A11" s="1" t="s">
        <v>3596</v>
      </c>
      <c r="B11" s="1" t="s">
        <v>2561</v>
      </c>
      <c r="C11" s="1" t="s">
        <v>3597</v>
      </c>
    </row>
    <row r="12" spans="1:3">
      <c r="A12" s="1" t="s">
        <v>3598</v>
      </c>
      <c r="B12" s="1" t="s">
        <v>2108</v>
      </c>
      <c r="C12" s="1" t="s">
        <v>3599</v>
      </c>
    </row>
    <row r="13" spans="1:3">
      <c r="A13" s="1" t="s">
        <v>3600</v>
      </c>
      <c r="B13" s="1" t="s">
        <v>2566</v>
      </c>
      <c r="C13" s="1" t="s">
        <v>3601</v>
      </c>
    </row>
    <row r="14" spans="1:3">
      <c r="A14" s="1" t="s">
        <v>3602</v>
      </c>
      <c r="B14" s="1" t="s">
        <v>1415</v>
      </c>
      <c r="C14" s="1" t="s">
        <v>3603</v>
      </c>
    </row>
    <row r="15" spans="1:3">
      <c r="A15" s="1" t="s">
        <v>3604</v>
      </c>
      <c r="B15" s="1" t="s">
        <v>2220</v>
      </c>
      <c r="C15" s="1" t="s">
        <v>3605</v>
      </c>
    </row>
    <row r="16" spans="1:3">
      <c r="A16" s="1" t="s">
        <v>3606</v>
      </c>
      <c r="B16" s="1" t="s">
        <v>3607</v>
      </c>
      <c r="C16" s="1" t="s">
        <v>3608</v>
      </c>
    </row>
    <row r="17" spans="1:3">
      <c r="A17" s="1" t="s">
        <v>3609</v>
      </c>
      <c r="B17" s="1" t="s">
        <v>3185</v>
      </c>
      <c r="C17" s="1" t="s">
        <v>3610</v>
      </c>
    </row>
  </sheetData>
  <mergeCells count="2">
    <mergeCell ref="A1:C1"/>
    <mergeCell ref="A2:C2"/>
  </mergeCells>
  <pageMargins left="0.75" right="0.75" top="1" bottom="1" header="0.5" footer="0.5"/>
  <pageSetup orientation="landscape"/>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0"/>
  <sheetViews>
    <sheetView showGridLines="0" workbookViewId="0">
      <pane ySplit="4" topLeftCell="A5" activePane="bottomLeft" state="frozen"/>
      <selection pane="bottomLeft"/>
    </sheetView>
  </sheetViews>
  <sheetFormatPr defaultRowHeight="15"/>
  <cols>
    <col min="1" max="1" width="12" customWidth="1"/>
    <col min="2" max="2" width="32" customWidth="1"/>
    <col min="3" max="3" width="62" customWidth="1"/>
    <col min="4" max="4" width="74" customWidth="1"/>
  </cols>
  <sheetData>
    <row r="1" spans="1:4">
      <c r="A1" s="27" t="s">
        <v>3611</v>
      </c>
      <c r="B1" s="30"/>
      <c r="C1" s="30"/>
      <c r="D1" s="30"/>
    </row>
    <row r="2" spans="1:4" ht="54" customHeight="1">
      <c r="A2" s="26" t="s">
        <v>3612</v>
      </c>
      <c r="B2" s="30"/>
      <c r="C2" s="30"/>
      <c r="D2" s="30"/>
    </row>
    <row r="4" spans="1:4">
      <c r="A4" s="6" t="s">
        <v>188</v>
      </c>
      <c r="B4" s="6" t="s">
        <v>3613</v>
      </c>
      <c r="C4" s="6" t="s">
        <v>3614</v>
      </c>
      <c r="D4" s="6" t="s">
        <v>3087</v>
      </c>
    </row>
    <row r="5" spans="1:4">
      <c r="A5" s="1" t="s">
        <v>3615</v>
      </c>
      <c r="B5" s="1" t="s">
        <v>3616</v>
      </c>
      <c r="C5" s="1" t="s">
        <v>3617</v>
      </c>
      <c r="D5" s="1" t="s">
        <v>3618</v>
      </c>
    </row>
    <row r="6" spans="1:4">
      <c r="A6" s="1" t="s">
        <v>3619</v>
      </c>
      <c r="B6" s="1" t="s">
        <v>3620</v>
      </c>
      <c r="C6" s="1" t="s">
        <v>3621</v>
      </c>
      <c r="D6" s="1" t="s">
        <v>3622</v>
      </c>
    </row>
    <row r="7" spans="1:4">
      <c r="A7" s="1" t="s">
        <v>3623</v>
      </c>
      <c r="B7" s="1" t="s">
        <v>2804</v>
      </c>
      <c r="C7" s="1" t="s">
        <v>3624</v>
      </c>
      <c r="D7" s="1" t="s">
        <v>3625</v>
      </c>
    </row>
    <row r="8" spans="1:4">
      <c r="A8" s="1" t="s">
        <v>3626</v>
      </c>
      <c r="B8" s="1" t="s">
        <v>3627</v>
      </c>
      <c r="C8" s="1" t="s">
        <v>3628</v>
      </c>
      <c r="D8" s="1" t="s">
        <v>3629</v>
      </c>
    </row>
    <row r="9" spans="1:4">
      <c r="A9" s="1" t="s">
        <v>3630</v>
      </c>
      <c r="B9" s="1" t="s">
        <v>3631</v>
      </c>
      <c r="C9" s="1" t="s">
        <v>3632</v>
      </c>
      <c r="D9" s="1" t="s">
        <v>3633</v>
      </c>
    </row>
    <row r="10" spans="1:4">
      <c r="A10" s="1" t="s">
        <v>3634</v>
      </c>
      <c r="B10" s="1" t="s">
        <v>3635</v>
      </c>
      <c r="C10" s="1" t="s">
        <v>3636</v>
      </c>
      <c r="D10" s="1" t="s">
        <v>3637</v>
      </c>
    </row>
    <row r="11" spans="1:4">
      <c r="A11" s="1" t="s">
        <v>3638</v>
      </c>
      <c r="B11" s="1" t="s">
        <v>2537</v>
      </c>
      <c r="C11" s="1" t="s">
        <v>3639</v>
      </c>
      <c r="D11" s="1" t="s">
        <v>3640</v>
      </c>
    </row>
    <row r="12" spans="1:4">
      <c r="A12" s="1" t="s">
        <v>3641</v>
      </c>
      <c r="B12" s="1" t="s">
        <v>3642</v>
      </c>
      <c r="C12" s="1" t="s">
        <v>3643</v>
      </c>
      <c r="D12" s="1" t="s">
        <v>3644</v>
      </c>
    </row>
    <row r="13" spans="1:4">
      <c r="A13" s="1" t="s">
        <v>3645</v>
      </c>
      <c r="B13" s="1" t="s">
        <v>3646</v>
      </c>
      <c r="C13" s="1" t="s">
        <v>3647</v>
      </c>
      <c r="D13" s="1" t="s">
        <v>3648</v>
      </c>
    </row>
    <row r="14" spans="1:4">
      <c r="A14" s="1" t="s">
        <v>3649</v>
      </c>
      <c r="B14" s="1" t="s">
        <v>3650</v>
      </c>
      <c r="C14" s="1" t="s">
        <v>3651</v>
      </c>
      <c r="D14" s="1" t="s">
        <v>3652</v>
      </c>
    </row>
    <row r="15" spans="1:4">
      <c r="A15" s="1" t="s">
        <v>3653</v>
      </c>
      <c r="B15" s="1" t="s">
        <v>3654</v>
      </c>
      <c r="C15" s="1" t="s">
        <v>3655</v>
      </c>
      <c r="D15" s="1" t="s">
        <v>3656</v>
      </c>
    </row>
    <row r="16" spans="1:4">
      <c r="A16" s="1" t="s">
        <v>3657</v>
      </c>
      <c r="B16" s="1" t="s">
        <v>3658</v>
      </c>
      <c r="C16" s="1" t="s">
        <v>3659</v>
      </c>
      <c r="D16" s="1" t="s">
        <v>3660</v>
      </c>
    </row>
    <row r="17" spans="1:4">
      <c r="A17" s="1" t="s">
        <v>3661</v>
      </c>
      <c r="B17" s="1" t="s">
        <v>3662</v>
      </c>
      <c r="C17" s="1" t="s">
        <v>3663</v>
      </c>
      <c r="D17" s="1" t="s">
        <v>3664</v>
      </c>
    </row>
    <row r="18" spans="1:4">
      <c r="A18" s="1" t="s">
        <v>3665</v>
      </c>
      <c r="B18" s="1" t="s">
        <v>3666</v>
      </c>
      <c r="C18" s="1" t="s">
        <v>3667</v>
      </c>
      <c r="D18" s="1" t="s">
        <v>3668</v>
      </c>
    </row>
    <row r="19" spans="1:4">
      <c r="A19" s="1" t="s">
        <v>3669</v>
      </c>
      <c r="B19" s="1" t="s">
        <v>3670</v>
      </c>
      <c r="C19" s="1" t="s">
        <v>3671</v>
      </c>
      <c r="D19" s="1" t="s">
        <v>3672</v>
      </c>
    </row>
    <row r="20" spans="1:4">
      <c r="A20" s="1" t="s">
        <v>3673</v>
      </c>
      <c r="B20" s="1" t="s">
        <v>3674</v>
      </c>
      <c r="C20" s="1" t="s">
        <v>3675</v>
      </c>
      <c r="D20" s="1" t="s">
        <v>3676</v>
      </c>
    </row>
  </sheetData>
  <mergeCells count="2">
    <mergeCell ref="A1:D1"/>
    <mergeCell ref="A2:D2"/>
  </mergeCells>
  <pageMargins left="0.75" right="0.75" top="1" bottom="1" header="0.5" footer="0.5"/>
  <pageSetup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4"/>
  <sheetViews>
    <sheetView showGridLines="0" workbookViewId="0">
      <pane ySplit="4" topLeftCell="A5" activePane="bottomLeft" state="frozen"/>
      <selection pane="bottomLeft"/>
    </sheetView>
  </sheetViews>
  <sheetFormatPr defaultRowHeight="15"/>
  <cols>
    <col min="1" max="1" width="12" customWidth="1"/>
    <col min="2" max="2" width="32" customWidth="1"/>
    <col min="3" max="3" width="104" customWidth="1"/>
  </cols>
  <sheetData>
    <row r="1" spans="1:3">
      <c r="A1" s="27" t="s">
        <v>3677</v>
      </c>
      <c r="B1" s="30"/>
      <c r="C1" s="30"/>
    </row>
    <row r="2" spans="1:3" ht="54" customHeight="1">
      <c r="A2" s="26" t="s">
        <v>3678</v>
      </c>
      <c r="B2" s="30"/>
      <c r="C2" s="30"/>
    </row>
    <row r="4" spans="1:3">
      <c r="A4" s="6" t="s">
        <v>188</v>
      </c>
      <c r="B4" s="6" t="s">
        <v>3055</v>
      </c>
      <c r="C4" s="6" t="s">
        <v>55</v>
      </c>
    </row>
    <row r="5" spans="1:3">
      <c r="A5" s="1" t="s">
        <v>3679</v>
      </c>
      <c r="B5" s="1" t="s">
        <v>3506</v>
      </c>
      <c r="C5" s="1" t="s">
        <v>3680</v>
      </c>
    </row>
    <row r="6" spans="1:3">
      <c r="A6" s="1" t="s">
        <v>3681</v>
      </c>
      <c r="B6" s="1" t="s">
        <v>3682</v>
      </c>
      <c r="C6" s="1" t="s">
        <v>3683</v>
      </c>
    </row>
    <row r="7" spans="1:3">
      <c r="A7" s="1" t="s">
        <v>3684</v>
      </c>
      <c r="B7" s="1" t="s">
        <v>3685</v>
      </c>
      <c r="C7" s="1" t="s">
        <v>3686</v>
      </c>
    </row>
    <row r="8" spans="1:3">
      <c r="A8" s="1" t="s">
        <v>3687</v>
      </c>
      <c r="B8" s="1" t="s">
        <v>161</v>
      </c>
      <c r="C8" s="1" t="s">
        <v>3688</v>
      </c>
    </row>
    <row r="9" spans="1:3">
      <c r="A9" s="1" t="s">
        <v>3689</v>
      </c>
      <c r="B9" s="1" t="s">
        <v>3690</v>
      </c>
      <c r="C9" s="1" t="s">
        <v>3691</v>
      </c>
    </row>
    <row r="10" spans="1:3">
      <c r="A10" s="1" t="s">
        <v>3692</v>
      </c>
      <c r="B10" s="1" t="s">
        <v>3693</v>
      </c>
      <c r="C10" s="1" t="s">
        <v>3694</v>
      </c>
    </row>
    <row r="11" spans="1:3">
      <c r="A11" s="1" t="s">
        <v>3695</v>
      </c>
      <c r="B11" s="1" t="s">
        <v>3696</v>
      </c>
      <c r="C11" s="1" t="s">
        <v>3697</v>
      </c>
    </row>
    <row r="12" spans="1:3">
      <c r="A12" s="1" t="s">
        <v>3698</v>
      </c>
      <c r="B12" s="1" t="s">
        <v>3699</v>
      </c>
      <c r="C12" s="1" t="s">
        <v>3700</v>
      </c>
    </row>
    <row r="13" spans="1:3">
      <c r="A13" s="1" t="s">
        <v>3701</v>
      </c>
      <c r="B13" s="1" t="s">
        <v>3702</v>
      </c>
      <c r="C13" s="1" t="s">
        <v>3703</v>
      </c>
    </row>
    <row r="14" spans="1:3">
      <c r="A14" s="1" t="s">
        <v>3704</v>
      </c>
      <c r="B14" s="1" t="s">
        <v>3526</v>
      </c>
      <c r="C14" s="1" t="s">
        <v>3705</v>
      </c>
    </row>
  </sheetData>
  <mergeCells count="2">
    <mergeCell ref="A1:C1"/>
    <mergeCell ref="A2:C2"/>
  </mergeCells>
  <pageMargins left="0.75" right="0.75" top="1" bottom="1" header="0.5" footer="0.5"/>
  <pageSetup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5"/>
  <sheetViews>
    <sheetView showGridLines="0" workbookViewId="0">
      <pane ySplit="4" topLeftCell="A5" activePane="bottomLeft" state="frozen"/>
      <selection pane="bottomLeft"/>
    </sheetView>
  </sheetViews>
  <sheetFormatPr defaultRowHeight="15"/>
  <cols>
    <col min="1" max="1" width="12" customWidth="1"/>
    <col min="2" max="2" width="34" customWidth="1"/>
    <col min="3" max="3" width="110" customWidth="1"/>
  </cols>
  <sheetData>
    <row r="1" spans="1:3">
      <c r="A1" s="27" t="s">
        <v>3706</v>
      </c>
      <c r="B1" s="30"/>
      <c r="C1" s="30"/>
    </row>
    <row r="2" spans="1:3" ht="54" customHeight="1">
      <c r="A2" s="26" t="s">
        <v>3707</v>
      </c>
      <c r="B2" s="30"/>
      <c r="C2" s="30"/>
    </row>
    <row r="4" spans="1:3">
      <c r="A4" s="6" t="s">
        <v>188</v>
      </c>
      <c r="B4" s="6" t="s">
        <v>2520</v>
      </c>
      <c r="C4" s="6" t="s">
        <v>2521</v>
      </c>
    </row>
    <row r="5" spans="1:3">
      <c r="A5" s="1" t="s">
        <v>3708</v>
      </c>
      <c r="B5" s="1" t="s">
        <v>3616</v>
      </c>
      <c r="C5" s="1" t="s">
        <v>3709</v>
      </c>
    </row>
    <row r="6" spans="1:3">
      <c r="A6" s="1" t="s">
        <v>3710</v>
      </c>
      <c r="B6" s="1" t="s">
        <v>3711</v>
      </c>
      <c r="C6" s="1" t="s">
        <v>3712</v>
      </c>
    </row>
    <row r="7" spans="1:3">
      <c r="A7" s="1" t="s">
        <v>3713</v>
      </c>
      <c r="B7" s="1" t="s">
        <v>3594</v>
      </c>
      <c r="C7" s="1" t="s">
        <v>3714</v>
      </c>
    </row>
    <row r="8" spans="1:3">
      <c r="A8" s="1" t="s">
        <v>3715</v>
      </c>
      <c r="B8" s="1" t="s">
        <v>3646</v>
      </c>
      <c r="C8" s="1" t="s">
        <v>3716</v>
      </c>
    </row>
    <row r="9" spans="1:3">
      <c r="A9" s="1" t="s">
        <v>3717</v>
      </c>
      <c r="B9" s="1" t="s">
        <v>3650</v>
      </c>
      <c r="C9" s="1" t="s">
        <v>3718</v>
      </c>
    </row>
    <row r="10" spans="1:3">
      <c r="A10" s="1" t="s">
        <v>3719</v>
      </c>
      <c r="B10" s="1" t="s">
        <v>3720</v>
      </c>
      <c r="C10" s="1" t="s">
        <v>3721</v>
      </c>
    </row>
    <row r="11" spans="1:3">
      <c r="A11" s="1" t="s">
        <v>3722</v>
      </c>
      <c r="B11" s="1" t="s">
        <v>3723</v>
      </c>
      <c r="C11" s="1" t="s">
        <v>3724</v>
      </c>
    </row>
    <row r="12" spans="1:3">
      <c r="A12" s="1" t="s">
        <v>3725</v>
      </c>
      <c r="B12" s="1" t="s">
        <v>3726</v>
      </c>
      <c r="C12" s="1" t="s">
        <v>3727</v>
      </c>
    </row>
    <row r="13" spans="1:3">
      <c r="A13" s="1" t="s">
        <v>3728</v>
      </c>
      <c r="B13" s="1" t="s">
        <v>3729</v>
      </c>
      <c r="C13" s="1" t="s">
        <v>3730</v>
      </c>
    </row>
    <row r="14" spans="1:3">
      <c r="A14" s="1" t="s">
        <v>3731</v>
      </c>
      <c r="B14" s="1" t="s">
        <v>3732</v>
      </c>
      <c r="C14" s="1" t="s">
        <v>3733</v>
      </c>
    </row>
    <row r="15" spans="1:3">
      <c r="A15" s="1" t="s">
        <v>3734</v>
      </c>
      <c r="B15" s="1" t="s">
        <v>2220</v>
      </c>
      <c r="C15" s="1" t="s">
        <v>3735</v>
      </c>
    </row>
  </sheetData>
  <mergeCells count="2">
    <mergeCell ref="A1:C1"/>
    <mergeCell ref="A2:C2"/>
  </mergeCells>
  <pageMargins left="0.75" right="0.75" top="1" bottom="1" header="0.5" footer="0.5"/>
  <pageSetup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3"/>
  <sheetViews>
    <sheetView showGridLines="0" workbookViewId="0">
      <pane ySplit="4" topLeftCell="A5" activePane="bottomLeft" state="frozen"/>
      <selection pane="bottomLeft"/>
    </sheetView>
  </sheetViews>
  <sheetFormatPr defaultRowHeight="15"/>
  <cols>
    <col min="1" max="1" width="12" customWidth="1"/>
    <col min="2" max="2" width="32" customWidth="1"/>
    <col min="3" max="3" width="46" customWidth="1"/>
    <col min="4" max="4" width="70" customWidth="1"/>
  </cols>
  <sheetData>
    <row r="1" spans="1:4">
      <c r="A1" s="27" t="s">
        <v>3736</v>
      </c>
      <c r="B1" s="30"/>
      <c r="C1" s="30"/>
      <c r="D1" s="30"/>
    </row>
    <row r="2" spans="1:4" ht="54" customHeight="1">
      <c r="A2" s="26" t="s">
        <v>3737</v>
      </c>
      <c r="B2" s="30"/>
      <c r="C2" s="30"/>
      <c r="D2" s="30"/>
    </row>
    <row r="4" spans="1:4">
      <c r="A4" s="6" t="s">
        <v>188</v>
      </c>
      <c r="B4" s="6" t="s">
        <v>3738</v>
      </c>
      <c r="C4" s="6" t="s">
        <v>3514</v>
      </c>
      <c r="D4" s="6" t="s">
        <v>3739</v>
      </c>
    </row>
    <row r="5" spans="1:4">
      <c r="A5" s="1" t="s">
        <v>3740</v>
      </c>
      <c r="B5" s="1" t="s">
        <v>3150</v>
      </c>
      <c r="C5" s="1" t="s">
        <v>3741</v>
      </c>
      <c r="D5" s="1" t="s">
        <v>2220</v>
      </c>
    </row>
    <row r="6" spans="1:4">
      <c r="A6" s="1" t="s">
        <v>3742</v>
      </c>
      <c r="B6" s="1" t="s">
        <v>2575</v>
      </c>
      <c r="C6" s="1" t="s">
        <v>3620</v>
      </c>
      <c r="D6" s="1" t="s">
        <v>3743</v>
      </c>
    </row>
    <row r="7" spans="1:4">
      <c r="A7" s="1" t="s">
        <v>3744</v>
      </c>
      <c r="B7" s="1" t="s">
        <v>3745</v>
      </c>
      <c r="C7" s="1" t="s">
        <v>2537</v>
      </c>
      <c r="D7" s="1" t="s">
        <v>3746</v>
      </c>
    </row>
    <row r="8" spans="1:4">
      <c r="A8" s="1" t="s">
        <v>3747</v>
      </c>
      <c r="B8" s="1" t="s">
        <v>3748</v>
      </c>
      <c r="C8" s="1" t="s">
        <v>3749</v>
      </c>
      <c r="D8" s="1" t="s">
        <v>3750</v>
      </c>
    </row>
    <row r="9" spans="1:4">
      <c r="A9" s="1" t="s">
        <v>3751</v>
      </c>
      <c r="B9" s="1" t="s">
        <v>3752</v>
      </c>
      <c r="C9" s="1" t="s">
        <v>3753</v>
      </c>
      <c r="D9" s="1" t="s">
        <v>3754</v>
      </c>
    </row>
    <row r="10" spans="1:4">
      <c r="A10" s="1" t="s">
        <v>3755</v>
      </c>
      <c r="B10" s="1" t="s">
        <v>3756</v>
      </c>
      <c r="C10" s="1" t="s">
        <v>3757</v>
      </c>
      <c r="D10" s="1" t="s">
        <v>3758</v>
      </c>
    </row>
    <row r="11" spans="1:4">
      <c r="A11" s="1" t="s">
        <v>3759</v>
      </c>
      <c r="B11" s="1" t="s">
        <v>3760</v>
      </c>
      <c r="C11" s="1" t="s">
        <v>3757</v>
      </c>
      <c r="D11" s="1" t="s">
        <v>3761</v>
      </c>
    </row>
    <row r="12" spans="1:4">
      <c r="A12" s="1" t="s">
        <v>3762</v>
      </c>
      <c r="B12" s="1" t="s">
        <v>3763</v>
      </c>
      <c r="C12" s="1" t="s">
        <v>3757</v>
      </c>
      <c r="D12" s="1" t="s">
        <v>3764</v>
      </c>
    </row>
    <row r="13" spans="1:4">
      <c r="A13" s="1" t="s">
        <v>3765</v>
      </c>
      <c r="B13" s="1" t="s">
        <v>3159</v>
      </c>
      <c r="C13" s="1" t="s">
        <v>2537</v>
      </c>
      <c r="D13" s="1" t="s">
        <v>3766</v>
      </c>
    </row>
    <row r="14" spans="1:4">
      <c r="A14" s="1" t="s">
        <v>3767</v>
      </c>
      <c r="B14" s="1" t="s">
        <v>720</v>
      </c>
      <c r="C14" s="1" t="s">
        <v>3768</v>
      </c>
      <c r="D14" s="1" t="s">
        <v>3769</v>
      </c>
    </row>
    <row r="15" spans="1:4">
      <c r="A15" s="1" t="s">
        <v>3770</v>
      </c>
      <c r="B15" s="1" t="s">
        <v>2561</v>
      </c>
      <c r="C15" s="1" t="s">
        <v>2563</v>
      </c>
      <c r="D15" s="1" t="s">
        <v>3771</v>
      </c>
    </row>
    <row r="16" spans="1:4">
      <c r="A16" s="1" t="s">
        <v>3772</v>
      </c>
      <c r="B16" s="1" t="s">
        <v>1415</v>
      </c>
      <c r="C16" s="1" t="s">
        <v>3773</v>
      </c>
      <c r="D16" s="1" t="s">
        <v>3774</v>
      </c>
    </row>
    <row r="17" spans="1:4">
      <c r="A17" s="1" t="s">
        <v>3775</v>
      </c>
      <c r="B17" s="1" t="s">
        <v>3776</v>
      </c>
      <c r="C17" s="1" t="s">
        <v>3777</v>
      </c>
      <c r="D17" s="1" t="s">
        <v>3778</v>
      </c>
    </row>
    <row r="18" spans="1:4">
      <c r="A18" s="1" t="s">
        <v>3779</v>
      </c>
      <c r="B18" s="1" t="s">
        <v>3780</v>
      </c>
      <c r="C18" s="1" t="s">
        <v>3781</v>
      </c>
      <c r="D18" s="1" t="s">
        <v>3782</v>
      </c>
    </row>
    <row r="19" spans="1:4">
      <c r="A19" s="1" t="s">
        <v>3783</v>
      </c>
      <c r="B19" s="1" t="s">
        <v>3784</v>
      </c>
      <c r="C19" s="1" t="s">
        <v>3785</v>
      </c>
      <c r="D19" s="1" t="s">
        <v>3786</v>
      </c>
    </row>
    <row r="20" spans="1:4">
      <c r="A20" s="1" t="s">
        <v>3787</v>
      </c>
      <c r="B20" s="1" t="s">
        <v>3788</v>
      </c>
      <c r="C20" s="1" t="s">
        <v>3789</v>
      </c>
      <c r="D20" s="1" t="s">
        <v>3790</v>
      </c>
    </row>
    <row r="21" spans="1:4">
      <c r="A21" s="1" t="s">
        <v>3791</v>
      </c>
      <c r="B21" s="1" t="s">
        <v>3185</v>
      </c>
      <c r="C21" s="1" t="s">
        <v>3792</v>
      </c>
      <c r="D21" s="1" t="s">
        <v>3793</v>
      </c>
    </row>
    <row r="22" spans="1:4">
      <c r="A22" s="1" t="s">
        <v>3794</v>
      </c>
      <c r="B22" s="1" t="s">
        <v>3795</v>
      </c>
      <c r="C22" s="1" t="s">
        <v>2220</v>
      </c>
      <c r="D22" s="1" t="s">
        <v>3796</v>
      </c>
    </row>
    <row r="23" spans="1:4">
      <c r="A23" s="1" t="s">
        <v>3797</v>
      </c>
      <c r="B23" s="1" t="s">
        <v>2869</v>
      </c>
      <c r="C23" s="1" t="s">
        <v>3798</v>
      </c>
      <c r="D23" s="1" t="s">
        <v>3799</v>
      </c>
    </row>
  </sheetData>
  <mergeCells count="2">
    <mergeCell ref="A1:D1"/>
    <mergeCell ref="A2:D2"/>
  </mergeCells>
  <pageMargins left="0.75" right="0.75" top="1" bottom="1" header="0.5" footer="0.5"/>
  <pageSetup orientation="landscape"/>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29"/>
  <sheetViews>
    <sheetView showGridLines="0" workbookViewId="0">
      <pane ySplit="4" topLeftCell="A5" activePane="bottomLeft" state="frozen"/>
      <selection pane="bottomLeft"/>
    </sheetView>
  </sheetViews>
  <sheetFormatPr defaultRowHeight="15"/>
  <cols>
    <col min="1" max="1" width="12" customWidth="1"/>
    <col min="2" max="2" width="38" customWidth="1"/>
    <col min="3" max="3" width="28" customWidth="1"/>
    <col min="4" max="4" width="32" customWidth="1"/>
    <col min="5" max="6" width="54" customWidth="1"/>
    <col min="7" max="7" width="18" customWidth="1"/>
    <col min="8" max="9" width="42" customWidth="1"/>
    <col min="10" max="11" width="52" customWidth="1"/>
    <col min="12" max="12" width="60" customWidth="1"/>
    <col min="13" max="13" width="26" customWidth="1"/>
    <col min="14" max="14" width="44" customWidth="1"/>
  </cols>
  <sheetData>
    <row r="1" spans="1:14">
      <c r="A1" s="27" t="s">
        <v>3800</v>
      </c>
      <c r="B1" s="30"/>
      <c r="C1" s="30"/>
      <c r="D1" s="30"/>
      <c r="E1" s="30"/>
      <c r="F1" s="30"/>
      <c r="G1" s="30"/>
      <c r="H1" s="30"/>
      <c r="I1" s="30"/>
      <c r="J1" s="30"/>
      <c r="K1" s="30"/>
      <c r="L1" s="30"/>
      <c r="M1" s="30"/>
      <c r="N1" s="30"/>
    </row>
    <row r="2" spans="1:14" ht="54" customHeight="1">
      <c r="A2" s="26" t="s">
        <v>3801</v>
      </c>
      <c r="B2" s="30"/>
      <c r="C2" s="30"/>
      <c r="D2" s="30"/>
      <c r="E2" s="30"/>
      <c r="F2" s="30"/>
      <c r="G2" s="30"/>
      <c r="H2" s="30"/>
      <c r="I2" s="30"/>
      <c r="J2" s="30"/>
      <c r="K2" s="30"/>
      <c r="L2" s="30"/>
      <c r="M2" s="30"/>
      <c r="N2" s="30"/>
    </row>
    <row r="4" spans="1:14">
      <c r="A4" s="6" t="s">
        <v>188</v>
      </c>
      <c r="B4" s="6" t="s">
        <v>3802</v>
      </c>
      <c r="C4" s="6" t="s">
        <v>3803</v>
      </c>
      <c r="D4" s="6" t="s">
        <v>3804</v>
      </c>
      <c r="E4" s="6" t="s">
        <v>3616</v>
      </c>
      <c r="F4" s="6" t="s">
        <v>3805</v>
      </c>
      <c r="G4" s="6" t="s">
        <v>3806</v>
      </c>
      <c r="H4" s="6" t="s">
        <v>3807</v>
      </c>
      <c r="I4" s="6" t="s">
        <v>2537</v>
      </c>
      <c r="J4" s="6" t="s">
        <v>3808</v>
      </c>
      <c r="K4" s="6" t="s">
        <v>3809</v>
      </c>
      <c r="L4" s="6" t="s">
        <v>3810</v>
      </c>
      <c r="M4" s="6" t="s">
        <v>2232</v>
      </c>
      <c r="N4" s="6" t="s">
        <v>195</v>
      </c>
    </row>
    <row r="5" spans="1:14">
      <c r="A5" s="1" t="s">
        <v>3811</v>
      </c>
      <c r="B5" s="1" t="s">
        <v>3812</v>
      </c>
      <c r="C5" s="1" t="s">
        <v>3813</v>
      </c>
      <c r="D5" s="1" t="s">
        <v>3814</v>
      </c>
      <c r="E5" s="1" t="s">
        <v>3815</v>
      </c>
      <c r="F5" s="1" t="s">
        <v>3816</v>
      </c>
      <c r="G5" s="1" t="s">
        <v>3817</v>
      </c>
      <c r="H5" s="1" t="s">
        <v>3818</v>
      </c>
      <c r="I5" s="1" t="s">
        <v>3819</v>
      </c>
      <c r="J5" s="1" t="s">
        <v>3820</v>
      </c>
      <c r="K5" s="1" t="s">
        <v>3821</v>
      </c>
      <c r="L5" s="1" t="s">
        <v>3822</v>
      </c>
      <c r="M5" s="1" t="s">
        <v>3823</v>
      </c>
      <c r="N5" s="1" t="s">
        <v>3824</v>
      </c>
    </row>
    <row r="6" spans="1:14">
      <c r="A6" s="1" t="s">
        <v>3825</v>
      </c>
      <c r="B6" s="1" t="s">
        <v>3826</v>
      </c>
      <c r="C6" s="1" t="s">
        <v>3827</v>
      </c>
      <c r="D6" s="1" t="s">
        <v>3814</v>
      </c>
      <c r="E6" s="1" t="s">
        <v>3815</v>
      </c>
      <c r="F6" s="1" t="s">
        <v>3816</v>
      </c>
      <c r="G6" s="1" t="s">
        <v>3817</v>
      </c>
      <c r="H6" s="1" t="s">
        <v>3818</v>
      </c>
      <c r="I6" s="1" t="s">
        <v>3819</v>
      </c>
      <c r="J6" s="1" t="s">
        <v>3820</v>
      </c>
      <c r="K6" s="1" t="s">
        <v>3821</v>
      </c>
      <c r="L6" s="1" t="s">
        <v>3822</v>
      </c>
      <c r="M6" s="1" t="s">
        <v>3823</v>
      </c>
      <c r="N6" s="1" t="s">
        <v>3824</v>
      </c>
    </row>
    <row r="7" spans="1:14">
      <c r="A7" s="1" t="s">
        <v>3828</v>
      </c>
      <c r="B7" s="1" t="s">
        <v>3829</v>
      </c>
      <c r="C7" s="1" t="s">
        <v>3830</v>
      </c>
      <c r="D7" s="1" t="s">
        <v>3814</v>
      </c>
      <c r="E7" s="1" t="s">
        <v>3815</v>
      </c>
      <c r="F7" s="1" t="s">
        <v>3816</v>
      </c>
      <c r="G7" s="1" t="s">
        <v>3817</v>
      </c>
      <c r="H7" s="1" t="s">
        <v>3818</v>
      </c>
      <c r="I7" s="1" t="s">
        <v>3819</v>
      </c>
      <c r="J7" s="1" t="s">
        <v>3820</v>
      </c>
      <c r="K7" s="1" t="s">
        <v>3821</v>
      </c>
      <c r="L7" s="1" t="s">
        <v>3822</v>
      </c>
      <c r="M7" s="1" t="s">
        <v>3823</v>
      </c>
      <c r="N7" s="1" t="s">
        <v>3824</v>
      </c>
    </row>
    <row r="8" spans="1:14">
      <c r="A8" s="1" t="s">
        <v>3831</v>
      </c>
      <c r="B8" s="1" t="s">
        <v>3832</v>
      </c>
      <c r="C8" s="1" t="s">
        <v>3830</v>
      </c>
      <c r="D8" s="1" t="s">
        <v>3814</v>
      </c>
      <c r="E8" s="1" t="s">
        <v>3815</v>
      </c>
      <c r="F8" s="1" t="s">
        <v>3816</v>
      </c>
      <c r="G8" s="1" t="s">
        <v>3817</v>
      </c>
      <c r="H8" s="1" t="s">
        <v>3818</v>
      </c>
      <c r="I8" s="1" t="s">
        <v>3819</v>
      </c>
      <c r="J8" s="1" t="s">
        <v>3820</v>
      </c>
      <c r="K8" s="1" t="s">
        <v>3821</v>
      </c>
      <c r="L8" s="1" t="s">
        <v>3822</v>
      </c>
      <c r="M8" s="1" t="s">
        <v>3823</v>
      </c>
      <c r="N8" s="1" t="s">
        <v>3824</v>
      </c>
    </row>
    <row r="9" spans="1:14">
      <c r="A9" s="1" t="s">
        <v>3833</v>
      </c>
      <c r="B9" s="1" t="s">
        <v>3834</v>
      </c>
      <c r="C9" s="1" t="s">
        <v>3830</v>
      </c>
      <c r="D9" s="1" t="s">
        <v>3814</v>
      </c>
      <c r="E9" s="1" t="s">
        <v>3815</v>
      </c>
      <c r="F9" s="1" t="s">
        <v>3816</v>
      </c>
      <c r="G9" s="1" t="s">
        <v>3817</v>
      </c>
      <c r="H9" s="1" t="s">
        <v>3818</v>
      </c>
      <c r="I9" s="1" t="s">
        <v>3819</v>
      </c>
      <c r="J9" s="1" t="s">
        <v>3820</v>
      </c>
      <c r="K9" s="1" t="s">
        <v>3821</v>
      </c>
      <c r="L9" s="1" t="s">
        <v>3822</v>
      </c>
      <c r="M9" s="1" t="s">
        <v>3823</v>
      </c>
      <c r="N9" s="1" t="s">
        <v>3824</v>
      </c>
    </row>
    <row r="10" spans="1:14">
      <c r="A10" s="1" t="s">
        <v>3835</v>
      </c>
      <c r="B10" s="1" t="s">
        <v>3836</v>
      </c>
      <c r="C10" s="1" t="s">
        <v>3830</v>
      </c>
      <c r="D10" s="1" t="s">
        <v>3814</v>
      </c>
      <c r="E10" s="1" t="s">
        <v>3815</v>
      </c>
      <c r="F10" s="1" t="s">
        <v>3816</v>
      </c>
      <c r="G10" s="1" t="s">
        <v>3817</v>
      </c>
      <c r="H10" s="1" t="s">
        <v>3818</v>
      </c>
      <c r="I10" s="1" t="s">
        <v>3819</v>
      </c>
      <c r="J10" s="1" t="s">
        <v>3820</v>
      </c>
      <c r="K10" s="1" t="s">
        <v>3821</v>
      </c>
      <c r="L10" s="1" t="s">
        <v>3822</v>
      </c>
      <c r="M10" s="1" t="s">
        <v>3823</v>
      </c>
      <c r="N10" s="1" t="s">
        <v>3824</v>
      </c>
    </row>
    <row r="11" spans="1:14">
      <c r="A11" s="1" t="s">
        <v>3837</v>
      </c>
      <c r="B11" s="1" t="s">
        <v>3838</v>
      </c>
      <c r="C11" s="1" t="s">
        <v>3830</v>
      </c>
      <c r="D11" s="1" t="s">
        <v>3814</v>
      </c>
      <c r="E11" s="1" t="s">
        <v>3815</v>
      </c>
      <c r="F11" s="1" t="s">
        <v>3816</v>
      </c>
      <c r="G11" s="1" t="s">
        <v>3817</v>
      </c>
      <c r="H11" s="1" t="s">
        <v>3818</v>
      </c>
      <c r="I11" s="1" t="s">
        <v>3819</v>
      </c>
      <c r="J11" s="1" t="s">
        <v>3820</v>
      </c>
      <c r="K11" s="1" t="s">
        <v>3821</v>
      </c>
      <c r="L11" s="1" t="s">
        <v>3822</v>
      </c>
      <c r="M11" s="1" t="s">
        <v>3823</v>
      </c>
      <c r="N11" s="1" t="s">
        <v>3824</v>
      </c>
    </row>
    <row r="12" spans="1:14">
      <c r="A12" s="1" t="s">
        <v>3839</v>
      </c>
      <c r="B12" s="1" t="s">
        <v>3840</v>
      </c>
      <c r="C12" s="1" t="s">
        <v>3830</v>
      </c>
      <c r="D12" s="1" t="s">
        <v>3814</v>
      </c>
      <c r="E12" s="1" t="s">
        <v>3815</v>
      </c>
      <c r="F12" s="1" t="s">
        <v>3816</v>
      </c>
      <c r="G12" s="1" t="s">
        <v>3817</v>
      </c>
      <c r="H12" s="1" t="s">
        <v>3818</v>
      </c>
      <c r="I12" s="1" t="s">
        <v>3819</v>
      </c>
      <c r="J12" s="1" t="s">
        <v>3820</v>
      </c>
      <c r="K12" s="1" t="s">
        <v>3821</v>
      </c>
      <c r="L12" s="1" t="s">
        <v>3822</v>
      </c>
      <c r="M12" s="1" t="s">
        <v>3823</v>
      </c>
      <c r="N12" s="1" t="s">
        <v>3824</v>
      </c>
    </row>
    <row r="13" spans="1:14">
      <c r="A13" s="1" t="s">
        <v>3841</v>
      </c>
      <c r="B13" s="1" t="s">
        <v>3842</v>
      </c>
      <c r="C13" s="1" t="s">
        <v>3830</v>
      </c>
      <c r="D13" s="1" t="s">
        <v>3814</v>
      </c>
      <c r="E13" s="1" t="s">
        <v>3815</v>
      </c>
      <c r="F13" s="1" t="s">
        <v>3816</v>
      </c>
      <c r="G13" s="1" t="s">
        <v>3817</v>
      </c>
      <c r="H13" s="1" t="s">
        <v>3818</v>
      </c>
      <c r="I13" s="1" t="s">
        <v>3819</v>
      </c>
      <c r="J13" s="1" t="s">
        <v>3820</v>
      </c>
      <c r="K13" s="1" t="s">
        <v>3821</v>
      </c>
      <c r="L13" s="1" t="s">
        <v>3822</v>
      </c>
      <c r="M13" s="1" t="s">
        <v>3823</v>
      </c>
      <c r="N13" s="1" t="s">
        <v>3824</v>
      </c>
    </row>
    <row r="14" spans="1:14">
      <c r="A14" s="1" t="s">
        <v>3843</v>
      </c>
      <c r="B14" s="1" t="s">
        <v>3844</v>
      </c>
      <c r="C14" s="1" t="s">
        <v>3830</v>
      </c>
      <c r="D14" s="1" t="s">
        <v>3814</v>
      </c>
      <c r="E14" s="1" t="s">
        <v>3815</v>
      </c>
      <c r="F14" s="1" t="s">
        <v>3816</v>
      </c>
      <c r="G14" s="1" t="s">
        <v>3817</v>
      </c>
      <c r="H14" s="1" t="s">
        <v>3818</v>
      </c>
      <c r="I14" s="1" t="s">
        <v>3819</v>
      </c>
      <c r="J14" s="1" t="s">
        <v>3820</v>
      </c>
      <c r="K14" s="1" t="s">
        <v>3821</v>
      </c>
      <c r="L14" s="1" t="s">
        <v>3822</v>
      </c>
      <c r="M14" s="1" t="s">
        <v>3823</v>
      </c>
      <c r="N14" s="1" t="s">
        <v>3824</v>
      </c>
    </row>
    <row r="15" spans="1:14">
      <c r="A15" s="1" t="s">
        <v>3845</v>
      </c>
      <c r="B15" s="1" t="s">
        <v>3846</v>
      </c>
      <c r="C15" s="1" t="s">
        <v>3830</v>
      </c>
      <c r="D15" s="1" t="s">
        <v>3814</v>
      </c>
      <c r="E15" s="1" t="s">
        <v>3815</v>
      </c>
      <c r="F15" s="1" t="s">
        <v>3816</v>
      </c>
      <c r="G15" s="1" t="s">
        <v>3817</v>
      </c>
      <c r="H15" s="1" t="s">
        <v>3818</v>
      </c>
      <c r="I15" s="1" t="s">
        <v>3819</v>
      </c>
      <c r="J15" s="1" t="s">
        <v>3820</v>
      </c>
      <c r="K15" s="1" t="s">
        <v>3821</v>
      </c>
      <c r="L15" s="1" t="s">
        <v>3822</v>
      </c>
      <c r="M15" s="1" t="s">
        <v>3823</v>
      </c>
      <c r="N15" s="1" t="s">
        <v>3824</v>
      </c>
    </row>
    <row r="16" spans="1:14">
      <c r="A16" s="1" t="s">
        <v>3847</v>
      </c>
      <c r="B16" s="1" t="s">
        <v>3523</v>
      </c>
      <c r="C16" s="1" t="s">
        <v>3830</v>
      </c>
      <c r="D16" s="1" t="s">
        <v>3814</v>
      </c>
      <c r="E16" s="1" t="s">
        <v>3815</v>
      </c>
      <c r="F16" s="1" t="s">
        <v>3816</v>
      </c>
      <c r="G16" s="1" t="s">
        <v>3817</v>
      </c>
      <c r="H16" s="1" t="s">
        <v>3818</v>
      </c>
      <c r="I16" s="1" t="s">
        <v>3819</v>
      </c>
      <c r="J16" s="1" t="s">
        <v>3820</v>
      </c>
      <c r="K16" s="1" t="s">
        <v>3821</v>
      </c>
      <c r="L16" s="1" t="s">
        <v>3822</v>
      </c>
      <c r="M16" s="1" t="s">
        <v>3823</v>
      </c>
      <c r="N16" s="1" t="s">
        <v>3824</v>
      </c>
    </row>
    <row r="17" spans="1:14">
      <c r="A17" s="1" t="s">
        <v>3848</v>
      </c>
      <c r="B17" s="1" t="s">
        <v>3849</v>
      </c>
      <c r="C17" s="1" t="s">
        <v>3850</v>
      </c>
      <c r="D17" s="1" t="s">
        <v>3814</v>
      </c>
      <c r="E17" s="1" t="s">
        <v>3815</v>
      </c>
      <c r="F17" s="1" t="s">
        <v>3816</v>
      </c>
      <c r="G17" s="1" t="s">
        <v>3817</v>
      </c>
      <c r="H17" s="1" t="s">
        <v>3818</v>
      </c>
      <c r="I17" s="1" t="s">
        <v>3819</v>
      </c>
      <c r="J17" s="1" t="s">
        <v>3820</v>
      </c>
      <c r="K17" s="1" t="s">
        <v>3821</v>
      </c>
      <c r="L17" s="1" t="s">
        <v>3822</v>
      </c>
      <c r="M17" s="1" t="s">
        <v>3823</v>
      </c>
      <c r="N17" s="1" t="s">
        <v>3824</v>
      </c>
    </row>
    <row r="18" spans="1:14">
      <c r="A18" s="1" t="s">
        <v>3851</v>
      </c>
      <c r="B18" s="1" t="s">
        <v>3852</v>
      </c>
      <c r="C18" s="1" t="s">
        <v>3830</v>
      </c>
      <c r="D18" s="1" t="s">
        <v>3814</v>
      </c>
      <c r="E18" s="1" t="s">
        <v>3815</v>
      </c>
      <c r="F18" s="1" t="s">
        <v>3816</v>
      </c>
      <c r="G18" s="1" t="s">
        <v>3817</v>
      </c>
      <c r="H18" s="1" t="s">
        <v>3818</v>
      </c>
      <c r="I18" s="1" t="s">
        <v>3819</v>
      </c>
      <c r="J18" s="1" t="s">
        <v>3820</v>
      </c>
      <c r="K18" s="1" t="s">
        <v>3821</v>
      </c>
      <c r="L18" s="1" t="s">
        <v>3822</v>
      </c>
      <c r="M18" s="1" t="s">
        <v>3823</v>
      </c>
      <c r="N18" s="1" t="s">
        <v>3824</v>
      </c>
    </row>
    <row r="19" spans="1:14">
      <c r="A19" s="1" t="s">
        <v>3853</v>
      </c>
      <c r="B19" s="1" t="s">
        <v>3854</v>
      </c>
      <c r="C19" s="1" t="s">
        <v>3830</v>
      </c>
      <c r="D19" s="1" t="s">
        <v>3814</v>
      </c>
      <c r="E19" s="1" t="s">
        <v>3815</v>
      </c>
      <c r="F19" s="1" t="s">
        <v>3816</v>
      </c>
      <c r="G19" s="1" t="s">
        <v>3817</v>
      </c>
      <c r="H19" s="1" t="s">
        <v>3818</v>
      </c>
      <c r="I19" s="1" t="s">
        <v>3819</v>
      </c>
      <c r="J19" s="1" t="s">
        <v>3820</v>
      </c>
      <c r="K19" s="1" t="s">
        <v>3821</v>
      </c>
      <c r="L19" s="1" t="s">
        <v>3822</v>
      </c>
      <c r="M19" s="1" t="s">
        <v>3823</v>
      </c>
      <c r="N19" s="1" t="s">
        <v>3824</v>
      </c>
    </row>
    <row r="20" spans="1:14">
      <c r="A20" s="1" t="s">
        <v>3855</v>
      </c>
      <c r="B20" s="1" t="s">
        <v>3856</v>
      </c>
      <c r="C20" s="1" t="s">
        <v>3857</v>
      </c>
      <c r="D20" s="1" t="s">
        <v>3814</v>
      </c>
      <c r="E20" s="1" t="s">
        <v>3815</v>
      </c>
      <c r="F20" s="1" t="s">
        <v>3816</v>
      </c>
      <c r="G20" s="1" t="s">
        <v>3817</v>
      </c>
      <c r="H20" s="1" t="s">
        <v>3818</v>
      </c>
      <c r="I20" s="1" t="s">
        <v>3819</v>
      </c>
      <c r="J20" s="1" t="s">
        <v>3820</v>
      </c>
      <c r="K20" s="1" t="s">
        <v>3821</v>
      </c>
      <c r="L20" s="1" t="s">
        <v>3822</v>
      </c>
      <c r="M20" s="1" t="s">
        <v>3823</v>
      </c>
      <c r="N20" s="1" t="s">
        <v>3824</v>
      </c>
    </row>
    <row r="21" spans="1:14">
      <c r="A21" s="1" t="s">
        <v>3858</v>
      </c>
      <c r="B21" s="1" t="s">
        <v>3859</v>
      </c>
      <c r="C21" s="1" t="s">
        <v>3857</v>
      </c>
      <c r="D21" s="1" t="s">
        <v>3814</v>
      </c>
      <c r="E21" s="1" t="s">
        <v>3815</v>
      </c>
      <c r="F21" s="1" t="s">
        <v>3816</v>
      </c>
      <c r="G21" s="1" t="s">
        <v>3817</v>
      </c>
      <c r="H21" s="1" t="s">
        <v>3818</v>
      </c>
      <c r="I21" s="1" t="s">
        <v>3819</v>
      </c>
      <c r="J21" s="1" t="s">
        <v>3820</v>
      </c>
      <c r="K21" s="1" t="s">
        <v>3821</v>
      </c>
      <c r="L21" s="1" t="s">
        <v>3822</v>
      </c>
      <c r="M21" s="1" t="s">
        <v>3823</v>
      </c>
      <c r="N21" s="1" t="s">
        <v>3824</v>
      </c>
    </row>
    <row r="22" spans="1:14">
      <c r="A22" s="1" t="s">
        <v>3860</v>
      </c>
      <c r="B22" s="1" t="s">
        <v>3861</v>
      </c>
      <c r="C22" s="1" t="s">
        <v>3857</v>
      </c>
      <c r="D22" s="1" t="s">
        <v>3814</v>
      </c>
      <c r="E22" s="1" t="s">
        <v>3815</v>
      </c>
      <c r="F22" s="1" t="s">
        <v>3816</v>
      </c>
      <c r="G22" s="1" t="s">
        <v>3817</v>
      </c>
      <c r="H22" s="1" t="s">
        <v>3818</v>
      </c>
      <c r="I22" s="1" t="s">
        <v>3819</v>
      </c>
      <c r="J22" s="1" t="s">
        <v>3820</v>
      </c>
      <c r="K22" s="1" t="s">
        <v>3821</v>
      </c>
      <c r="L22" s="1" t="s">
        <v>3822</v>
      </c>
      <c r="M22" s="1" t="s">
        <v>3823</v>
      </c>
      <c r="N22" s="1" t="s">
        <v>3824</v>
      </c>
    </row>
    <row r="23" spans="1:14">
      <c r="A23" s="1" t="s">
        <v>3862</v>
      </c>
      <c r="B23" s="1" t="s">
        <v>3863</v>
      </c>
      <c r="C23" s="1" t="s">
        <v>3857</v>
      </c>
      <c r="D23" s="1" t="s">
        <v>3814</v>
      </c>
      <c r="E23" s="1" t="s">
        <v>3815</v>
      </c>
      <c r="F23" s="1" t="s">
        <v>3816</v>
      </c>
      <c r="G23" s="1" t="s">
        <v>3817</v>
      </c>
      <c r="H23" s="1" t="s">
        <v>3818</v>
      </c>
      <c r="I23" s="1" t="s">
        <v>3819</v>
      </c>
      <c r="J23" s="1" t="s">
        <v>3820</v>
      </c>
      <c r="K23" s="1" t="s">
        <v>3821</v>
      </c>
      <c r="L23" s="1" t="s">
        <v>3822</v>
      </c>
      <c r="M23" s="1" t="s">
        <v>3823</v>
      </c>
      <c r="N23" s="1" t="s">
        <v>3824</v>
      </c>
    </row>
    <row r="24" spans="1:14">
      <c r="A24" s="1" t="s">
        <v>3864</v>
      </c>
      <c r="B24" s="1" t="s">
        <v>3865</v>
      </c>
      <c r="C24" s="1" t="s">
        <v>3830</v>
      </c>
      <c r="D24" s="1" t="s">
        <v>3814</v>
      </c>
      <c r="E24" s="1" t="s">
        <v>3815</v>
      </c>
      <c r="F24" s="1" t="s">
        <v>3816</v>
      </c>
      <c r="G24" s="1" t="s">
        <v>3817</v>
      </c>
      <c r="H24" s="1" t="s">
        <v>3818</v>
      </c>
      <c r="I24" s="1" t="s">
        <v>3819</v>
      </c>
      <c r="J24" s="1" t="s">
        <v>3820</v>
      </c>
      <c r="K24" s="1" t="s">
        <v>3821</v>
      </c>
      <c r="L24" s="1" t="s">
        <v>3822</v>
      </c>
      <c r="M24" s="1" t="s">
        <v>3823</v>
      </c>
      <c r="N24" s="1" t="s">
        <v>3824</v>
      </c>
    </row>
    <row r="25" spans="1:14">
      <c r="A25" s="1" t="s">
        <v>3866</v>
      </c>
      <c r="B25" s="1" t="s">
        <v>3867</v>
      </c>
      <c r="C25" s="1" t="s">
        <v>3830</v>
      </c>
      <c r="D25" s="1" t="s">
        <v>3814</v>
      </c>
      <c r="E25" s="1" t="s">
        <v>3815</v>
      </c>
      <c r="F25" s="1" t="s">
        <v>3816</v>
      </c>
      <c r="G25" s="1" t="s">
        <v>3817</v>
      </c>
      <c r="H25" s="1" t="s">
        <v>3818</v>
      </c>
      <c r="I25" s="1" t="s">
        <v>3819</v>
      </c>
      <c r="J25" s="1" t="s">
        <v>3820</v>
      </c>
      <c r="K25" s="1" t="s">
        <v>3821</v>
      </c>
      <c r="L25" s="1" t="s">
        <v>3822</v>
      </c>
      <c r="M25" s="1" t="s">
        <v>3823</v>
      </c>
      <c r="N25" s="1" t="s">
        <v>3824</v>
      </c>
    </row>
    <row r="26" spans="1:14">
      <c r="A26" s="1" t="s">
        <v>3868</v>
      </c>
      <c r="B26" s="1" t="s">
        <v>3869</v>
      </c>
      <c r="C26" s="1" t="s">
        <v>3830</v>
      </c>
      <c r="D26" s="1" t="s">
        <v>3814</v>
      </c>
      <c r="E26" s="1" t="s">
        <v>3815</v>
      </c>
      <c r="F26" s="1" t="s">
        <v>3816</v>
      </c>
      <c r="G26" s="1" t="s">
        <v>3817</v>
      </c>
      <c r="H26" s="1" t="s">
        <v>3818</v>
      </c>
      <c r="I26" s="1" t="s">
        <v>3819</v>
      </c>
      <c r="J26" s="1" t="s">
        <v>3820</v>
      </c>
      <c r="K26" s="1" t="s">
        <v>3821</v>
      </c>
      <c r="L26" s="1" t="s">
        <v>3822</v>
      </c>
      <c r="M26" s="1" t="s">
        <v>3823</v>
      </c>
      <c r="N26" s="1" t="s">
        <v>3824</v>
      </c>
    </row>
    <row r="27" spans="1:14">
      <c r="A27" s="1" t="s">
        <v>3870</v>
      </c>
      <c r="B27" s="1" t="s">
        <v>3871</v>
      </c>
      <c r="C27" s="1" t="s">
        <v>3813</v>
      </c>
      <c r="D27" s="1" t="s">
        <v>3814</v>
      </c>
      <c r="E27" s="1" t="s">
        <v>3815</v>
      </c>
      <c r="F27" s="1" t="s">
        <v>3816</v>
      </c>
      <c r="G27" s="1" t="s">
        <v>3817</v>
      </c>
      <c r="H27" s="1" t="s">
        <v>3818</v>
      </c>
      <c r="I27" s="1" t="s">
        <v>3819</v>
      </c>
      <c r="J27" s="1" t="s">
        <v>3820</v>
      </c>
      <c r="K27" s="1" t="s">
        <v>3821</v>
      </c>
      <c r="L27" s="1" t="s">
        <v>3822</v>
      </c>
      <c r="M27" s="1" t="s">
        <v>3823</v>
      </c>
      <c r="N27" s="1" t="s">
        <v>3824</v>
      </c>
    </row>
    <row r="28" spans="1:14">
      <c r="A28" s="1" t="s">
        <v>3872</v>
      </c>
      <c r="B28" s="1" t="s">
        <v>3873</v>
      </c>
      <c r="C28" s="1" t="s">
        <v>3813</v>
      </c>
      <c r="D28" s="1" t="s">
        <v>3814</v>
      </c>
      <c r="E28" s="1" t="s">
        <v>3815</v>
      </c>
      <c r="F28" s="1" t="s">
        <v>3816</v>
      </c>
      <c r="G28" s="1" t="s">
        <v>3817</v>
      </c>
      <c r="H28" s="1" t="s">
        <v>3818</v>
      </c>
      <c r="I28" s="1" t="s">
        <v>3819</v>
      </c>
      <c r="J28" s="1" t="s">
        <v>3820</v>
      </c>
      <c r="K28" s="1" t="s">
        <v>3821</v>
      </c>
      <c r="L28" s="1" t="s">
        <v>3822</v>
      </c>
      <c r="M28" s="1" t="s">
        <v>3823</v>
      </c>
      <c r="N28" s="1" t="s">
        <v>3824</v>
      </c>
    </row>
    <row r="29" spans="1:14">
      <c r="A29" s="1" t="s">
        <v>3874</v>
      </c>
      <c r="B29" s="1" t="s">
        <v>3875</v>
      </c>
      <c r="C29" s="1" t="s">
        <v>3813</v>
      </c>
      <c r="D29" s="1" t="s">
        <v>3814</v>
      </c>
      <c r="E29" s="1" t="s">
        <v>3815</v>
      </c>
      <c r="F29" s="1" t="s">
        <v>3816</v>
      </c>
      <c r="G29" s="1" t="s">
        <v>3817</v>
      </c>
      <c r="H29" s="1" t="s">
        <v>3818</v>
      </c>
      <c r="I29" s="1" t="s">
        <v>3819</v>
      </c>
      <c r="J29" s="1" t="s">
        <v>3820</v>
      </c>
      <c r="K29" s="1" t="s">
        <v>3821</v>
      </c>
      <c r="L29" s="1" t="s">
        <v>3822</v>
      </c>
      <c r="M29" s="1" t="s">
        <v>3823</v>
      </c>
      <c r="N29" s="1" t="s">
        <v>3824</v>
      </c>
    </row>
    <row r="30" spans="1:14">
      <c r="A30" s="1" t="s">
        <v>3876</v>
      </c>
      <c r="B30" s="1" t="s">
        <v>3877</v>
      </c>
      <c r="C30" s="1" t="s">
        <v>3813</v>
      </c>
      <c r="D30" s="1" t="s">
        <v>3814</v>
      </c>
      <c r="E30" s="1" t="s">
        <v>3815</v>
      </c>
      <c r="F30" s="1" t="s">
        <v>3816</v>
      </c>
      <c r="G30" s="1" t="s">
        <v>3817</v>
      </c>
      <c r="H30" s="1" t="s">
        <v>3818</v>
      </c>
      <c r="I30" s="1" t="s">
        <v>3819</v>
      </c>
      <c r="J30" s="1" t="s">
        <v>3820</v>
      </c>
      <c r="K30" s="1" t="s">
        <v>3821</v>
      </c>
      <c r="L30" s="1" t="s">
        <v>3822</v>
      </c>
      <c r="M30" s="1" t="s">
        <v>3823</v>
      </c>
      <c r="N30" s="1" t="s">
        <v>3824</v>
      </c>
    </row>
    <row r="31" spans="1:14">
      <c r="A31" s="1" t="s">
        <v>3878</v>
      </c>
      <c r="B31" s="1" t="s">
        <v>3879</v>
      </c>
      <c r="C31" s="1" t="s">
        <v>3813</v>
      </c>
      <c r="D31" s="1" t="s">
        <v>3814</v>
      </c>
      <c r="E31" s="1" t="s">
        <v>3815</v>
      </c>
      <c r="F31" s="1" t="s">
        <v>3816</v>
      </c>
      <c r="G31" s="1" t="s">
        <v>3817</v>
      </c>
      <c r="H31" s="1" t="s">
        <v>3818</v>
      </c>
      <c r="I31" s="1" t="s">
        <v>3819</v>
      </c>
      <c r="J31" s="1" t="s">
        <v>3820</v>
      </c>
      <c r="K31" s="1" t="s">
        <v>3821</v>
      </c>
      <c r="L31" s="1" t="s">
        <v>3822</v>
      </c>
      <c r="M31" s="1" t="s">
        <v>3823</v>
      </c>
      <c r="N31" s="1" t="s">
        <v>3824</v>
      </c>
    </row>
    <row r="32" spans="1:14">
      <c r="A32" s="1" t="s">
        <v>3880</v>
      </c>
      <c r="B32" s="1" t="s">
        <v>3881</v>
      </c>
      <c r="C32" s="1" t="s">
        <v>3813</v>
      </c>
      <c r="D32" s="1" t="s">
        <v>3814</v>
      </c>
      <c r="E32" s="1" t="s">
        <v>3815</v>
      </c>
      <c r="F32" s="1" t="s">
        <v>3816</v>
      </c>
      <c r="G32" s="1" t="s">
        <v>3817</v>
      </c>
      <c r="H32" s="1" t="s">
        <v>3818</v>
      </c>
      <c r="I32" s="1" t="s">
        <v>3819</v>
      </c>
      <c r="J32" s="1" t="s">
        <v>3820</v>
      </c>
      <c r="K32" s="1" t="s">
        <v>3821</v>
      </c>
      <c r="L32" s="1" t="s">
        <v>3822</v>
      </c>
      <c r="M32" s="1" t="s">
        <v>3823</v>
      </c>
      <c r="N32" s="1" t="s">
        <v>3824</v>
      </c>
    </row>
    <row r="33" spans="1:14">
      <c r="A33" s="1" t="s">
        <v>3882</v>
      </c>
      <c r="B33" s="1" t="s">
        <v>3883</v>
      </c>
      <c r="C33" s="1" t="s">
        <v>3813</v>
      </c>
      <c r="D33" s="1" t="s">
        <v>3814</v>
      </c>
      <c r="E33" s="1" t="s">
        <v>3815</v>
      </c>
      <c r="F33" s="1" t="s">
        <v>3816</v>
      </c>
      <c r="G33" s="1" t="s">
        <v>3817</v>
      </c>
      <c r="H33" s="1" t="s">
        <v>3818</v>
      </c>
      <c r="I33" s="1" t="s">
        <v>3819</v>
      </c>
      <c r="J33" s="1" t="s">
        <v>3820</v>
      </c>
      <c r="K33" s="1" t="s">
        <v>3821</v>
      </c>
      <c r="L33" s="1" t="s">
        <v>3822</v>
      </c>
      <c r="M33" s="1" t="s">
        <v>3823</v>
      </c>
      <c r="N33" s="1" t="s">
        <v>3824</v>
      </c>
    </row>
    <row r="34" spans="1:14">
      <c r="A34" s="1" t="s">
        <v>3884</v>
      </c>
      <c r="B34" s="1" t="s">
        <v>3885</v>
      </c>
      <c r="C34" s="1" t="s">
        <v>3886</v>
      </c>
      <c r="D34" s="1" t="s">
        <v>3814</v>
      </c>
      <c r="E34" s="1" t="s">
        <v>3815</v>
      </c>
      <c r="F34" s="1" t="s">
        <v>3816</v>
      </c>
      <c r="G34" s="1" t="s">
        <v>3817</v>
      </c>
      <c r="H34" s="1" t="s">
        <v>3818</v>
      </c>
      <c r="I34" s="1" t="s">
        <v>3819</v>
      </c>
      <c r="J34" s="1" t="s">
        <v>3820</v>
      </c>
      <c r="K34" s="1" t="s">
        <v>3821</v>
      </c>
      <c r="L34" s="1" t="s">
        <v>3822</v>
      </c>
      <c r="M34" s="1" t="s">
        <v>3823</v>
      </c>
      <c r="N34" s="1" t="s">
        <v>3824</v>
      </c>
    </row>
    <row r="35" spans="1:14">
      <c r="A35" s="1" t="s">
        <v>3887</v>
      </c>
      <c r="B35" s="1" t="s">
        <v>3888</v>
      </c>
      <c r="C35" s="1" t="s">
        <v>3827</v>
      </c>
      <c r="D35" s="1" t="s">
        <v>3814</v>
      </c>
      <c r="E35" s="1" t="s">
        <v>3815</v>
      </c>
      <c r="F35" s="1" t="s">
        <v>3816</v>
      </c>
      <c r="G35" s="1" t="s">
        <v>3817</v>
      </c>
      <c r="H35" s="1" t="s">
        <v>3818</v>
      </c>
      <c r="I35" s="1" t="s">
        <v>3819</v>
      </c>
      <c r="J35" s="1" t="s">
        <v>3820</v>
      </c>
      <c r="K35" s="1" t="s">
        <v>3821</v>
      </c>
      <c r="L35" s="1" t="s">
        <v>3822</v>
      </c>
      <c r="M35" s="1" t="s">
        <v>3823</v>
      </c>
      <c r="N35" s="1" t="s">
        <v>3824</v>
      </c>
    </row>
    <row r="36" spans="1:14">
      <c r="A36" s="1" t="s">
        <v>3889</v>
      </c>
      <c r="B36" s="1" t="s">
        <v>3890</v>
      </c>
      <c r="C36" s="1" t="s">
        <v>3827</v>
      </c>
      <c r="D36" s="1" t="s">
        <v>3814</v>
      </c>
      <c r="E36" s="1" t="s">
        <v>3815</v>
      </c>
      <c r="F36" s="1" t="s">
        <v>3816</v>
      </c>
      <c r="G36" s="1" t="s">
        <v>3817</v>
      </c>
      <c r="H36" s="1" t="s">
        <v>3818</v>
      </c>
      <c r="I36" s="1" t="s">
        <v>3819</v>
      </c>
      <c r="J36" s="1" t="s">
        <v>3820</v>
      </c>
      <c r="K36" s="1" t="s">
        <v>3821</v>
      </c>
      <c r="L36" s="1" t="s">
        <v>3822</v>
      </c>
      <c r="M36" s="1" t="s">
        <v>3823</v>
      </c>
      <c r="N36" s="1" t="s">
        <v>3824</v>
      </c>
    </row>
    <row r="37" spans="1:14">
      <c r="A37" s="1" t="s">
        <v>3891</v>
      </c>
      <c r="B37" s="1" t="s">
        <v>3892</v>
      </c>
      <c r="C37" s="1" t="s">
        <v>3893</v>
      </c>
      <c r="D37" s="1" t="s">
        <v>3814</v>
      </c>
      <c r="E37" s="1" t="s">
        <v>3815</v>
      </c>
      <c r="F37" s="1" t="s">
        <v>3816</v>
      </c>
      <c r="G37" s="1" t="s">
        <v>3817</v>
      </c>
      <c r="H37" s="1" t="s">
        <v>3818</v>
      </c>
      <c r="I37" s="1" t="s">
        <v>3819</v>
      </c>
      <c r="J37" s="1" t="s">
        <v>3820</v>
      </c>
      <c r="K37" s="1" t="s">
        <v>3821</v>
      </c>
      <c r="L37" s="1" t="s">
        <v>3822</v>
      </c>
      <c r="M37" s="1" t="s">
        <v>3823</v>
      </c>
      <c r="N37" s="1" t="s">
        <v>3824</v>
      </c>
    </row>
    <row r="38" spans="1:14">
      <c r="A38" s="1" t="s">
        <v>3894</v>
      </c>
      <c r="B38" s="1" t="s">
        <v>3895</v>
      </c>
      <c r="C38" s="1" t="s">
        <v>3827</v>
      </c>
      <c r="D38" s="1" t="s">
        <v>3814</v>
      </c>
      <c r="E38" s="1" t="s">
        <v>3815</v>
      </c>
      <c r="F38" s="1" t="s">
        <v>3816</v>
      </c>
      <c r="G38" s="1" t="s">
        <v>3817</v>
      </c>
      <c r="H38" s="1" t="s">
        <v>3818</v>
      </c>
      <c r="I38" s="1" t="s">
        <v>3819</v>
      </c>
      <c r="J38" s="1" t="s">
        <v>3820</v>
      </c>
      <c r="K38" s="1" t="s">
        <v>3821</v>
      </c>
      <c r="L38" s="1" t="s">
        <v>3822</v>
      </c>
      <c r="M38" s="1" t="s">
        <v>3823</v>
      </c>
      <c r="N38" s="1" t="s">
        <v>3824</v>
      </c>
    </row>
    <row r="39" spans="1:14">
      <c r="A39" s="1" t="s">
        <v>3896</v>
      </c>
      <c r="B39" s="1" t="s">
        <v>3897</v>
      </c>
      <c r="C39" s="1" t="s">
        <v>3827</v>
      </c>
      <c r="D39" s="1" t="s">
        <v>3814</v>
      </c>
      <c r="E39" s="1" t="s">
        <v>3815</v>
      </c>
      <c r="F39" s="1" t="s">
        <v>3816</v>
      </c>
      <c r="G39" s="1" t="s">
        <v>3817</v>
      </c>
      <c r="H39" s="1" t="s">
        <v>3818</v>
      </c>
      <c r="I39" s="1" t="s">
        <v>3819</v>
      </c>
      <c r="J39" s="1" t="s">
        <v>3820</v>
      </c>
      <c r="K39" s="1" t="s">
        <v>3821</v>
      </c>
      <c r="L39" s="1" t="s">
        <v>3822</v>
      </c>
      <c r="M39" s="1" t="s">
        <v>3823</v>
      </c>
      <c r="N39" s="1" t="s">
        <v>3824</v>
      </c>
    </row>
    <row r="40" spans="1:14">
      <c r="A40" s="1" t="s">
        <v>3898</v>
      </c>
      <c r="B40" s="1" t="s">
        <v>3899</v>
      </c>
      <c r="C40" s="1" t="s">
        <v>3827</v>
      </c>
      <c r="D40" s="1" t="s">
        <v>3814</v>
      </c>
      <c r="E40" s="1" t="s">
        <v>3815</v>
      </c>
      <c r="F40" s="1" t="s">
        <v>3816</v>
      </c>
      <c r="G40" s="1" t="s">
        <v>3817</v>
      </c>
      <c r="H40" s="1" t="s">
        <v>3818</v>
      </c>
      <c r="I40" s="1" t="s">
        <v>3819</v>
      </c>
      <c r="J40" s="1" t="s">
        <v>3820</v>
      </c>
      <c r="K40" s="1" t="s">
        <v>3821</v>
      </c>
      <c r="L40" s="1" t="s">
        <v>3822</v>
      </c>
      <c r="M40" s="1" t="s">
        <v>3823</v>
      </c>
      <c r="N40" s="1" t="s">
        <v>3824</v>
      </c>
    </row>
    <row r="41" spans="1:14">
      <c r="A41" s="1" t="s">
        <v>3900</v>
      </c>
      <c r="B41" s="1" t="s">
        <v>3901</v>
      </c>
      <c r="C41" s="1" t="s">
        <v>3827</v>
      </c>
      <c r="D41" s="1" t="s">
        <v>3814</v>
      </c>
      <c r="E41" s="1" t="s">
        <v>3815</v>
      </c>
      <c r="F41" s="1" t="s">
        <v>3816</v>
      </c>
      <c r="G41" s="1" t="s">
        <v>3817</v>
      </c>
      <c r="H41" s="1" t="s">
        <v>3818</v>
      </c>
      <c r="I41" s="1" t="s">
        <v>3819</v>
      </c>
      <c r="J41" s="1" t="s">
        <v>3820</v>
      </c>
      <c r="K41" s="1" t="s">
        <v>3821</v>
      </c>
      <c r="L41" s="1" t="s">
        <v>3822</v>
      </c>
      <c r="M41" s="1" t="s">
        <v>3823</v>
      </c>
      <c r="N41" s="1" t="s">
        <v>3824</v>
      </c>
    </row>
    <row r="42" spans="1:14">
      <c r="A42" s="1" t="s">
        <v>3902</v>
      </c>
      <c r="B42" s="1" t="s">
        <v>3903</v>
      </c>
      <c r="C42" s="1" t="s">
        <v>3830</v>
      </c>
      <c r="D42" s="1" t="s">
        <v>3814</v>
      </c>
      <c r="E42" s="1" t="s">
        <v>3815</v>
      </c>
      <c r="F42" s="1" t="s">
        <v>3816</v>
      </c>
      <c r="G42" s="1" t="s">
        <v>3817</v>
      </c>
      <c r="H42" s="1" t="s">
        <v>3818</v>
      </c>
      <c r="I42" s="1" t="s">
        <v>3819</v>
      </c>
      <c r="J42" s="1" t="s">
        <v>3820</v>
      </c>
      <c r="K42" s="1" t="s">
        <v>3821</v>
      </c>
      <c r="L42" s="1" t="s">
        <v>3822</v>
      </c>
      <c r="M42" s="1" t="s">
        <v>3823</v>
      </c>
      <c r="N42" s="1" t="s">
        <v>3824</v>
      </c>
    </row>
    <row r="43" spans="1:14">
      <c r="A43" s="1" t="s">
        <v>3904</v>
      </c>
      <c r="B43" s="1" t="s">
        <v>3905</v>
      </c>
      <c r="C43" s="1" t="s">
        <v>3827</v>
      </c>
      <c r="D43" s="1" t="s">
        <v>3814</v>
      </c>
      <c r="E43" s="1" t="s">
        <v>3815</v>
      </c>
      <c r="F43" s="1" t="s">
        <v>3816</v>
      </c>
      <c r="G43" s="1" t="s">
        <v>3817</v>
      </c>
      <c r="H43" s="1" t="s">
        <v>3818</v>
      </c>
      <c r="I43" s="1" t="s">
        <v>3819</v>
      </c>
      <c r="J43" s="1" t="s">
        <v>3820</v>
      </c>
      <c r="K43" s="1" t="s">
        <v>3821</v>
      </c>
      <c r="L43" s="1" t="s">
        <v>3822</v>
      </c>
      <c r="M43" s="1" t="s">
        <v>3823</v>
      </c>
      <c r="N43" s="1" t="s">
        <v>3824</v>
      </c>
    </row>
    <row r="44" spans="1:14">
      <c r="A44" s="1" t="s">
        <v>3906</v>
      </c>
      <c r="B44" s="1" t="s">
        <v>3907</v>
      </c>
      <c r="C44" s="1" t="s">
        <v>3827</v>
      </c>
      <c r="D44" s="1" t="s">
        <v>3814</v>
      </c>
      <c r="E44" s="1" t="s">
        <v>3815</v>
      </c>
      <c r="F44" s="1" t="s">
        <v>3816</v>
      </c>
      <c r="G44" s="1" t="s">
        <v>3817</v>
      </c>
      <c r="H44" s="1" t="s">
        <v>3818</v>
      </c>
      <c r="I44" s="1" t="s">
        <v>3819</v>
      </c>
      <c r="J44" s="1" t="s">
        <v>3820</v>
      </c>
      <c r="K44" s="1" t="s">
        <v>3821</v>
      </c>
      <c r="L44" s="1" t="s">
        <v>3822</v>
      </c>
      <c r="M44" s="1" t="s">
        <v>3823</v>
      </c>
      <c r="N44" s="1" t="s">
        <v>3824</v>
      </c>
    </row>
    <row r="45" spans="1:14">
      <c r="A45" s="1" t="s">
        <v>3908</v>
      </c>
      <c r="B45" s="1" t="s">
        <v>3909</v>
      </c>
      <c r="C45" s="1" t="s">
        <v>3886</v>
      </c>
      <c r="D45" s="1" t="s">
        <v>3814</v>
      </c>
      <c r="E45" s="1" t="s">
        <v>3815</v>
      </c>
      <c r="F45" s="1" t="s">
        <v>3816</v>
      </c>
      <c r="G45" s="1" t="s">
        <v>3817</v>
      </c>
      <c r="H45" s="1" t="s">
        <v>3818</v>
      </c>
      <c r="I45" s="1" t="s">
        <v>3819</v>
      </c>
      <c r="J45" s="1" t="s">
        <v>3820</v>
      </c>
      <c r="K45" s="1" t="s">
        <v>3821</v>
      </c>
      <c r="L45" s="1" t="s">
        <v>3822</v>
      </c>
      <c r="M45" s="1" t="s">
        <v>3823</v>
      </c>
      <c r="N45" s="1" t="s">
        <v>3824</v>
      </c>
    </row>
    <row r="46" spans="1:14">
      <c r="A46" s="1" t="s">
        <v>3910</v>
      </c>
      <c r="B46" s="1" t="s">
        <v>3911</v>
      </c>
      <c r="C46" s="1" t="s">
        <v>3886</v>
      </c>
      <c r="D46" s="1" t="s">
        <v>3814</v>
      </c>
      <c r="E46" s="1" t="s">
        <v>3815</v>
      </c>
      <c r="F46" s="1" t="s">
        <v>3816</v>
      </c>
      <c r="G46" s="1" t="s">
        <v>3817</v>
      </c>
      <c r="H46" s="1" t="s">
        <v>3818</v>
      </c>
      <c r="I46" s="1" t="s">
        <v>3819</v>
      </c>
      <c r="J46" s="1" t="s">
        <v>3820</v>
      </c>
      <c r="K46" s="1" t="s">
        <v>3821</v>
      </c>
      <c r="L46" s="1" t="s">
        <v>3822</v>
      </c>
      <c r="M46" s="1" t="s">
        <v>3823</v>
      </c>
      <c r="N46" s="1" t="s">
        <v>3824</v>
      </c>
    </row>
    <row r="47" spans="1:14">
      <c r="A47" s="1" t="s">
        <v>3912</v>
      </c>
      <c r="B47" s="1" t="s">
        <v>3913</v>
      </c>
      <c r="C47" s="1" t="s">
        <v>3830</v>
      </c>
      <c r="D47" s="1" t="s">
        <v>3814</v>
      </c>
      <c r="E47" s="1" t="s">
        <v>3815</v>
      </c>
      <c r="F47" s="1" t="s">
        <v>3816</v>
      </c>
      <c r="G47" s="1" t="s">
        <v>3817</v>
      </c>
      <c r="H47" s="1" t="s">
        <v>3818</v>
      </c>
      <c r="I47" s="1" t="s">
        <v>3819</v>
      </c>
      <c r="J47" s="1" t="s">
        <v>3820</v>
      </c>
      <c r="K47" s="1" t="s">
        <v>3821</v>
      </c>
      <c r="L47" s="1" t="s">
        <v>3822</v>
      </c>
      <c r="M47" s="1" t="s">
        <v>3823</v>
      </c>
      <c r="N47" s="1" t="s">
        <v>3824</v>
      </c>
    </row>
    <row r="48" spans="1:14">
      <c r="A48" s="1" t="s">
        <v>3914</v>
      </c>
      <c r="B48" s="1" t="s">
        <v>3915</v>
      </c>
      <c r="C48" s="1" t="s">
        <v>3830</v>
      </c>
      <c r="D48" s="1" t="s">
        <v>3814</v>
      </c>
      <c r="E48" s="1" t="s">
        <v>3815</v>
      </c>
      <c r="F48" s="1" t="s">
        <v>3816</v>
      </c>
      <c r="G48" s="1" t="s">
        <v>3817</v>
      </c>
      <c r="H48" s="1" t="s">
        <v>3818</v>
      </c>
      <c r="I48" s="1" t="s">
        <v>3819</v>
      </c>
      <c r="J48" s="1" t="s">
        <v>3820</v>
      </c>
      <c r="K48" s="1" t="s">
        <v>3821</v>
      </c>
      <c r="L48" s="1" t="s">
        <v>3822</v>
      </c>
      <c r="M48" s="1" t="s">
        <v>3823</v>
      </c>
      <c r="N48" s="1" t="s">
        <v>3824</v>
      </c>
    </row>
    <row r="49" spans="1:14">
      <c r="A49" s="1" t="s">
        <v>3916</v>
      </c>
      <c r="B49" s="1" t="s">
        <v>3917</v>
      </c>
      <c r="C49" s="1" t="s">
        <v>3813</v>
      </c>
      <c r="D49" s="1" t="s">
        <v>3814</v>
      </c>
      <c r="E49" s="1" t="s">
        <v>3815</v>
      </c>
      <c r="F49" s="1" t="s">
        <v>3816</v>
      </c>
      <c r="G49" s="1" t="s">
        <v>3817</v>
      </c>
      <c r="H49" s="1" t="s">
        <v>3818</v>
      </c>
      <c r="I49" s="1" t="s">
        <v>3819</v>
      </c>
      <c r="J49" s="1" t="s">
        <v>3820</v>
      </c>
      <c r="K49" s="1" t="s">
        <v>3821</v>
      </c>
      <c r="L49" s="1" t="s">
        <v>3822</v>
      </c>
      <c r="M49" s="1" t="s">
        <v>3823</v>
      </c>
      <c r="N49" s="1" t="s">
        <v>3824</v>
      </c>
    </row>
    <row r="50" spans="1:14">
      <c r="A50" s="1" t="s">
        <v>3918</v>
      </c>
      <c r="B50" s="1" t="s">
        <v>3919</v>
      </c>
      <c r="C50" s="1" t="s">
        <v>3813</v>
      </c>
      <c r="D50" s="1" t="s">
        <v>3814</v>
      </c>
      <c r="E50" s="1" t="s">
        <v>3815</v>
      </c>
      <c r="F50" s="1" t="s">
        <v>3816</v>
      </c>
      <c r="G50" s="1" t="s">
        <v>3817</v>
      </c>
      <c r="H50" s="1" t="s">
        <v>3818</v>
      </c>
      <c r="I50" s="1" t="s">
        <v>3819</v>
      </c>
      <c r="J50" s="1" t="s">
        <v>3820</v>
      </c>
      <c r="K50" s="1" t="s">
        <v>3821</v>
      </c>
      <c r="L50" s="1" t="s">
        <v>3822</v>
      </c>
      <c r="M50" s="1" t="s">
        <v>3823</v>
      </c>
      <c r="N50" s="1" t="s">
        <v>3824</v>
      </c>
    </row>
    <row r="51" spans="1:14">
      <c r="A51" s="1" t="s">
        <v>3920</v>
      </c>
      <c r="B51" s="1" t="s">
        <v>3921</v>
      </c>
      <c r="C51" s="1" t="s">
        <v>3813</v>
      </c>
      <c r="D51" s="1" t="s">
        <v>3814</v>
      </c>
      <c r="E51" s="1" t="s">
        <v>3815</v>
      </c>
      <c r="F51" s="1" t="s">
        <v>3816</v>
      </c>
      <c r="G51" s="1" t="s">
        <v>3817</v>
      </c>
      <c r="H51" s="1" t="s">
        <v>3818</v>
      </c>
      <c r="I51" s="1" t="s">
        <v>3819</v>
      </c>
      <c r="J51" s="1" t="s">
        <v>3820</v>
      </c>
      <c r="K51" s="1" t="s">
        <v>3821</v>
      </c>
      <c r="L51" s="1" t="s">
        <v>3822</v>
      </c>
      <c r="M51" s="1" t="s">
        <v>3823</v>
      </c>
      <c r="N51" s="1" t="s">
        <v>3824</v>
      </c>
    </row>
    <row r="52" spans="1:14">
      <c r="A52" s="1" t="s">
        <v>3922</v>
      </c>
      <c r="B52" s="1" t="s">
        <v>3923</v>
      </c>
      <c r="C52" s="1" t="s">
        <v>3830</v>
      </c>
      <c r="D52" s="1" t="s">
        <v>3814</v>
      </c>
      <c r="E52" s="1" t="s">
        <v>3815</v>
      </c>
      <c r="F52" s="1" t="s">
        <v>3816</v>
      </c>
      <c r="G52" s="1" t="s">
        <v>3817</v>
      </c>
      <c r="H52" s="1" t="s">
        <v>3818</v>
      </c>
      <c r="I52" s="1" t="s">
        <v>3819</v>
      </c>
      <c r="J52" s="1" t="s">
        <v>3820</v>
      </c>
      <c r="K52" s="1" t="s">
        <v>3821</v>
      </c>
      <c r="L52" s="1" t="s">
        <v>3822</v>
      </c>
      <c r="M52" s="1" t="s">
        <v>3823</v>
      </c>
      <c r="N52" s="1" t="s">
        <v>3824</v>
      </c>
    </row>
    <row r="53" spans="1:14">
      <c r="A53" s="1" t="s">
        <v>3924</v>
      </c>
      <c r="B53" s="1" t="s">
        <v>3925</v>
      </c>
      <c r="C53" s="1" t="s">
        <v>3813</v>
      </c>
      <c r="D53" s="1" t="s">
        <v>3814</v>
      </c>
      <c r="E53" s="1" t="s">
        <v>3815</v>
      </c>
      <c r="F53" s="1" t="s">
        <v>3816</v>
      </c>
      <c r="G53" s="1" t="s">
        <v>3817</v>
      </c>
      <c r="H53" s="1" t="s">
        <v>3818</v>
      </c>
      <c r="I53" s="1" t="s">
        <v>3819</v>
      </c>
      <c r="J53" s="1" t="s">
        <v>3820</v>
      </c>
      <c r="K53" s="1" t="s">
        <v>3821</v>
      </c>
      <c r="L53" s="1" t="s">
        <v>3822</v>
      </c>
      <c r="M53" s="1" t="s">
        <v>3823</v>
      </c>
      <c r="N53" s="1" t="s">
        <v>3824</v>
      </c>
    </row>
    <row r="54" spans="1:14">
      <c r="A54" s="1" t="s">
        <v>3926</v>
      </c>
      <c r="B54" s="1" t="s">
        <v>3927</v>
      </c>
      <c r="C54" s="1" t="s">
        <v>3850</v>
      </c>
      <c r="D54" s="1" t="s">
        <v>3814</v>
      </c>
      <c r="E54" s="1" t="s">
        <v>3815</v>
      </c>
      <c r="F54" s="1" t="s">
        <v>3816</v>
      </c>
      <c r="G54" s="1" t="s">
        <v>3817</v>
      </c>
      <c r="H54" s="1" t="s">
        <v>3818</v>
      </c>
      <c r="I54" s="1" t="s">
        <v>3819</v>
      </c>
      <c r="J54" s="1" t="s">
        <v>3820</v>
      </c>
      <c r="K54" s="1" t="s">
        <v>3821</v>
      </c>
      <c r="L54" s="1" t="s">
        <v>3822</v>
      </c>
      <c r="M54" s="1" t="s">
        <v>3823</v>
      </c>
      <c r="N54" s="1" t="s">
        <v>3824</v>
      </c>
    </row>
    <row r="55" spans="1:14">
      <c r="A55" s="1" t="s">
        <v>3928</v>
      </c>
      <c r="B55" s="1" t="s">
        <v>3929</v>
      </c>
      <c r="C55" s="1" t="s">
        <v>3830</v>
      </c>
      <c r="D55" s="1" t="s">
        <v>3814</v>
      </c>
      <c r="E55" s="1" t="s">
        <v>3815</v>
      </c>
      <c r="F55" s="1" t="s">
        <v>3816</v>
      </c>
      <c r="G55" s="1" t="s">
        <v>3817</v>
      </c>
      <c r="H55" s="1" t="s">
        <v>3818</v>
      </c>
      <c r="I55" s="1" t="s">
        <v>3819</v>
      </c>
      <c r="J55" s="1" t="s">
        <v>3820</v>
      </c>
      <c r="K55" s="1" t="s">
        <v>3821</v>
      </c>
      <c r="L55" s="1" t="s">
        <v>3822</v>
      </c>
      <c r="M55" s="1" t="s">
        <v>3823</v>
      </c>
      <c r="N55" s="1" t="s">
        <v>3824</v>
      </c>
    </row>
    <row r="56" spans="1:14">
      <c r="A56" s="1" t="s">
        <v>3930</v>
      </c>
      <c r="B56" s="1" t="s">
        <v>3931</v>
      </c>
      <c r="C56" s="1" t="s">
        <v>3830</v>
      </c>
      <c r="D56" s="1" t="s">
        <v>3814</v>
      </c>
      <c r="E56" s="1" t="s">
        <v>3815</v>
      </c>
      <c r="F56" s="1" t="s">
        <v>3816</v>
      </c>
      <c r="G56" s="1" t="s">
        <v>3817</v>
      </c>
      <c r="H56" s="1" t="s">
        <v>3818</v>
      </c>
      <c r="I56" s="1" t="s">
        <v>3819</v>
      </c>
      <c r="J56" s="1" t="s">
        <v>3820</v>
      </c>
      <c r="K56" s="1" t="s">
        <v>3821</v>
      </c>
      <c r="L56" s="1" t="s">
        <v>3822</v>
      </c>
      <c r="M56" s="1" t="s">
        <v>3823</v>
      </c>
      <c r="N56" s="1" t="s">
        <v>3824</v>
      </c>
    </row>
    <row r="57" spans="1:14">
      <c r="A57" s="1" t="s">
        <v>3932</v>
      </c>
      <c r="B57" s="1" t="s">
        <v>3933</v>
      </c>
      <c r="C57" s="1" t="s">
        <v>3830</v>
      </c>
      <c r="D57" s="1" t="s">
        <v>3814</v>
      </c>
      <c r="E57" s="1" t="s">
        <v>3815</v>
      </c>
      <c r="F57" s="1" t="s">
        <v>3816</v>
      </c>
      <c r="G57" s="1" t="s">
        <v>3817</v>
      </c>
      <c r="H57" s="1" t="s">
        <v>3818</v>
      </c>
      <c r="I57" s="1" t="s">
        <v>3819</v>
      </c>
      <c r="J57" s="1" t="s">
        <v>3820</v>
      </c>
      <c r="K57" s="1" t="s">
        <v>3821</v>
      </c>
      <c r="L57" s="1" t="s">
        <v>3822</v>
      </c>
      <c r="M57" s="1" t="s">
        <v>3823</v>
      </c>
      <c r="N57" s="1" t="s">
        <v>3824</v>
      </c>
    </row>
    <row r="58" spans="1:14">
      <c r="A58" s="1" t="s">
        <v>3934</v>
      </c>
      <c r="B58" s="1" t="s">
        <v>3935</v>
      </c>
      <c r="C58" s="1" t="s">
        <v>3830</v>
      </c>
      <c r="D58" s="1" t="s">
        <v>3814</v>
      </c>
      <c r="E58" s="1" t="s">
        <v>3815</v>
      </c>
      <c r="F58" s="1" t="s">
        <v>3816</v>
      </c>
      <c r="G58" s="1" t="s">
        <v>3817</v>
      </c>
      <c r="H58" s="1" t="s">
        <v>3818</v>
      </c>
      <c r="I58" s="1" t="s">
        <v>3819</v>
      </c>
      <c r="J58" s="1" t="s">
        <v>3820</v>
      </c>
      <c r="K58" s="1" t="s">
        <v>3821</v>
      </c>
      <c r="L58" s="1" t="s">
        <v>3822</v>
      </c>
      <c r="M58" s="1" t="s">
        <v>3823</v>
      </c>
      <c r="N58" s="1" t="s">
        <v>3824</v>
      </c>
    </row>
    <row r="59" spans="1:14">
      <c r="A59" s="1" t="s">
        <v>3936</v>
      </c>
      <c r="B59" s="1" t="s">
        <v>3937</v>
      </c>
      <c r="C59" s="1" t="s">
        <v>3830</v>
      </c>
      <c r="D59" s="1" t="s">
        <v>3814</v>
      </c>
      <c r="E59" s="1" t="s">
        <v>3815</v>
      </c>
      <c r="F59" s="1" t="s">
        <v>3816</v>
      </c>
      <c r="G59" s="1" t="s">
        <v>3817</v>
      </c>
      <c r="H59" s="1" t="s">
        <v>3818</v>
      </c>
      <c r="I59" s="1" t="s">
        <v>3819</v>
      </c>
      <c r="J59" s="1" t="s">
        <v>3820</v>
      </c>
      <c r="K59" s="1" t="s">
        <v>3821</v>
      </c>
      <c r="L59" s="1" t="s">
        <v>3822</v>
      </c>
      <c r="M59" s="1" t="s">
        <v>3823</v>
      </c>
      <c r="N59" s="1" t="s">
        <v>3824</v>
      </c>
    </row>
    <row r="60" spans="1:14">
      <c r="A60" s="1" t="s">
        <v>3938</v>
      </c>
      <c r="B60" s="1" t="s">
        <v>3939</v>
      </c>
      <c r="C60" s="1" t="s">
        <v>3940</v>
      </c>
      <c r="D60" s="1" t="s">
        <v>3814</v>
      </c>
      <c r="E60" s="1" t="s">
        <v>3815</v>
      </c>
      <c r="F60" s="1" t="s">
        <v>3816</v>
      </c>
      <c r="G60" s="1" t="s">
        <v>3817</v>
      </c>
      <c r="H60" s="1" t="s">
        <v>3818</v>
      </c>
      <c r="I60" s="1" t="s">
        <v>3819</v>
      </c>
      <c r="J60" s="1" t="s">
        <v>3820</v>
      </c>
      <c r="K60" s="1" t="s">
        <v>3821</v>
      </c>
      <c r="L60" s="1" t="s">
        <v>3822</v>
      </c>
      <c r="M60" s="1" t="s">
        <v>3823</v>
      </c>
      <c r="N60" s="1" t="s">
        <v>3824</v>
      </c>
    </row>
    <row r="61" spans="1:14">
      <c r="A61" s="1" t="s">
        <v>3941</v>
      </c>
      <c r="B61" s="1" t="s">
        <v>3942</v>
      </c>
      <c r="C61" s="1" t="s">
        <v>3830</v>
      </c>
      <c r="D61" s="1" t="s">
        <v>3814</v>
      </c>
      <c r="E61" s="1" t="s">
        <v>3815</v>
      </c>
      <c r="F61" s="1" t="s">
        <v>3816</v>
      </c>
      <c r="G61" s="1" t="s">
        <v>3817</v>
      </c>
      <c r="H61" s="1" t="s">
        <v>3818</v>
      </c>
      <c r="I61" s="1" t="s">
        <v>3819</v>
      </c>
      <c r="J61" s="1" t="s">
        <v>3820</v>
      </c>
      <c r="K61" s="1" t="s">
        <v>3821</v>
      </c>
      <c r="L61" s="1" t="s">
        <v>3822</v>
      </c>
      <c r="M61" s="1" t="s">
        <v>3823</v>
      </c>
      <c r="N61" s="1" t="s">
        <v>3824</v>
      </c>
    </row>
    <row r="62" spans="1:14">
      <c r="A62" s="1" t="s">
        <v>3943</v>
      </c>
      <c r="B62" s="1" t="s">
        <v>3944</v>
      </c>
      <c r="C62" s="1" t="s">
        <v>3830</v>
      </c>
      <c r="D62" s="1" t="s">
        <v>3814</v>
      </c>
      <c r="E62" s="1" t="s">
        <v>3815</v>
      </c>
      <c r="F62" s="1" t="s">
        <v>3816</v>
      </c>
      <c r="G62" s="1" t="s">
        <v>3817</v>
      </c>
      <c r="H62" s="1" t="s">
        <v>3818</v>
      </c>
      <c r="I62" s="1" t="s">
        <v>3819</v>
      </c>
      <c r="J62" s="1" t="s">
        <v>3820</v>
      </c>
      <c r="K62" s="1" t="s">
        <v>3821</v>
      </c>
      <c r="L62" s="1" t="s">
        <v>3822</v>
      </c>
      <c r="M62" s="1" t="s">
        <v>3823</v>
      </c>
      <c r="N62" s="1" t="s">
        <v>3824</v>
      </c>
    </row>
    <row r="63" spans="1:14">
      <c r="A63" s="1" t="s">
        <v>3945</v>
      </c>
      <c r="B63" s="1" t="s">
        <v>3946</v>
      </c>
      <c r="C63" s="1" t="s">
        <v>3886</v>
      </c>
      <c r="D63" s="1" t="s">
        <v>3814</v>
      </c>
      <c r="E63" s="1" t="s">
        <v>3815</v>
      </c>
      <c r="F63" s="1" t="s">
        <v>3816</v>
      </c>
      <c r="G63" s="1" t="s">
        <v>3817</v>
      </c>
      <c r="H63" s="1" t="s">
        <v>3818</v>
      </c>
      <c r="I63" s="1" t="s">
        <v>3819</v>
      </c>
      <c r="J63" s="1" t="s">
        <v>3820</v>
      </c>
      <c r="K63" s="1" t="s">
        <v>3821</v>
      </c>
      <c r="L63" s="1" t="s">
        <v>3822</v>
      </c>
      <c r="M63" s="1" t="s">
        <v>3823</v>
      </c>
      <c r="N63" s="1" t="s">
        <v>3824</v>
      </c>
    </row>
    <row r="64" spans="1:14">
      <c r="A64" s="1" t="s">
        <v>3947</v>
      </c>
      <c r="B64" s="1" t="s">
        <v>3948</v>
      </c>
      <c r="C64" s="1" t="s">
        <v>3886</v>
      </c>
      <c r="D64" s="1" t="s">
        <v>3814</v>
      </c>
      <c r="E64" s="1" t="s">
        <v>3815</v>
      </c>
      <c r="F64" s="1" t="s">
        <v>3816</v>
      </c>
      <c r="G64" s="1" t="s">
        <v>3817</v>
      </c>
      <c r="H64" s="1" t="s">
        <v>3818</v>
      </c>
      <c r="I64" s="1" t="s">
        <v>3819</v>
      </c>
      <c r="J64" s="1" t="s">
        <v>3820</v>
      </c>
      <c r="K64" s="1" t="s">
        <v>3821</v>
      </c>
      <c r="L64" s="1" t="s">
        <v>3822</v>
      </c>
      <c r="M64" s="1" t="s">
        <v>3823</v>
      </c>
      <c r="N64" s="1" t="s">
        <v>3824</v>
      </c>
    </row>
    <row r="65" spans="1:14">
      <c r="A65" s="1" t="s">
        <v>3949</v>
      </c>
      <c r="B65" s="1" t="s">
        <v>3950</v>
      </c>
      <c r="C65" s="1" t="s">
        <v>3886</v>
      </c>
      <c r="D65" s="1" t="s">
        <v>3814</v>
      </c>
      <c r="E65" s="1" t="s">
        <v>3815</v>
      </c>
      <c r="F65" s="1" t="s">
        <v>3816</v>
      </c>
      <c r="G65" s="1" t="s">
        <v>3817</v>
      </c>
      <c r="H65" s="1" t="s">
        <v>3818</v>
      </c>
      <c r="I65" s="1" t="s">
        <v>3819</v>
      </c>
      <c r="J65" s="1" t="s">
        <v>3820</v>
      </c>
      <c r="K65" s="1" t="s">
        <v>3821</v>
      </c>
      <c r="L65" s="1" t="s">
        <v>3822</v>
      </c>
      <c r="M65" s="1" t="s">
        <v>3823</v>
      </c>
      <c r="N65" s="1" t="s">
        <v>3824</v>
      </c>
    </row>
    <row r="66" spans="1:14">
      <c r="A66" s="1" t="s">
        <v>3951</v>
      </c>
      <c r="B66" s="1" t="s">
        <v>3952</v>
      </c>
      <c r="C66" s="1" t="s">
        <v>3830</v>
      </c>
      <c r="D66" s="1" t="s">
        <v>3814</v>
      </c>
      <c r="E66" s="1" t="s">
        <v>3815</v>
      </c>
      <c r="F66" s="1" t="s">
        <v>3816</v>
      </c>
      <c r="G66" s="1" t="s">
        <v>3817</v>
      </c>
      <c r="H66" s="1" t="s">
        <v>3818</v>
      </c>
      <c r="I66" s="1" t="s">
        <v>3819</v>
      </c>
      <c r="J66" s="1" t="s">
        <v>3820</v>
      </c>
      <c r="K66" s="1" t="s">
        <v>3821</v>
      </c>
      <c r="L66" s="1" t="s">
        <v>3822</v>
      </c>
      <c r="M66" s="1" t="s">
        <v>3823</v>
      </c>
      <c r="N66" s="1" t="s">
        <v>3824</v>
      </c>
    </row>
    <row r="67" spans="1:14">
      <c r="A67" s="1" t="s">
        <v>3953</v>
      </c>
      <c r="B67" s="1" t="s">
        <v>3954</v>
      </c>
      <c r="C67" s="1" t="s">
        <v>3830</v>
      </c>
      <c r="D67" s="1" t="s">
        <v>3814</v>
      </c>
      <c r="E67" s="1" t="s">
        <v>3815</v>
      </c>
      <c r="F67" s="1" t="s">
        <v>3816</v>
      </c>
      <c r="G67" s="1" t="s">
        <v>3817</v>
      </c>
      <c r="H67" s="1" t="s">
        <v>3818</v>
      </c>
      <c r="I67" s="1" t="s">
        <v>3819</v>
      </c>
      <c r="J67" s="1" t="s">
        <v>3820</v>
      </c>
      <c r="K67" s="1" t="s">
        <v>3821</v>
      </c>
      <c r="L67" s="1" t="s">
        <v>3822</v>
      </c>
      <c r="M67" s="1" t="s">
        <v>3823</v>
      </c>
      <c r="N67" s="1" t="s">
        <v>3824</v>
      </c>
    </row>
    <row r="68" spans="1:14">
      <c r="A68" s="1" t="s">
        <v>3955</v>
      </c>
      <c r="B68" s="1" t="s">
        <v>3956</v>
      </c>
      <c r="C68" s="1" t="s">
        <v>3850</v>
      </c>
      <c r="D68" s="1" t="s">
        <v>3814</v>
      </c>
      <c r="E68" s="1" t="s">
        <v>3815</v>
      </c>
      <c r="F68" s="1" t="s">
        <v>3816</v>
      </c>
      <c r="G68" s="1" t="s">
        <v>3817</v>
      </c>
      <c r="H68" s="1" t="s">
        <v>3818</v>
      </c>
      <c r="I68" s="1" t="s">
        <v>3819</v>
      </c>
      <c r="J68" s="1" t="s">
        <v>3820</v>
      </c>
      <c r="K68" s="1" t="s">
        <v>3821</v>
      </c>
      <c r="L68" s="1" t="s">
        <v>3822</v>
      </c>
      <c r="M68" s="1" t="s">
        <v>3823</v>
      </c>
      <c r="N68" s="1" t="s">
        <v>3824</v>
      </c>
    </row>
    <row r="69" spans="1:14">
      <c r="A69" s="1" t="s">
        <v>3957</v>
      </c>
      <c r="B69" s="1" t="s">
        <v>3958</v>
      </c>
      <c r="C69" s="1" t="s">
        <v>3850</v>
      </c>
      <c r="D69" s="1" t="s">
        <v>3814</v>
      </c>
      <c r="E69" s="1" t="s">
        <v>3815</v>
      </c>
      <c r="F69" s="1" t="s">
        <v>3816</v>
      </c>
      <c r="G69" s="1" t="s">
        <v>3817</v>
      </c>
      <c r="H69" s="1" t="s">
        <v>3818</v>
      </c>
      <c r="I69" s="1" t="s">
        <v>3819</v>
      </c>
      <c r="J69" s="1" t="s">
        <v>3820</v>
      </c>
      <c r="K69" s="1" t="s">
        <v>3821</v>
      </c>
      <c r="L69" s="1" t="s">
        <v>3822</v>
      </c>
      <c r="M69" s="1" t="s">
        <v>3823</v>
      </c>
      <c r="N69" s="1" t="s">
        <v>3824</v>
      </c>
    </row>
    <row r="70" spans="1:14">
      <c r="A70" s="1" t="s">
        <v>3959</v>
      </c>
      <c r="B70" s="1" t="s">
        <v>3960</v>
      </c>
      <c r="C70" s="1" t="s">
        <v>3850</v>
      </c>
      <c r="D70" s="1" t="s">
        <v>3814</v>
      </c>
      <c r="E70" s="1" t="s">
        <v>3815</v>
      </c>
      <c r="F70" s="1" t="s">
        <v>3816</v>
      </c>
      <c r="G70" s="1" t="s">
        <v>3817</v>
      </c>
      <c r="H70" s="1" t="s">
        <v>3818</v>
      </c>
      <c r="I70" s="1" t="s">
        <v>3819</v>
      </c>
      <c r="J70" s="1" t="s">
        <v>3820</v>
      </c>
      <c r="K70" s="1" t="s">
        <v>3821</v>
      </c>
      <c r="L70" s="1" t="s">
        <v>3822</v>
      </c>
      <c r="M70" s="1" t="s">
        <v>3823</v>
      </c>
      <c r="N70" s="1" t="s">
        <v>3824</v>
      </c>
    </row>
    <row r="71" spans="1:14">
      <c r="A71" s="1" t="s">
        <v>3961</v>
      </c>
      <c r="B71" s="1" t="s">
        <v>3962</v>
      </c>
      <c r="C71" s="1" t="s">
        <v>3830</v>
      </c>
      <c r="D71" s="1" t="s">
        <v>3814</v>
      </c>
      <c r="E71" s="1" t="s">
        <v>3815</v>
      </c>
      <c r="F71" s="1" t="s">
        <v>3816</v>
      </c>
      <c r="G71" s="1" t="s">
        <v>3817</v>
      </c>
      <c r="H71" s="1" t="s">
        <v>3818</v>
      </c>
      <c r="I71" s="1" t="s">
        <v>3819</v>
      </c>
      <c r="J71" s="1" t="s">
        <v>3820</v>
      </c>
      <c r="K71" s="1" t="s">
        <v>3821</v>
      </c>
      <c r="L71" s="1" t="s">
        <v>3822</v>
      </c>
      <c r="M71" s="1" t="s">
        <v>3823</v>
      </c>
      <c r="N71" s="1" t="s">
        <v>3824</v>
      </c>
    </row>
    <row r="72" spans="1:14">
      <c r="A72" s="1" t="s">
        <v>3963</v>
      </c>
      <c r="B72" s="1" t="s">
        <v>3964</v>
      </c>
      <c r="C72" s="1" t="s">
        <v>3940</v>
      </c>
      <c r="D72" s="1" t="s">
        <v>3814</v>
      </c>
      <c r="E72" s="1" t="s">
        <v>3815</v>
      </c>
      <c r="F72" s="1" t="s">
        <v>3816</v>
      </c>
      <c r="G72" s="1" t="s">
        <v>3817</v>
      </c>
      <c r="H72" s="1" t="s">
        <v>3818</v>
      </c>
      <c r="I72" s="1" t="s">
        <v>3819</v>
      </c>
      <c r="J72" s="1" t="s">
        <v>3820</v>
      </c>
      <c r="K72" s="1" t="s">
        <v>3821</v>
      </c>
      <c r="L72" s="1" t="s">
        <v>3822</v>
      </c>
      <c r="M72" s="1" t="s">
        <v>3823</v>
      </c>
      <c r="N72" s="1" t="s">
        <v>3824</v>
      </c>
    </row>
    <row r="73" spans="1:14">
      <c r="A73" s="1" t="s">
        <v>3965</v>
      </c>
      <c r="B73" s="1" t="s">
        <v>3966</v>
      </c>
      <c r="C73" s="1" t="s">
        <v>3940</v>
      </c>
      <c r="D73" s="1" t="s">
        <v>3814</v>
      </c>
      <c r="E73" s="1" t="s">
        <v>3815</v>
      </c>
      <c r="F73" s="1" t="s">
        <v>3816</v>
      </c>
      <c r="G73" s="1" t="s">
        <v>3817</v>
      </c>
      <c r="H73" s="1" t="s">
        <v>3818</v>
      </c>
      <c r="I73" s="1" t="s">
        <v>3819</v>
      </c>
      <c r="J73" s="1" t="s">
        <v>3820</v>
      </c>
      <c r="K73" s="1" t="s">
        <v>3821</v>
      </c>
      <c r="L73" s="1" t="s">
        <v>3822</v>
      </c>
      <c r="M73" s="1" t="s">
        <v>3823</v>
      </c>
      <c r="N73" s="1" t="s">
        <v>3824</v>
      </c>
    </row>
    <row r="74" spans="1:14">
      <c r="A74" s="1" t="s">
        <v>3967</v>
      </c>
      <c r="B74" s="1" t="s">
        <v>3968</v>
      </c>
      <c r="C74" s="1" t="s">
        <v>3940</v>
      </c>
      <c r="D74" s="1" t="s">
        <v>3814</v>
      </c>
      <c r="E74" s="1" t="s">
        <v>3815</v>
      </c>
      <c r="F74" s="1" t="s">
        <v>3816</v>
      </c>
      <c r="G74" s="1" t="s">
        <v>3817</v>
      </c>
      <c r="H74" s="1" t="s">
        <v>3818</v>
      </c>
      <c r="I74" s="1" t="s">
        <v>3819</v>
      </c>
      <c r="J74" s="1" t="s">
        <v>3820</v>
      </c>
      <c r="K74" s="1" t="s">
        <v>3821</v>
      </c>
      <c r="L74" s="1" t="s">
        <v>3822</v>
      </c>
      <c r="M74" s="1" t="s">
        <v>3823</v>
      </c>
      <c r="N74" s="1" t="s">
        <v>3824</v>
      </c>
    </row>
    <row r="75" spans="1:14">
      <c r="A75" s="1" t="s">
        <v>3969</v>
      </c>
      <c r="B75" s="1" t="s">
        <v>3970</v>
      </c>
      <c r="C75" s="1" t="s">
        <v>3940</v>
      </c>
      <c r="D75" s="1" t="s">
        <v>3814</v>
      </c>
      <c r="E75" s="1" t="s">
        <v>3815</v>
      </c>
      <c r="F75" s="1" t="s">
        <v>3816</v>
      </c>
      <c r="G75" s="1" t="s">
        <v>3817</v>
      </c>
      <c r="H75" s="1" t="s">
        <v>3818</v>
      </c>
      <c r="I75" s="1" t="s">
        <v>3819</v>
      </c>
      <c r="J75" s="1" t="s">
        <v>3820</v>
      </c>
      <c r="K75" s="1" t="s">
        <v>3821</v>
      </c>
      <c r="L75" s="1" t="s">
        <v>3822</v>
      </c>
      <c r="M75" s="1" t="s">
        <v>3823</v>
      </c>
      <c r="N75" s="1" t="s">
        <v>3824</v>
      </c>
    </row>
    <row r="76" spans="1:14">
      <c r="A76" s="1" t="s">
        <v>3971</v>
      </c>
      <c r="B76" s="1" t="s">
        <v>3972</v>
      </c>
      <c r="C76" s="1" t="s">
        <v>3940</v>
      </c>
      <c r="D76" s="1" t="s">
        <v>3814</v>
      </c>
      <c r="E76" s="1" t="s">
        <v>3815</v>
      </c>
      <c r="F76" s="1" t="s">
        <v>3816</v>
      </c>
      <c r="G76" s="1" t="s">
        <v>3817</v>
      </c>
      <c r="H76" s="1" t="s">
        <v>3818</v>
      </c>
      <c r="I76" s="1" t="s">
        <v>3819</v>
      </c>
      <c r="J76" s="1" t="s">
        <v>3820</v>
      </c>
      <c r="K76" s="1" t="s">
        <v>3821</v>
      </c>
      <c r="L76" s="1" t="s">
        <v>3822</v>
      </c>
      <c r="M76" s="1" t="s">
        <v>3823</v>
      </c>
      <c r="N76" s="1" t="s">
        <v>3824</v>
      </c>
    </row>
    <row r="77" spans="1:14">
      <c r="A77" s="1" t="s">
        <v>3973</v>
      </c>
      <c r="B77" s="1" t="s">
        <v>3974</v>
      </c>
      <c r="C77" s="1" t="s">
        <v>3940</v>
      </c>
      <c r="D77" s="1" t="s">
        <v>3814</v>
      </c>
      <c r="E77" s="1" t="s">
        <v>3815</v>
      </c>
      <c r="F77" s="1" t="s">
        <v>3816</v>
      </c>
      <c r="G77" s="1" t="s">
        <v>3817</v>
      </c>
      <c r="H77" s="1" t="s">
        <v>3818</v>
      </c>
      <c r="I77" s="1" t="s">
        <v>3819</v>
      </c>
      <c r="J77" s="1" t="s">
        <v>3820</v>
      </c>
      <c r="K77" s="1" t="s">
        <v>3821</v>
      </c>
      <c r="L77" s="1" t="s">
        <v>3822</v>
      </c>
      <c r="M77" s="1" t="s">
        <v>3823</v>
      </c>
      <c r="N77" s="1" t="s">
        <v>3824</v>
      </c>
    </row>
    <row r="78" spans="1:14">
      <c r="A78" s="1" t="s">
        <v>3975</v>
      </c>
      <c r="B78" s="1" t="s">
        <v>3976</v>
      </c>
      <c r="C78" s="1" t="s">
        <v>3940</v>
      </c>
      <c r="D78" s="1" t="s">
        <v>3814</v>
      </c>
      <c r="E78" s="1" t="s">
        <v>3815</v>
      </c>
      <c r="F78" s="1" t="s">
        <v>3816</v>
      </c>
      <c r="G78" s="1" t="s">
        <v>3817</v>
      </c>
      <c r="H78" s="1" t="s">
        <v>3818</v>
      </c>
      <c r="I78" s="1" t="s">
        <v>3819</v>
      </c>
      <c r="J78" s="1" t="s">
        <v>3820</v>
      </c>
      <c r="K78" s="1" t="s">
        <v>3821</v>
      </c>
      <c r="L78" s="1" t="s">
        <v>3822</v>
      </c>
      <c r="M78" s="1" t="s">
        <v>3823</v>
      </c>
      <c r="N78" s="1" t="s">
        <v>3824</v>
      </c>
    </row>
    <row r="79" spans="1:14">
      <c r="A79" s="1" t="s">
        <v>3977</v>
      </c>
      <c r="B79" s="1" t="s">
        <v>3978</v>
      </c>
      <c r="C79" s="1" t="s">
        <v>3940</v>
      </c>
      <c r="D79" s="1" t="s">
        <v>3814</v>
      </c>
      <c r="E79" s="1" t="s">
        <v>3815</v>
      </c>
      <c r="F79" s="1" t="s">
        <v>3816</v>
      </c>
      <c r="G79" s="1" t="s">
        <v>3817</v>
      </c>
      <c r="H79" s="1" t="s">
        <v>3818</v>
      </c>
      <c r="I79" s="1" t="s">
        <v>3819</v>
      </c>
      <c r="J79" s="1" t="s">
        <v>3820</v>
      </c>
      <c r="K79" s="1" t="s">
        <v>3821</v>
      </c>
      <c r="L79" s="1" t="s">
        <v>3822</v>
      </c>
      <c r="M79" s="1" t="s">
        <v>3823</v>
      </c>
      <c r="N79" s="1" t="s">
        <v>3824</v>
      </c>
    </row>
    <row r="80" spans="1:14">
      <c r="A80" s="1" t="s">
        <v>3979</v>
      </c>
      <c r="B80" s="1" t="s">
        <v>3980</v>
      </c>
      <c r="C80" s="1" t="s">
        <v>3940</v>
      </c>
      <c r="D80" s="1" t="s">
        <v>3814</v>
      </c>
      <c r="E80" s="1" t="s">
        <v>3815</v>
      </c>
      <c r="F80" s="1" t="s">
        <v>3816</v>
      </c>
      <c r="G80" s="1" t="s">
        <v>3817</v>
      </c>
      <c r="H80" s="1" t="s">
        <v>3818</v>
      </c>
      <c r="I80" s="1" t="s">
        <v>3819</v>
      </c>
      <c r="J80" s="1" t="s">
        <v>3820</v>
      </c>
      <c r="K80" s="1" t="s">
        <v>3821</v>
      </c>
      <c r="L80" s="1" t="s">
        <v>3822</v>
      </c>
      <c r="M80" s="1" t="s">
        <v>3823</v>
      </c>
      <c r="N80" s="1" t="s">
        <v>3824</v>
      </c>
    </row>
    <row r="81" spans="1:14">
      <c r="A81" s="1" t="s">
        <v>3981</v>
      </c>
      <c r="B81" s="1" t="s">
        <v>3982</v>
      </c>
      <c r="C81" s="1" t="s">
        <v>3940</v>
      </c>
      <c r="D81" s="1" t="s">
        <v>3814</v>
      </c>
      <c r="E81" s="1" t="s">
        <v>3815</v>
      </c>
      <c r="F81" s="1" t="s">
        <v>3816</v>
      </c>
      <c r="G81" s="1" t="s">
        <v>3817</v>
      </c>
      <c r="H81" s="1" t="s">
        <v>3818</v>
      </c>
      <c r="I81" s="1" t="s">
        <v>3819</v>
      </c>
      <c r="J81" s="1" t="s">
        <v>3820</v>
      </c>
      <c r="K81" s="1" t="s">
        <v>3821</v>
      </c>
      <c r="L81" s="1" t="s">
        <v>3822</v>
      </c>
      <c r="M81" s="1" t="s">
        <v>3823</v>
      </c>
      <c r="N81" s="1" t="s">
        <v>3824</v>
      </c>
    </row>
    <row r="82" spans="1:14">
      <c r="A82" s="1" t="s">
        <v>3983</v>
      </c>
      <c r="B82" s="1" t="s">
        <v>3984</v>
      </c>
      <c r="C82" s="1" t="s">
        <v>3940</v>
      </c>
      <c r="D82" s="1" t="s">
        <v>3814</v>
      </c>
      <c r="E82" s="1" t="s">
        <v>3815</v>
      </c>
      <c r="F82" s="1" t="s">
        <v>3816</v>
      </c>
      <c r="G82" s="1" t="s">
        <v>3817</v>
      </c>
      <c r="H82" s="1" t="s">
        <v>3818</v>
      </c>
      <c r="I82" s="1" t="s">
        <v>3819</v>
      </c>
      <c r="J82" s="1" t="s">
        <v>3820</v>
      </c>
      <c r="K82" s="1" t="s">
        <v>3821</v>
      </c>
      <c r="L82" s="1" t="s">
        <v>3822</v>
      </c>
      <c r="M82" s="1" t="s">
        <v>3823</v>
      </c>
      <c r="N82" s="1" t="s">
        <v>3824</v>
      </c>
    </row>
    <row r="83" spans="1:14">
      <c r="A83" s="1" t="s">
        <v>3985</v>
      </c>
      <c r="B83" s="1" t="s">
        <v>3986</v>
      </c>
      <c r="C83" s="1" t="s">
        <v>3940</v>
      </c>
      <c r="D83" s="1" t="s">
        <v>3814</v>
      </c>
      <c r="E83" s="1" t="s">
        <v>3815</v>
      </c>
      <c r="F83" s="1" t="s">
        <v>3816</v>
      </c>
      <c r="G83" s="1" t="s">
        <v>3817</v>
      </c>
      <c r="H83" s="1" t="s">
        <v>3818</v>
      </c>
      <c r="I83" s="1" t="s">
        <v>3819</v>
      </c>
      <c r="J83" s="1" t="s">
        <v>3820</v>
      </c>
      <c r="K83" s="1" t="s">
        <v>3821</v>
      </c>
      <c r="L83" s="1" t="s">
        <v>3822</v>
      </c>
      <c r="M83" s="1" t="s">
        <v>3823</v>
      </c>
      <c r="N83" s="1" t="s">
        <v>3824</v>
      </c>
    </row>
    <row r="84" spans="1:14">
      <c r="A84" s="1" t="s">
        <v>3987</v>
      </c>
      <c r="B84" s="1" t="s">
        <v>3988</v>
      </c>
      <c r="C84" s="1" t="s">
        <v>3940</v>
      </c>
      <c r="D84" s="1" t="s">
        <v>3814</v>
      </c>
      <c r="E84" s="1" t="s">
        <v>3815</v>
      </c>
      <c r="F84" s="1" t="s">
        <v>3816</v>
      </c>
      <c r="G84" s="1" t="s">
        <v>3817</v>
      </c>
      <c r="H84" s="1" t="s">
        <v>3818</v>
      </c>
      <c r="I84" s="1" t="s">
        <v>3819</v>
      </c>
      <c r="J84" s="1" t="s">
        <v>3820</v>
      </c>
      <c r="K84" s="1" t="s">
        <v>3821</v>
      </c>
      <c r="L84" s="1" t="s">
        <v>3822</v>
      </c>
      <c r="M84" s="1" t="s">
        <v>3823</v>
      </c>
      <c r="N84" s="1" t="s">
        <v>3824</v>
      </c>
    </row>
    <row r="85" spans="1:14">
      <c r="A85" s="1" t="s">
        <v>3989</v>
      </c>
      <c r="B85" s="1" t="s">
        <v>3990</v>
      </c>
      <c r="C85" s="1" t="s">
        <v>3940</v>
      </c>
      <c r="D85" s="1" t="s">
        <v>3814</v>
      </c>
      <c r="E85" s="1" t="s">
        <v>3815</v>
      </c>
      <c r="F85" s="1" t="s">
        <v>3816</v>
      </c>
      <c r="G85" s="1" t="s">
        <v>3817</v>
      </c>
      <c r="H85" s="1" t="s">
        <v>3818</v>
      </c>
      <c r="I85" s="1" t="s">
        <v>3819</v>
      </c>
      <c r="J85" s="1" t="s">
        <v>3820</v>
      </c>
      <c r="K85" s="1" t="s">
        <v>3821</v>
      </c>
      <c r="L85" s="1" t="s">
        <v>3822</v>
      </c>
      <c r="M85" s="1" t="s">
        <v>3823</v>
      </c>
      <c r="N85" s="1" t="s">
        <v>3824</v>
      </c>
    </row>
    <row r="86" spans="1:14">
      <c r="A86" s="1" t="s">
        <v>3991</v>
      </c>
      <c r="B86" s="1" t="s">
        <v>3992</v>
      </c>
      <c r="C86" s="1" t="s">
        <v>3940</v>
      </c>
      <c r="D86" s="1" t="s">
        <v>3814</v>
      </c>
      <c r="E86" s="1" t="s">
        <v>3815</v>
      </c>
      <c r="F86" s="1" t="s">
        <v>3816</v>
      </c>
      <c r="G86" s="1" t="s">
        <v>3817</v>
      </c>
      <c r="H86" s="1" t="s">
        <v>3818</v>
      </c>
      <c r="I86" s="1" t="s">
        <v>3819</v>
      </c>
      <c r="J86" s="1" t="s">
        <v>3820</v>
      </c>
      <c r="K86" s="1" t="s">
        <v>3821</v>
      </c>
      <c r="L86" s="1" t="s">
        <v>3822</v>
      </c>
      <c r="M86" s="1" t="s">
        <v>3823</v>
      </c>
      <c r="N86" s="1" t="s">
        <v>3824</v>
      </c>
    </row>
    <row r="87" spans="1:14">
      <c r="A87" s="1" t="s">
        <v>3993</v>
      </c>
      <c r="B87" s="1" t="s">
        <v>3994</v>
      </c>
      <c r="C87" s="1" t="s">
        <v>3940</v>
      </c>
      <c r="D87" s="1" t="s">
        <v>3814</v>
      </c>
      <c r="E87" s="1" t="s">
        <v>3815</v>
      </c>
      <c r="F87" s="1" t="s">
        <v>3816</v>
      </c>
      <c r="G87" s="1" t="s">
        <v>3817</v>
      </c>
      <c r="H87" s="1" t="s">
        <v>3818</v>
      </c>
      <c r="I87" s="1" t="s">
        <v>3819</v>
      </c>
      <c r="J87" s="1" t="s">
        <v>3820</v>
      </c>
      <c r="K87" s="1" t="s">
        <v>3821</v>
      </c>
      <c r="L87" s="1" t="s">
        <v>3822</v>
      </c>
      <c r="M87" s="1" t="s">
        <v>3823</v>
      </c>
      <c r="N87" s="1" t="s">
        <v>3824</v>
      </c>
    </row>
    <row r="88" spans="1:14">
      <c r="A88" s="1" t="s">
        <v>3995</v>
      </c>
      <c r="B88" s="1" t="s">
        <v>3996</v>
      </c>
      <c r="C88" s="1" t="s">
        <v>3830</v>
      </c>
      <c r="D88" s="1" t="s">
        <v>3814</v>
      </c>
      <c r="E88" s="1" t="s">
        <v>3815</v>
      </c>
      <c r="F88" s="1" t="s">
        <v>3816</v>
      </c>
      <c r="G88" s="1" t="s">
        <v>3817</v>
      </c>
      <c r="H88" s="1" t="s">
        <v>3818</v>
      </c>
      <c r="I88" s="1" t="s">
        <v>3819</v>
      </c>
      <c r="J88" s="1" t="s">
        <v>3820</v>
      </c>
      <c r="K88" s="1" t="s">
        <v>3821</v>
      </c>
      <c r="L88" s="1" t="s">
        <v>3822</v>
      </c>
      <c r="M88" s="1" t="s">
        <v>3823</v>
      </c>
      <c r="N88" s="1" t="s">
        <v>3824</v>
      </c>
    </row>
    <row r="89" spans="1:14">
      <c r="A89" s="1" t="s">
        <v>3997</v>
      </c>
      <c r="B89" s="1" t="s">
        <v>3998</v>
      </c>
      <c r="C89" s="1" t="s">
        <v>3940</v>
      </c>
      <c r="D89" s="1" t="s">
        <v>3814</v>
      </c>
      <c r="E89" s="1" t="s">
        <v>3815</v>
      </c>
      <c r="F89" s="1" t="s">
        <v>3816</v>
      </c>
      <c r="G89" s="1" t="s">
        <v>3817</v>
      </c>
      <c r="H89" s="1" t="s">
        <v>3818</v>
      </c>
      <c r="I89" s="1" t="s">
        <v>3819</v>
      </c>
      <c r="J89" s="1" t="s">
        <v>3820</v>
      </c>
      <c r="K89" s="1" t="s">
        <v>3821</v>
      </c>
      <c r="L89" s="1" t="s">
        <v>3822</v>
      </c>
      <c r="M89" s="1" t="s">
        <v>3823</v>
      </c>
      <c r="N89" s="1" t="s">
        <v>3824</v>
      </c>
    </row>
    <row r="90" spans="1:14">
      <c r="A90" s="1" t="s">
        <v>3999</v>
      </c>
      <c r="B90" s="1" t="s">
        <v>4000</v>
      </c>
      <c r="C90" s="1" t="s">
        <v>3940</v>
      </c>
      <c r="D90" s="1" t="s">
        <v>3814</v>
      </c>
      <c r="E90" s="1" t="s">
        <v>3815</v>
      </c>
      <c r="F90" s="1" t="s">
        <v>3816</v>
      </c>
      <c r="G90" s="1" t="s">
        <v>3817</v>
      </c>
      <c r="H90" s="1" t="s">
        <v>3818</v>
      </c>
      <c r="I90" s="1" t="s">
        <v>3819</v>
      </c>
      <c r="J90" s="1" t="s">
        <v>3820</v>
      </c>
      <c r="K90" s="1" t="s">
        <v>3821</v>
      </c>
      <c r="L90" s="1" t="s">
        <v>3822</v>
      </c>
      <c r="M90" s="1" t="s">
        <v>3823</v>
      </c>
      <c r="N90" s="1" t="s">
        <v>3824</v>
      </c>
    </row>
    <row r="91" spans="1:14">
      <c r="A91" s="1" t="s">
        <v>4001</v>
      </c>
      <c r="B91" s="1" t="s">
        <v>4002</v>
      </c>
      <c r="C91" s="1" t="s">
        <v>3830</v>
      </c>
      <c r="D91" s="1" t="s">
        <v>3814</v>
      </c>
      <c r="E91" s="1" t="s">
        <v>3815</v>
      </c>
      <c r="F91" s="1" t="s">
        <v>3816</v>
      </c>
      <c r="G91" s="1" t="s">
        <v>3817</v>
      </c>
      <c r="H91" s="1" t="s">
        <v>3818</v>
      </c>
      <c r="I91" s="1" t="s">
        <v>3819</v>
      </c>
      <c r="J91" s="1" t="s">
        <v>3820</v>
      </c>
      <c r="K91" s="1" t="s">
        <v>3821</v>
      </c>
      <c r="L91" s="1" t="s">
        <v>3822</v>
      </c>
      <c r="M91" s="1" t="s">
        <v>3823</v>
      </c>
      <c r="N91" s="1" t="s">
        <v>3824</v>
      </c>
    </row>
    <row r="92" spans="1:14">
      <c r="A92" s="1" t="s">
        <v>4003</v>
      </c>
      <c r="B92" s="1" t="s">
        <v>4004</v>
      </c>
      <c r="C92" s="1" t="s">
        <v>3940</v>
      </c>
      <c r="D92" s="1" t="s">
        <v>3814</v>
      </c>
      <c r="E92" s="1" t="s">
        <v>3815</v>
      </c>
      <c r="F92" s="1" t="s">
        <v>3816</v>
      </c>
      <c r="G92" s="1" t="s">
        <v>3817</v>
      </c>
      <c r="H92" s="1" t="s">
        <v>3818</v>
      </c>
      <c r="I92" s="1" t="s">
        <v>3819</v>
      </c>
      <c r="J92" s="1" t="s">
        <v>3820</v>
      </c>
      <c r="K92" s="1" t="s">
        <v>3821</v>
      </c>
      <c r="L92" s="1" t="s">
        <v>3822</v>
      </c>
      <c r="M92" s="1" t="s">
        <v>3823</v>
      </c>
      <c r="N92" s="1" t="s">
        <v>3824</v>
      </c>
    </row>
    <row r="93" spans="1:14">
      <c r="A93" s="1" t="s">
        <v>4005</v>
      </c>
      <c r="B93" s="1" t="s">
        <v>4006</v>
      </c>
      <c r="C93" s="1" t="s">
        <v>3940</v>
      </c>
      <c r="D93" s="1" t="s">
        <v>3814</v>
      </c>
      <c r="E93" s="1" t="s">
        <v>3815</v>
      </c>
      <c r="F93" s="1" t="s">
        <v>3816</v>
      </c>
      <c r="G93" s="1" t="s">
        <v>3817</v>
      </c>
      <c r="H93" s="1" t="s">
        <v>3818</v>
      </c>
      <c r="I93" s="1" t="s">
        <v>3819</v>
      </c>
      <c r="J93" s="1" t="s">
        <v>3820</v>
      </c>
      <c r="K93" s="1" t="s">
        <v>3821</v>
      </c>
      <c r="L93" s="1" t="s">
        <v>3822</v>
      </c>
      <c r="M93" s="1" t="s">
        <v>3823</v>
      </c>
      <c r="N93" s="1" t="s">
        <v>3824</v>
      </c>
    </row>
    <row r="94" spans="1:14">
      <c r="A94" s="1" t="s">
        <v>4007</v>
      </c>
      <c r="B94" s="1" t="s">
        <v>4008</v>
      </c>
      <c r="C94" s="1" t="s">
        <v>3940</v>
      </c>
      <c r="D94" s="1" t="s">
        <v>3814</v>
      </c>
      <c r="E94" s="1" t="s">
        <v>3815</v>
      </c>
      <c r="F94" s="1" t="s">
        <v>3816</v>
      </c>
      <c r="G94" s="1" t="s">
        <v>3817</v>
      </c>
      <c r="H94" s="1" t="s">
        <v>3818</v>
      </c>
      <c r="I94" s="1" t="s">
        <v>3819</v>
      </c>
      <c r="J94" s="1" t="s">
        <v>3820</v>
      </c>
      <c r="K94" s="1" t="s">
        <v>3821</v>
      </c>
      <c r="L94" s="1" t="s">
        <v>3822</v>
      </c>
      <c r="M94" s="1" t="s">
        <v>3823</v>
      </c>
      <c r="N94" s="1" t="s">
        <v>3824</v>
      </c>
    </row>
    <row r="95" spans="1:14">
      <c r="A95" s="1" t="s">
        <v>4009</v>
      </c>
      <c r="B95" s="1" t="s">
        <v>4010</v>
      </c>
      <c r="C95" s="1" t="s">
        <v>3940</v>
      </c>
      <c r="D95" s="1" t="s">
        <v>3814</v>
      </c>
      <c r="E95" s="1" t="s">
        <v>3815</v>
      </c>
      <c r="F95" s="1" t="s">
        <v>3816</v>
      </c>
      <c r="G95" s="1" t="s">
        <v>3817</v>
      </c>
      <c r="H95" s="1" t="s">
        <v>3818</v>
      </c>
      <c r="I95" s="1" t="s">
        <v>3819</v>
      </c>
      <c r="J95" s="1" t="s">
        <v>3820</v>
      </c>
      <c r="K95" s="1" t="s">
        <v>3821</v>
      </c>
      <c r="L95" s="1" t="s">
        <v>3822</v>
      </c>
      <c r="M95" s="1" t="s">
        <v>3823</v>
      </c>
      <c r="N95" s="1" t="s">
        <v>3824</v>
      </c>
    </row>
    <row r="96" spans="1:14">
      <c r="A96" s="1" t="s">
        <v>4011</v>
      </c>
      <c r="B96" s="1" t="s">
        <v>4012</v>
      </c>
      <c r="C96" s="1" t="s">
        <v>3940</v>
      </c>
      <c r="D96" s="1" t="s">
        <v>3814</v>
      </c>
      <c r="E96" s="1" t="s">
        <v>3815</v>
      </c>
      <c r="F96" s="1" t="s">
        <v>3816</v>
      </c>
      <c r="G96" s="1" t="s">
        <v>3817</v>
      </c>
      <c r="H96" s="1" t="s">
        <v>3818</v>
      </c>
      <c r="I96" s="1" t="s">
        <v>3819</v>
      </c>
      <c r="J96" s="1" t="s">
        <v>3820</v>
      </c>
      <c r="K96" s="1" t="s">
        <v>3821</v>
      </c>
      <c r="L96" s="1" t="s">
        <v>3822</v>
      </c>
      <c r="M96" s="1" t="s">
        <v>3823</v>
      </c>
      <c r="N96" s="1" t="s">
        <v>3824</v>
      </c>
    </row>
    <row r="97" spans="1:14">
      <c r="A97" s="1" t="s">
        <v>4013</v>
      </c>
      <c r="B97" s="1" t="s">
        <v>4014</v>
      </c>
      <c r="C97" s="1" t="s">
        <v>3940</v>
      </c>
      <c r="D97" s="1" t="s">
        <v>3814</v>
      </c>
      <c r="E97" s="1" t="s">
        <v>3815</v>
      </c>
      <c r="F97" s="1" t="s">
        <v>3816</v>
      </c>
      <c r="G97" s="1" t="s">
        <v>3817</v>
      </c>
      <c r="H97" s="1" t="s">
        <v>3818</v>
      </c>
      <c r="I97" s="1" t="s">
        <v>3819</v>
      </c>
      <c r="J97" s="1" t="s">
        <v>3820</v>
      </c>
      <c r="K97" s="1" t="s">
        <v>3821</v>
      </c>
      <c r="L97" s="1" t="s">
        <v>3822</v>
      </c>
      <c r="M97" s="1" t="s">
        <v>3823</v>
      </c>
      <c r="N97" s="1" t="s">
        <v>3824</v>
      </c>
    </row>
    <row r="98" spans="1:14">
      <c r="A98" s="1" t="s">
        <v>4015</v>
      </c>
      <c r="B98" s="1" t="s">
        <v>4016</v>
      </c>
      <c r="C98" s="1" t="s">
        <v>3893</v>
      </c>
      <c r="D98" s="1" t="s">
        <v>3814</v>
      </c>
      <c r="E98" s="1" t="s">
        <v>3815</v>
      </c>
      <c r="F98" s="1" t="s">
        <v>3816</v>
      </c>
      <c r="G98" s="1" t="s">
        <v>3817</v>
      </c>
      <c r="H98" s="1" t="s">
        <v>3818</v>
      </c>
      <c r="I98" s="1" t="s">
        <v>3819</v>
      </c>
      <c r="J98" s="1" t="s">
        <v>3820</v>
      </c>
      <c r="K98" s="1" t="s">
        <v>3821</v>
      </c>
      <c r="L98" s="1" t="s">
        <v>3822</v>
      </c>
      <c r="M98" s="1" t="s">
        <v>3823</v>
      </c>
      <c r="N98" s="1" t="s">
        <v>3824</v>
      </c>
    </row>
    <row r="99" spans="1:14">
      <c r="A99" s="1" t="s">
        <v>4017</v>
      </c>
      <c r="B99" s="1" t="s">
        <v>4018</v>
      </c>
      <c r="C99" s="1" t="s">
        <v>3893</v>
      </c>
      <c r="D99" s="1" t="s">
        <v>3814</v>
      </c>
      <c r="E99" s="1" t="s">
        <v>3815</v>
      </c>
      <c r="F99" s="1" t="s">
        <v>3816</v>
      </c>
      <c r="G99" s="1" t="s">
        <v>3817</v>
      </c>
      <c r="H99" s="1" t="s">
        <v>3818</v>
      </c>
      <c r="I99" s="1" t="s">
        <v>3819</v>
      </c>
      <c r="J99" s="1" t="s">
        <v>3820</v>
      </c>
      <c r="K99" s="1" t="s">
        <v>3821</v>
      </c>
      <c r="L99" s="1" t="s">
        <v>3822</v>
      </c>
      <c r="M99" s="1" t="s">
        <v>3823</v>
      </c>
      <c r="N99" s="1" t="s">
        <v>3824</v>
      </c>
    </row>
    <row r="100" spans="1:14">
      <c r="A100" s="1" t="s">
        <v>4019</v>
      </c>
      <c r="B100" s="1" t="s">
        <v>4020</v>
      </c>
      <c r="C100" s="1" t="s">
        <v>3893</v>
      </c>
      <c r="D100" s="1" t="s">
        <v>3814</v>
      </c>
      <c r="E100" s="1" t="s">
        <v>3815</v>
      </c>
      <c r="F100" s="1" t="s">
        <v>3816</v>
      </c>
      <c r="G100" s="1" t="s">
        <v>3817</v>
      </c>
      <c r="H100" s="1" t="s">
        <v>3818</v>
      </c>
      <c r="I100" s="1" t="s">
        <v>3819</v>
      </c>
      <c r="J100" s="1" t="s">
        <v>3820</v>
      </c>
      <c r="K100" s="1" t="s">
        <v>3821</v>
      </c>
      <c r="L100" s="1" t="s">
        <v>3822</v>
      </c>
      <c r="M100" s="1" t="s">
        <v>3823</v>
      </c>
      <c r="N100" s="1" t="s">
        <v>3824</v>
      </c>
    </row>
    <row r="101" spans="1:14">
      <c r="A101" s="1" t="s">
        <v>4021</v>
      </c>
      <c r="B101" s="1" t="s">
        <v>4022</v>
      </c>
      <c r="C101" s="1" t="s">
        <v>3893</v>
      </c>
      <c r="D101" s="1" t="s">
        <v>3814</v>
      </c>
      <c r="E101" s="1" t="s">
        <v>3815</v>
      </c>
      <c r="F101" s="1" t="s">
        <v>3816</v>
      </c>
      <c r="G101" s="1" t="s">
        <v>3817</v>
      </c>
      <c r="H101" s="1" t="s">
        <v>3818</v>
      </c>
      <c r="I101" s="1" t="s">
        <v>3819</v>
      </c>
      <c r="J101" s="1" t="s">
        <v>3820</v>
      </c>
      <c r="K101" s="1" t="s">
        <v>3821</v>
      </c>
      <c r="L101" s="1" t="s">
        <v>3822</v>
      </c>
      <c r="M101" s="1" t="s">
        <v>3823</v>
      </c>
      <c r="N101" s="1" t="s">
        <v>3824</v>
      </c>
    </row>
    <row r="102" spans="1:14">
      <c r="A102" s="1" t="s">
        <v>4023</v>
      </c>
      <c r="B102" s="1" t="s">
        <v>4024</v>
      </c>
      <c r="C102" s="1" t="s">
        <v>3893</v>
      </c>
      <c r="D102" s="1" t="s">
        <v>3814</v>
      </c>
      <c r="E102" s="1" t="s">
        <v>3815</v>
      </c>
      <c r="F102" s="1" t="s">
        <v>3816</v>
      </c>
      <c r="G102" s="1" t="s">
        <v>3817</v>
      </c>
      <c r="H102" s="1" t="s">
        <v>3818</v>
      </c>
      <c r="I102" s="1" t="s">
        <v>3819</v>
      </c>
      <c r="J102" s="1" t="s">
        <v>3820</v>
      </c>
      <c r="K102" s="1" t="s">
        <v>3821</v>
      </c>
      <c r="L102" s="1" t="s">
        <v>3822</v>
      </c>
      <c r="M102" s="1" t="s">
        <v>3823</v>
      </c>
      <c r="N102" s="1" t="s">
        <v>3824</v>
      </c>
    </row>
    <row r="103" spans="1:14">
      <c r="A103" s="1" t="s">
        <v>4025</v>
      </c>
      <c r="B103" s="1" t="s">
        <v>4026</v>
      </c>
      <c r="C103" s="1" t="s">
        <v>3893</v>
      </c>
      <c r="D103" s="1" t="s">
        <v>3814</v>
      </c>
      <c r="E103" s="1" t="s">
        <v>3815</v>
      </c>
      <c r="F103" s="1" t="s">
        <v>3816</v>
      </c>
      <c r="G103" s="1" t="s">
        <v>3817</v>
      </c>
      <c r="H103" s="1" t="s">
        <v>3818</v>
      </c>
      <c r="I103" s="1" t="s">
        <v>3819</v>
      </c>
      <c r="J103" s="1" t="s">
        <v>3820</v>
      </c>
      <c r="K103" s="1" t="s">
        <v>3821</v>
      </c>
      <c r="L103" s="1" t="s">
        <v>3822</v>
      </c>
      <c r="M103" s="1" t="s">
        <v>3823</v>
      </c>
      <c r="N103" s="1" t="s">
        <v>3824</v>
      </c>
    </row>
    <row r="104" spans="1:14">
      <c r="A104" s="1" t="s">
        <v>4027</v>
      </c>
      <c r="B104" s="1" t="s">
        <v>4028</v>
      </c>
      <c r="C104" s="1" t="s">
        <v>3893</v>
      </c>
      <c r="D104" s="1" t="s">
        <v>3814</v>
      </c>
      <c r="E104" s="1" t="s">
        <v>3815</v>
      </c>
      <c r="F104" s="1" t="s">
        <v>3816</v>
      </c>
      <c r="G104" s="1" t="s">
        <v>3817</v>
      </c>
      <c r="H104" s="1" t="s">
        <v>3818</v>
      </c>
      <c r="I104" s="1" t="s">
        <v>3819</v>
      </c>
      <c r="J104" s="1" t="s">
        <v>3820</v>
      </c>
      <c r="K104" s="1" t="s">
        <v>3821</v>
      </c>
      <c r="L104" s="1" t="s">
        <v>3822</v>
      </c>
      <c r="M104" s="1" t="s">
        <v>3823</v>
      </c>
      <c r="N104" s="1" t="s">
        <v>3824</v>
      </c>
    </row>
    <row r="105" spans="1:14">
      <c r="A105" s="1" t="s">
        <v>4029</v>
      </c>
      <c r="B105" s="1" t="s">
        <v>4030</v>
      </c>
      <c r="C105" s="1" t="s">
        <v>3893</v>
      </c>
      <c r="D105" s="1" t="s">
        <v>3814</v>
      </c>
      <c r="E105" s="1" t="s">
        <v>3815</v>
      </c>
      <c r="F105" s="1" t="s">
        <v>3816</v>
      </c>
      <c r="G105" s="1" t="s">
        <v>3817</v>
      </c>
      <c r="H105" s="1" t="s">
        <v>3818</v>
      </c>
      <c r="I105" s="1" t="s">
        <v>3819</v>
      </c>
      <c r="J105" s="1" t="s">
        <v>3820</v>
      </c>
      <c r="K105" s="1" t="s">
        <v>3821</v>
      </c>
      <c r="L105" s="1" t="s">
        <v>3822</v>
      </c>
      <c r="M105" s="1" t="s">
        <v>3823</v>
      </c>
      <c r="N105" s="1" t="s">
        <v>3824</v>
      </c>
    </row>
    <row r="106" spans="1:14">
      <c r="A106" s="1" t="s">
        <v>4031</v>
      </c>
      <c r="B106" s="1" t="s">
        <v>4032</v>
      </c>
      <c r="C106" s="1" t="s">
        <v>3893</v>
      </c>
      <c r="D106" s="1" t="s">
        <v>3814</v>
      </c>
      <c r="E106" s="1" t="s">
        <v>3815</v>
      </c>
      <c r="F106" s="1" t="s">
        <v>3816</v>
      </c>
      <c r="G106" s="1" t="s">
        <v>3817</v>
      </c>
      <c r="H106" s="1" t="s">
        <v>3818</v>
      </c>
      <c r="I106" s="1" t="s">
        <v>3819</v>
      </c>
      <c r="J106" s="1" t="s">
        <v>3820</v>
      </c>
      <c r="K106" s="1" t="s">
        <v>3821</v>
      </c>
      <c r="L106" s="1" t="s">
        <v>3822</v>
      </c>
      <c r="M106" s="1" t="s">
        <v>3823</v>
      </c>
      <c r="N106" s="1" t="s">
        <v>3824</v>
      </c>
    </row>
    <row r="107" spans="1:14">
      <c r="A107" s="1" t="s">
        <v>4033</v>
      </c>
      <c r="B107" s="1" t="s">
        <v>4034</v>
      </c>
      <c r="C107" s="1" t="s">
        <v>3893</v>
      </c>
      <c r="D107" s="1" t="s">
        <v>3814</v>
      </c>
      <c r="E107" s="1" t="s">
        <v>3815</v>
      </c>
      <c r="F107" s="1" t="s">
        <v>3816</v>
      </c>
      <c r="G107" s="1" t="s">
        <v>3817</v>
      </c>
      <c r="H107" s="1" t="s">
        <v>3818</v>
      </c>
      <c r="I107" s="1" t="s">
        <v>3819</v>
      </c>
      <c r="J107" s="1" t="s">
        <v>3820</v>
      </c>
      <c r="K107" s="1" t="s">
        <v>3821</v>
      </c>
      <c r="L107" s="1" t="s">
        <v>3822</v>
      </c>
      <c r="M107" s="1" t="s">
        <v>3823</v>
      </c>
      <c r="N107" s="1" t="s">
        <v>3824</v>
      </c>
    </row>
    <row r="108" spans="1:14">
      <c r="A108" s="1" t="s">
        <v>4035</v>
      </c>
      <c r="B108" s="1" t="s">
        <v>4036</v>
      </c>
      <c r="C108" s="1" t="s">
        <v>3893</v>
      </c>
      <c r="D108" s="1" t="s">
        <v>3814</v>
      </c>
      <c r="E108" s="1" t="s">
        <v>3815</v>
      </c>
      <c r="F108" s="1" t="s">
        <v>3816</v>
      </c>
      <c r="G108" s="1" t="s">
        <v>3817</v>
      </c>
      <c r="H108" s="1" t="s">
        <v>3818</v>
      </c>
      <c r="I108" s="1" t="s">
        <v>3819</v>
      </c>
      <c r="J108" s="1" t="s">
        <v>3820</v>
      </c>
      <c r="K108" s="1" t="s">
        <v>3821</v>
      </c>
      <c r="L108" s="1" t="s">
        <v>3822</v>
      </c>
      <c r="M108" s="1" t="s">
        <v>3823</v>
      </c>
      <c r="N108" s="1" t="s">
        <v>3824</v>
      </c>
    </row>
    <row r="109" spans="1:14">
      <c r="A109" s="1" t="s">
        <v>4037</v>
      </c>
      <c r="B109" s="1" t="s">
        <v>4038</v>
      </c>
      <c r="C109" s="1" t="s">
        <v>3893</v>
      </c>
      <c r="D109" s="1" t="s">
        <v>3814</v>
      </c>
      <c r="E109" s="1" t="s">
        <v>3815</v>
      </c>
      <c r="F109" s="1" t="s">
        <v>3816</v>
      </c>
      <c r="G109" s="1" t="s">
        <v>3817</v>
      </c>
      <c r="H109" s="1" t="s">
        <v>3818</v>
      </c>
      <c r="I109" s="1" t="s">
        <v>3819</v>
      </c>
      <c r="J109" s="1" t="s">
        <v>3820</v>
      </c>
      <c r="K109" s="1" t="s">
        <v>3821</v>
      </c>
      <c r="L109" s="1" t="s">
        <v>3822</v>
      </c>
      <c r="M109" s="1" t="s">
        <v>3823</v>
      </c>
      <c r="N109" s="1" t="s">
        <v>3824</v>
      </c>
    </row>
    <row r="110" spans="1:14">
      <c r="A110" s="1" t="s">
        <v>4039</v>
      </c>
      <c r="B110" s="1" t="s">
        <v>4040</v>
      </c>
      <c r="C110" s="1" t="s">
        <v>3857</v>
      </c>
      <c r="D110" s="1" t="s">
        <v>3814</v>
      </c>
      <c r="E110" s="1" t="s">
        <v>3815</v>
      </c>
      <c r="F110" s="1" t="s">
        <v>3816</v>
      </c>
      <c r="G110" s="1" t="s">
        <v>3817</v>
      </c>
      <c r="H110" s="1" t="s">
        <v>3818</v>
      </c>
      <c r="I110" s="1" t="s">
        <v>3819</v>
      </c>
      <c r="J110" s="1" t="s">
        <v>3820</v>
      </c>
      <c r="K110" s="1" t="s">
        <v>3821</v>
      </c>
      <c r="L110" s="1" t="s">
        <v>3822</v>
      </c>
      <c r="M110" s="1" t="s">
        <v>3823</v>
      </c>
      <c r="N110" s="1" t="s">
        <v>3824</v>
      </c>
    </row>
    <row r="111" spans="1:14">
      <c r="A111" s="1" t="s">
        <v>4041</v>
      </c>
      <c r="B111" s="1" t="s">
        <v>4042</v>
      </c>
      <c r="C111" s="1" t="s">
        <v>3857</v>
      </c>
      <c r="D111" s="1" t="s">
        <v>3814</v>
      </c>
      <c r="E111" s="1" t="s">
        <v>3815</v>
      </c>
      <c r="F111" s="1" t="s">
        <v>3816</v>
      </c>
      <c r="G111" s="1" t="s">
        <v>3817</v>
      </c>
      <c r="H111" s="1" t="s">
        <v>3818</v>
      </c>
      <c r="I111" s="1" t="s">
        <v>3819</v>
      </c>
      <c r="J111" s="1" t="s">
        <v>3820</v>
      </c>
      <c r="K111" s="1" t="s">
        <v>3821</v>
      </c>
      <c r="L111" s="1" t="s">
        <v>3822</v>
      </c>
      <c r="M111" s="1" t="s">
        <v>3823</v>
      </c>
      <c r="N111" s="1" t="s">
        <v>3824</v>
      </c>
    </row>
    <row r="112" spans="1:14">
      <c r="A112" s="1" t="s">
        <v>4043</v>
      </c>
      <c r="B112" s="1" t="s">
        <v>4044</v>
      </c>
      <c r="C112" s="1" t="s">
        <v>3857</v>
      </c>
      <c r="D112" s="1" t="s">
        <v>3814</v>
      </c>
      <c r="E112" s="1" t="s">
        <v>3815</v>
      </c>
      <c r="F112" s="1" t="s">
        <v>3816</v>
      </c>
      <c r="G112" s="1" t="s">
        <v>3817</v>
      </c>
      <c r="H112" s="1" t="s">
        <v>3818</v>
      </c>
      <c r="I112" s="1" t="s">
        <v>3819</v>
      </c>
      <c r="J112" s="1" t="s">
        <v>3820</v>
      </c>
      <c r="K112" s="1" t="s">
        <v>3821</v>
      </c>
      <c r="L112" s="1" t="s">
        <v>3822</v>
      </c>
      <c r="M112" s="1" t="s">
        <v>3823</v>
      </c>
      <c r="N112" s="1" t="s">
        <v>3824</v>
      </c>
    </row>
    <row r="113" spans="1:14">
      <c r="A113" s="1" t="s">
        <v>4045</v>
      </c>
      <c r="B113" s="1" t="s">
        <v>4046</v>
      </c>
      <c r="C113" s="1" t="s">
        <v>3857</v>
      </c>
      <c r="D113" s="1" t="s">
        <v>3814</v>
      </c>
      <c r="E113" s="1" t="s">
        <v>3815</v>
      </c>
      <c r="F113" s="1" t="s">
        <v>3816</v>
      </c>
      <c r="G113" s="1" t="s">
        <v>3817</v>
      </c>
      <c r="H113" s="1" t="s">
        <v>3818</v>
      </c>
      <c r="I113" s="1" t="s">
        <v>3819</v>
      </c>
      <c r="J113" s="1" t="s">
        <v>3820</v>
      </c>
      <c r="K113" s="1" t="s">
        <v>3821</v>
      </c>
      <c r="L113" s="1" t="s">
        <v>3822</v>
      </c>
      <c r="M113" s="1" t="s">
        <v>3823</v>
      </c>
      <c r="N113" s="1" t="s">
        <v>3824</v>
      </c>
    </row>
    <row r="114" spans="1:14">
      <c r="A114" s="1" t="s">
        <v>4047</v>
      </c>
      <c r="B114" s="1" t="s">
        <v>4048</v>
      </c>
      <c r="C114" s="1" t="s">
        <v>3857</v>
      </c>
      <c r="D114" s="1" t="s">
        <v>3814</v>
      </c>
      <c r="E114" s="1" t="s">
        <v>3815</v>
      </c>
      <c r="F114" s="1" t="s">
        <v>3816</v>
      </c>
      <c r="G114" s="1" t="s">
        <v>3817</v>
      </c>
      <c r="H114" s="1" t="s">
        <v>3818</v>
      </c>
      <c r="I114" s="1" t="s">
        <v>3819</v>
      </c>
      <c r="J114" s="1" t="s">
        <v>3820</v>
      </c>
      <c r="K114" s="1" t="s">
        <v>3821</v>
      </c>
      <c r="L114" s="1" t="s">
        <v>3822</v>
      </c>
      <c r="M114" s="1" t="s">
        <v>3823</v>
      </c>
      <c r="N114" s="1" t="s">
        <v>3824</v>
      </c>
    </row>
    <row r="115" spans="1:14">
      <c r="A115" s="1" t="s">
        <v>4049</v>
      </c>
      <c r="B115" s="1" t="s">
        <v>4050</v>
      </c>
      <c r="C115" s="1" t="s">
        <v>3857</v>
      </c>
      <c r="D115" s="1" t="s">
        <v>3814</v>
      </c>
      <c r="E115" s="1" t="s">
        <v>3815</v>
      </c>
      <c r="F115" s="1" t="s">
        <v>3816</v>
      </c>
      <c r="G115" s="1" t="s">
        <v>3817</v>
      </c>
      <c r="H115" s="1" t="s">
        <v>3818</v>
      </c>
      <c r="I115" s="1" t="s">
        <v>3819</v>
      </c>
      <c r="J115" s="1" t="s">
        <v>3820</v>
      </c>
      <c r="K115" s="1" t="s">
        <v>3821</v>
      </c>
      <c r="L115" s="1" t="s">
        <v>3822</v>
      </c>
      <c r="M115" s="1" t="s">
        <v>3823</v>
      </c>
      <c r="N115" s="1" t="s">
        <v>3824</v>
      </c>
    </row>
    <row r="116" spans="1:14">
      <c r="A116" s="1" t="s">
        <v>4051</v>
      </c>
      <c r="B116" s="1" t="s">
        <v>4052</v>
      </c>
      <c r="C116" s="1" t="s">
        <v>3857</v>
      </c>
      <c r="D116" s="1" t="s">
        <v>3814</v>
      </c>
      <c r="E116" s="1" t="s">
        <v>3815</v>
      </c>
      <c r="F116" s="1" t="s">
        <v>3816</v>
      </c>
      <c r="G116" s="1" t="s">
        <v>3817</v>
      </c>
      <c r="H116" s="1" t="s">
        <v>3818</v>
      </c>
      <c r="I116" s="1" t="s">
        <v>3819</v>
      </c>
      <c r="J116" s="1" t="s">
        <v>3820</v>
      </c>
      <c r="K116" s="1" t="s">
        <v>3821</v>
      </c>
      <c r="L116" s="1" t="s">
        <v>3822</v>
      </c>
      <c r="M116" s="1" t="s">
        <v>3823</v>
      </c>
      <c r="N116" s="1" t="s">
        <v>3824</v>
      </c>
    </row>
    <row r="117" spans="1:14">
      <c r="A117" s="1" t="s">
        <v>4053</v>
      </c>
      <c r="B117" s="1" t="s">
        <v>4054</v>
      </c>
      <c r="C117" s="1" t="s">
        <v>3893</v>
      </c>
      <c r="D117" s="1" t="s">
        <v>3814</v>
      </c>
      <c r="E117" s="1" t="s">
        <v>3815</v>
      </c>
      <c r="F117" s="1" t="s">
        <v>3816</v>
      </c>
      <c r="G117" s="1" t="s">
        <v>3817</v>
      </c>
      <c r="H117" s="1" t="s">
        <v>3818</v>
      </c>
      <c r="I117" s="1" t="s">
        <v>3819</v>
      </c>
      <c r="J117" s="1" t="s">
        <v>3820</v>
      </c>
      <c r="K117" s="1" t="s">
        <v>3821</v>
      </c>
      <c r="L117" s="1" t="s">
        <v>3822</v>
      </c>
      <c r="M117" s="1" t="s">
        <v>3823</v>
      </c>
      <c r="N117" s="1" t="s">
        <v>3824</v>
      </c>
    </row>
    <row r="118" spans="1:14">
      <c r="A118" s="1" t="s">
        <v>4055</v>
      </c>
      <c r="B118" s="1" t="s">
        <v>4056</v>
      </c>
      <c r="C118" s="1" t="s">
        <v>4057</v>
      </c>
      <c r="D118" s="1" t="s">
        <v>3814</v>
      </c>
      <c r="E118" s="1" t="s">
        <v>3815</v>
      </c>
      <c r="F118" s="1" t="s">
        <v>3816</v>
      </c>
      <c r="G118" s="1" t="s">
        <v>3817</v>
      </c>
      <c r="H118" s="1" t="s">
        <v>3818</v>
      </c>
      <c r="I118" s="1" t="s">
        <v>3819</v>
      </c>
      <c r="J118" s="1" t="s">
        <v>3820</v>
      </c>
      <c r="K118" s="1" t="s">
        <v>3821</v>
      </c>
      <c r="L118" s="1" t="s">
        <v>3822</v>
      </c>
      <c r="M118" s="1" t="s">
        <v>3823</v>
      </c>
      <c r="N118" s="1" t="s">
        <v>3824</v>
      </c>
    </row>
    <row r="119" spans="1:14">
      <c r="A119" s="1" t="s">
        <v>4058</v>
      </c>
      <c r="B119" s="1" t="s">
        <v>4059</v>
      </c>
      <c r="C119" s="1" t="s">
        <v>4057</v>
      </c>
      <c r="D119" s="1" t="s">
        <v>3814</v>
      </c>
      <c r="E119" s="1" t="s">
        <v>3815</v>
      </c>
      <c r="F119" s="1" t="s">
        <v>3816</v>
      </c>
      <c r="G119" s="1" t="s">
        <v>3817</v>
      </c>
      <c r="H119" s="1" t="s">
        <v>3818</v>
      </c>
      <c r="I119" s="1" t="s">
        <v>3819</v>
      </c>
      <c r="J119" s="1" t="s">
        <v>3820</v>
      </c>
      <c r="K119" s="1" t="s">
        <v>3821</v>
      </c>
      <c r="L119" s="1" t="s">
        <v>3822</v>
      </c>
      <c r="M119" s="1" t="s">
        <v>3823</v>
      </c>
      <c r="N119" s="1" t="s">
        <v>3824</v>
      </c>
    </row>
    <row r="120" spans="1:14">
      <c r="A120" s="1" t="s">
        <v>4060</v>
      </c>
      <c r="B120" s="1" t="s">
        <v>4061</v>
      </c>
      <c r="C120" s="1" t="s">
        <v>4057</v>
      </c>
      <c r="D120" s="1" t="s">
        <v>3814</v>
      </c>
      <c r="E120" s="1" t="s">
        <v>3815</v>
      </c>
      <c r="F120" s="1" t="s">
        <v>3816</v>
      </c>
      <c r="G120" s="1" t="s">
        <v>3817</v>
      </c>
      <c r="H120" s="1" t="s">
        <v>3818</v>
      </c>
      <c r="I120" s="1" t="s">
        <v>3819</v>
      </c>
      <c r="J120" s="1" t="s">
        <v>3820</v>
      </c>
      <c r="K120" s="1" t="s">
        <v>3821</v>
      </c>
      <c r="L120" s="1" t="s">
        <v>3822</v>
      </c>
      <c r="M120" s="1" t="s">
        <v>3823</v>
      </c>
      <c r="N120" s="1" t="s">
        <v>3824</v>
      </c>
    </row>
    <row r="121" spans="1:14">
      <c r="A121" s="1" t="s">
        <v>4062</v>
      </c>
      <c r="B121" s="1" t="s">
        <v>4063</v>
      </c>
      <c r="C121" s="1" t="s">
        <v>4057</v>
      </c>
      <c r="D121" s="1" t="s">
        <v>3814</v>
      </c>
      <c r="E121" s="1" t="s">
        <v>3815</v>
      </c>
      <c r="F121" s="1" t="s">
        <v>3816</v>
      </c>
      <c r="G121" s="1" t="s">
        <v>3817</v>
      </c>
      <c r="H121" s="1" t="s">
        <v>3818</v>
      </c>
      <c r="I121" s="1" t="s">
        <v>3819</v>
      </c>
      <c r="J121" s="1" t="s">
        <v>3820</v>
      </c>
      <c r="K121" s="1" t="s">
        <v>3821</v>
      </c>
      <c r="L121" s="1" t="s">
        <v>3822</v>
      </c>
      <c r="M121" s="1" t="s">
        <v>3823</v>
      </c>
      <c r="N121" s="1" t="s">
        <v>3824</v>
      </c>
    </row>
    <row r="122" spans="1:14">
      <c r="A122" s="1" t="s">
        <v>4064</v>
      </c>
      <c r="B122" s="1" t="s">
        <v>4065</v>
      </c>
      <c r="C122" s="1" t="s">
        <v>4057</v>
      </c>
      <c r="D122" s="1" t="s">
        <v>3814</v>
      </c>
      <c r="E122" s="1" t="s">
        <v>3815</v>
      </c>
      <c r="F122" s="1" t="s">
        <v>3816</v>
      </c>
      <c r="G122" s="1" t="s">
        <v>3817</v>
      </c>
      <c r="H122" s="1" t="s">
        <v>3818</v>
      </c>
      <c r="I122" s="1" t="s">
        <v>3819</v>
      </c>
      <c r="J122" s="1" t="s">
        <v>3820</v>
      </c>
      <c r="K122" s="1" t="s">
        <v>3821</v>
      </c>
      <c r="L122" s="1" t="s">
        <v>3822</v>
      </c>
      <c r="M122" s="1" t="s">
        <v>3823</v>
      </c>
      <c r="N122" s="1" t="s">
        <v>3824</v>
      </c>
    </row>
    <row r="123" spans="1:14">
      <c r="A123" s="1" t="s">
        <v>4066</v>
      </c>
      <c r="B123" s="1" t="s">
        <v>4067</v>
      </c>
      <c r="C123" s="1" t="s">
        <v>4057</v>
      </c>
      <c r="D123" s="1" t="s">
        <v>3814</v>
      </c>
      <c r="E123" s="1" t="s">
        <v>3815</v>
      </c>
      <c r="F123" s="1" t="s">
        <v>3816</v>
      </c>
      <c r="G123" s="1" t="s">
        <v>3817</v>
      </c>
      <c r="H123" s="1" t="s">
        <v>3818</v>
      </c>
      <c r="I123" s="1" t="s">
        <v>3819</v>
      </c>
      <c r="J123" s="1" t="s">
        <v>3820</v>
      </c>
      <c r="K123" s="1" t="s">
        <v>3821</v>
      </c>
      <c r="L123" s="1" t="s">
        <v>3822</v>
      </c>
      <c r="M123" s="1" t="s">
        <v>3823</v>
      </c>
      <c r="N123" s="1" t="s">
        <v>3824</v>
      </c>
    </row>
    <row r="124" spans="1:14">
      <c r="A124" s="1" t="s">
        <v>4068</v>
      </c>
      <c r="B124" s="1" t="s">
        <v>4069</v>
      </c>
      <c r="C124" s="1" t="s">
        <v>4057</v>
      </c>
      <c r="D124" s="1" t="s">
        <v>3814</v>
      </c>
      <c r="E124" s="1" t="s">
        <v>3815</v>
      </c>
      <c r="F124" s="1" t="s">
        <v>3816</v>
      </c>
      <c r="G124" s="1" t="s">
        <v>3817</v>
      </c>
      <c r="H124" s="1" t="s">
        <v>3818</v>
      </c>
      <c r="I124" s="1" t="s">
        <v>3819</v>
      </c>
      <c r="J124" s="1" t="s">
        <v>3820</v>
      </c>
      <c r="K124" s="1" t="s">
        <v>3821</v>
      </c>
      <c r="L124" s="1" t="s">
        <v>3822</v>
      </c>
      <c r="M124" s="1" t="s">
        <v>3823</v>
      </c>
      <c r="N124" s="1" t="s">
        <v>3824</v>
      </c>
    </row>
    <row r="125" spans="1:14">
      <c r="A125" s="1" t="s">
        <v>4070</v>
      </c>
      <c r="B125" s="1" t="s">
        <v>4071</v>
      </c>
      <c r="C125" s="1" t="s">
        <v>4057</v>
      </c>
      <c r="D125" s="1" t="s">
        <v>3814</v>
      </c>
      <c r="E125" s="1" t="s">
        <v>3815</v>
      </c>
      <c r="F125" s="1" t="s">
        <v>3816</v>
      </c>
      <c r="G125" s="1" t="s">
        <v>3817</v>
      </c>
      <c r="H125" s="1" t="s">
        <v>3818</v>
      </c>
      <c r="I125" s="1" t="s">
        <v>3819</v>
      </c>
      <c r="J125" s="1" t="s">
        <v>3820</v>
      </c>
      <c r="K125" s="1" t="s">
        <v>3821</v>
      </c>
      <c r="L125" s="1" t="s">
        <v>3822</v>
      </c>
      <c r="M125" s="1" t="s">
        <v>3823</v>
      </c>
      <c r="N125" s="1" t="s">
        <v>3824</v>
      </c>
    </row>
    <row r="126" spans="1:14">
      <c r="A126" s="1" t="s">
        <v>4072</v>
      </c>
      <c r="B126" s="1" t="s">
        <v>4073</v>
      </c>
      <c r="C126" s="1" t="s">
        <v>3827</v>
      </c>
      <c r="D126" s="1" t="s">
        <v>3814</v>
      </c>
      <c r="E126" s="1" t="s">
        <v>3815</v>
      </c>
      <c r="F126" s="1" t="s">
        <v>3816</v>
      </c>
      <c r="G126" s="1" t="s">
        <v>3817</v>
      </c>
      <c r="H126" s="1" t="s">
        <v>3818</v>
      </c>
      <c r="I126" s="1" t="s">
        <v>3819</v>
      </c>
      <c r="J126" s="1" t="s">
        <v>3820</v>
      </c>
      <c r="K126" s="1" t="s">
        <v>3821</v>
      </c>
      <c r="L126" s="1" t="s">
        <v>3822</v>
      </c>
      <c r="M126" s="1" t="s">
        <v>3823</v>
      </c>
      <c r="N126" s="1" t="s">
        <v>3824</v>
      </c>
    </row>
    <row r="127" spans="1:14">
      <c r="A127" s="1" t="s">
        <v>4074</v>
      </c>
      <c r="B127" s="1" t="s">
        <v>4075</v>
      </c>
      <c r="C127" s="1" t="s">
        <v>3827</v>
      </c>
      <c r="D127" s="1" t="s">
        <v>3814</v>
      </c>
      <c r="E127" s="1" t="s">
        <v>3815</v>
      </c>
      <c r="F127" s="1" t="s">
        <v>3816</v>
      </c>
      <c r="G127" s="1" t="s">
        <v>3817</v>
      </c>
      <c r="H127" s="1" t="s">
        <v>3818</v>
      </c>
      <c r="I127" s="1" t="s">
        <v>3819</v>
      </c>
      <c r="J127" s="1" t="s">
        <v>3820</v>
      </c>
      <c r="K127" s="1" t="s">
        <v>3821</v>
      </c>
      <c r="L127" s="1" t="s">
        <v>3822</v>
      </c>
      <c r="M127" s="1" t="s">
        <v>3823</v>
      </c>
      <c r="N127" s="1" t="s">
        <v>3824</v>
      </c>
    </row>
    <row r="128" spans="1:14">
      <c r="A128" s="1" t="s">
        <v>4076</v>
      </c>
      <c r="B128" s="1" t="s">
        <v>4077</v>
      </c>
      <c r="C128" s="1" t="s">
        <v>3886</v>
      </c>
      <c r="D128" s="1" t="s">
        <v>3814</v>
      </c>
      <c r="E128" s="1" t="s">
        <v>3815</v>
      </c>
      <c r="F128" s="1" t="s">
        <v>3816</v>
      </c>
      <c r="G128" s="1" t="s">
        <v>3817</v>
      </c>
      <c r="H128" s="1" t="s">
        <v>3818</v>
      </c>
      <c r="I128" s="1" t="s">
        <v>3819</v>
      </c>
      <c r="J128" s="1" t="s">
        <v>3820</v>
      </c>
      <c r="K128" s="1" t="s">
        <v>3821</v>
      </c>
      <c r="L128" s="1" t="s">
        <v>3822</v>
      </c>
      <c r="M128" s="1" t="s">
        <v>3823</v>
      </c>
      <c r="N128" s="1" t="s">
        <v>3824</v>
      </c>
    </row>
    <row r="129" spans="1:14">
      <c r="A129" s="1" t="s">
        <v>4078</v>
      </c>
      <c r="B129" s="1" t="s">
        <v>4079</v>
      </c>
      <c r="C129" s="1" t="s">
        <v>3830</v>
      </c>
      <c r="D129" s="1" t="s">
        <v>3814</v>
      </c>
      <c r="E129" s="1" t="s">
        <v>3815</v>
      </c>
      <c r="F129" s="1" t="s">
        <v>3816</v>
      </c>
      <c r="G129" s="1" t="s">
        <v>3817</v>
      </c>
      <c r="H129" s="1" t="s">
        <v>3818</v>
      </c>
      <c r="I129" s="1" t="s">
        <v>3819</v>
      </c>
      <c r="J129" s="1" t="s">
        <v>3820</v>
      </c>
      <c r="K129" s="1" t="s">
        <v>3821</v>
      </c>
      <c r="L129" s="1" t="s">
        <v>3822</v>
      </c>
      <c r="M129" s="1" t="s">
        <v>3823</v>
      </c>
      <c r="N129" s="1" t="s">
        <v>3824</v>
      </c>
    </row>
  </sheetData>
  <mergeCells count="2">
    <mergeCell ref="A2:N2"/>
    <mergeCell ref="A1:N1"/>
  </mergeCells>
  <pageMargins left="0.75" right="0.75" top="1" bottom="1" header="0.5" footer="0.5"/>
  <pageSetup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2"/>
  <sheetViews>
    <sheetView showGridLines="0" workbookViewId="0">
      <pane ySplit="4" topLeftCell="A5" activePane="bottomLeft" state="frozen"/>
      <selection pane="bottomLeft"/>
    </sheetView>
  </sheetViews>
  <sheetFormatPr defaultRowHeight="15"/>
  <cols>
    <col min="1" max="1" width="12" customWidth="1"/>
    <col min="2" max="2" width="28" customWidth="1"/>
    <col min="3" max="3" width="34" customWidth="1"/>
    <col min="4" max="4" width="78" customWidth="1"/>
  </cols>
  <sheetData>
    <row r="1" spans="1:4">
      <c r="A1" s="27" t="s">
        <v>4080</v>
      </c>
      <c r="B1" s="30"/>
      <c r="C1" s="30"/>
      <c r="D1" s="30"/>
    </row>
    <row r="2" spans="1:4" ht="54" customHeight="1">
      <c r="A2" s="26" t="s">
        <v>4081</v>
      </c>
      <c r="B2" s="30"/>
      <c r="C2" s="30"/>
      <c r="D2" s="30"/>
    </row>
    <row r="4" spans="1:4">
      <c r="A4" s="6" t="s">
        <v>188</v>
      </c>
      <c r="B4" s="6" t="s">
        <v>3145</v>
      </c>
      <c r="C4" s="6" t="s">
        <v>4082</v>
      </c>
      <c r="D4" s="6" t="s">
        <v>4083</v>
      </c>
    </row>
    <row r="5" spans="1:4">
      <c r="A5" s="1" t="s">
        <v>4084</v>
      </c>
      <c r="B5" s="1" t="s">
        <v>3150</v>
      </c>
      <c r="C5" s="1" t="s">
        <v>2532</v>
      </c>
      <c r="D5" s="1" t="s">
        <v>4085</v>
      </c>
    </row>
    <row r="6" spans="1:4">
      <c r="A6" s="1" t="s">
        <v>4086</v>
      </c>
      <c r="B6" s="1" t="s">
        <v>2575</v>
      </c>
      <c r="C6" s="1" t="s">
        <v>4087</v>
      </c>
      <c r="D6" s="1" t="s">
        <v>4088</v>
      </c>
    </row>
    <row r="7" spans="1:4">
      <c r="A7" s="1" t="s">
        <v>4089</v>
      </c>
      <c r="B7" s="1" t="s">
        <v>3046</v>
      </c>
      <c r="C7" s="1" t="s">
        <v>3753</v>
      </c>
      <c r="D7" s="1" t="s">
        <v>4090</v>
      </c>
    </row>
    <row r="8" spans="1:4">
      <c r="A8" s="1" t="s">
        <v>4091</v>
      </c>
      <c r="B8" s="1" t="s">
        <v>3780</v>
      </c>
      <c r="C8" s="1" t="s">
        <v>4092</v>
      </c>
      <c r="D8" s="1" t="s">
        <v>4093</v>
      </c>
    </row>
    <row r="9" spans="1:4">
      <c r="A9" s="1" t="s">
        <v>4094</v>
      </c>
      <c r="B9" s="1" t="s">
        <v>3776</v>
      </c>
      <c r="C9" s="1" t="s">
        <v>3777</v>
      </c>
      <c r="D9" s="1" t="s">
        <v>4095</v>
      </c>
    </row>
    <row r="10" spans="1:4">
      <c r="A10" s="1" t="s">
        <v>4096</v>
      </c>
      <c r="B10" s="1" t="s">
        <v>3784</v>
      </c>
      <c r="C10" s="1" t="s">
        <v>3785</v>
      </c>
      <c r="D10" s="1" t="s">
        <v>3786</v>
      </c>
    </row>
    <row r="11" spans="1:4">
      <c r="A11" s="1" t="s">
        <v>4097</v>
      </c>
      <c r="B11" s="1" t="s">
        <v>3788</v>
      </c>
      <c r="C11" s="1" t="s">
        <v>3789</v>
      </c>
      <c r="D11" s="1" t="s">
        <v>4098</v>
      </c>
    </row>
    <row r="12" spans="1:4">
      <c r="A12" s="1" t="s">
        <v>4099</v>
      </c>
      <c r="B12" s="1" t="s">
        <v>3185</v>
      </c>
      <c r="C12" s="1" t="s">
        <v>4100</v>
      </c>
      <c r="D12" s="1" t="s">
        <v>4101</v>
      </c>
    </row>
  </sheetData>
  <mergeCells count="2">
    <mergeCell ref="A1:D1"/>
    <mergeCell ref="A2:D2"/>
  </mergeCells>
  <pageMargins left="0.75" right="0.75" top="1" bottom="1" header="0.5" footer="0.5"/>
  <pageSetup orientation="landscape"/>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0"/>
  <sheetViews>
    <sheetView showGridLines="0" workbookViewId="0">
      <pane ySplit="4" topLeftCell="A5" activePane="bottomLeft" state="frozen"/>
      <selection pane="bottomLeft"/>
    </sheetView>
  </sheetViews>
  <sheetFormatPr defaultRowHeight="15"/>
  <cols>
    <col min="1" max="1" width="12" customWidth="1"/>
    <col min="2" max="2" width="34" customWidth="1"/>
    <col min="3" max="3" width="110" customWidth="1"/>
  </cols>
  <sheetData>
    <row r="1" spans="1:3">
      <c r="A1" s="27" t="s">
        <v>4102</v>
      </c>
      <c r="B1" s="30"/>
      <c r="C1" s="30"/>
    </row>
    <row r="2" spans="1:3" ht="54" customHeight="1">
      <c r="A2" s="26" t="s">
        <v>4103</v>
      </c>
      <c r="B2" s="30"/>
      <c r="C2" s="30"/>
    </row>
    <row r="4" spans="1:3">
      <c r="A4" s="6" t="s">
        <v>188</v>
      </c>
      <c r="B4" s="6" t="s">
        <v>3055</v>
      </c>
      <c r="C4" s="6" t="s">
        <v>130</v>
      </c>
    </row>
    <row r="5" spans="1:3">
      <c r="A5" s="1" t="s">
        <v>4104</v>
      </c>
      <c r="B5" s="1" t="s">
        <v>4105</v>
      </c>
      <c r="C5" s="1" t="s">
        <v>4106</v>
      </c>
    </row>
    <row r="6" spans="1:3">
      <c r="A6" s="1" t="s">
        <v>4107</v>
      </c>
      <c r="B6" s="1" t="s">
        <v>3520</v>
      </c>
      <c r="C6" s="1" t="s">
        <v>4108</v>
      </c>
    </row>
    <row r="7" spans="1:3">
      <c r="A7" s="1" t="s">
        <v>4109</v>
      </c>
      <c r="B7" s="1" t="s">
        <v>4110</v>
      </c>
      <c r="C7" s="1" t="s">
        <v>4111</v>
      </c>
    </row>
    <row r="8" spans="1:3">
      <c r="A8" s="1" t="s">
        <v>4112</v>
      </c>
      <c r="B8" s="1" t="s">
        <v>4113</v>
      </c>
      <c r="C8" s="1" t="s">
        <v>4114</v>
      </c>
    </row>
    <row r="9" spans="1:3">
      <c r="A9" s="1" t="s">
        <v>4115</v>
      </c>
      <c r="B9" s="1" t="s">
        <v>4116</v>
      </c>
      <c r="C9" s="1" t="s">
        <v>4117</v>
      </c>
    </row>
    <row r="10" spans="1:3">
      <c r="A10" s="1" t="s">
        <v>4118</v>
      </c>
      <c r="B10" s="1" t="s">
        <v>3662</v>
      </c>
      <c r="C10" s="1" t="s">
        <v>4119</v>
      </c>
    </row>
  </sheetData>
  <mergeCells count="2">
    <mergeCell ref="A1:C1"/>
    <mergeCell ref="A2:C2"/>
  </mergeCells>
  <pageMargins left="0.75" right="0.75" top="1" bottom="1" header="0.5" footer="0.5"/>
  <pageSetup orientation="landscape"/>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9"/>
  <sheetViews>
    <sheetView showGridLines="0" workbookViewId="0">
      <pane ySplit="4" topLeftCell="A5" activePane="bottomLeft" state="frozen"/>
      <selection pane="bottomLeft"/>
    </sheetView>
  </sheetViews>
  <sheetFormatPr defaultRowHeight="15"/>
  <sheetData>
    <row r="1" spans="1:4">
      <c r="A1" s="44" t="s">
        <v>4120</v>
      </c>
      <c r="B1" s="30"/>
      <c r="C1" s="30"/>
      <c r="D1" s="30"/>
    </row>
    <row r="2" spans="1:4">
      <c r="A2" s="23" t="s">
        <v>4121</v>
      </c>
      <c r="B2" s="30"/>
      <c r="C2" s="30"/>
      <c r="D2" s="30"/>
    </row>
    <row r="4" spans="1:4">
      <c r="A4" s="3" t="s">
        <v>2200</v>
      </c>
      <c r="B4" s="3" t="s">
        <v>4122</v>
      </c>
      <c r="C4" s="3" t="s">
        <v>4123</v>
      </c>
      <c r="D4" s="3" t="s">
        <v>192</v>
      </c>
    </row>
    <row r="5" spans="1:4">
      <c r="A5" s="1">
        <v>1</v>
      </c>
      <c r="B5" s="1" t="s">
        <v>4124</v>
      </c>
      <c r="C5" s="1" t="s">
        <v>4125</v>
      </c>
      <c r="D5" s="1" t="s">
        <v>166</v>
      </c>
    </row>
    <row r="6" spans="1:4">
      <c r="A6" s="1">
        <v>2</v>
      </c>
      <c r="B6" s="1" t="s">
        <v>4126</v>
      </c>
      <c r="C6" s="1" t="s">
        <v>4127</v>
      </c>
      <c r="D6" s="1" t="s">
        <v>4128</v>
      </c>
    </row>
    <row r="7" spans="1:4">
      <c r="A7" s="1">
        <v>3</v>
      </c>
      <c r="B7" s="1" t="s">
        <v>3040</v>
      </c>
      <c r="C7" s="1" t="s">
        <v>4129</v>
      </c>
      <c r="D7" s="1" t="s">
        <v>166</v>
      </c>
    </row>
    <row r="8" spans="1:4">
      <c r="A8" s="1">
        <v>4</v>
      </c>
      <c r="B8" s="1" t="s">
        <v>4130</v>
      </c>
      <c r="C8" s="1" t="s">
        <v>4131</v>
      </c>
      <c r="D8" s="1" t="s">
        <v>4132</v>
      </c>
    </row>
    <row r="9" spans="1:4">
      <c r="A9" s="1">
        <v>5</v>
      </c>
      <c r="B9" s="1" t="s">
        <v>2589</v>
      </c>
      <c r="C9" s="1" t="s">
        <v>4133</v>
      </c>
      <c r="D9" s="1" t="s">
        <v>4134</v>
      </c>
    </row>
  </sheetData>
  <mergeCells count="2">
    <mergeCell ref="A1:D1"/>
    <mergeCell ref="A2:D2"/>
  </mergeCells>
  <pageMargins left="0.75" right="0.75" top="1" bottom="1" header="0.5" footer="0.5"/>
  <pageSetup orientation="landscape"/>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1"/>
  <sheetViews>
    <sheetView showGridLines="0" workbookViewId="0">
      <pane ySplit="4" topLeftCell="A5" activePane="bottomLeft" state="frozen"/>
      <selection pane="bottomLeft"/>
    </sheetView>
  </sheetViews>
  <sheetFormatPr defaultRowHeight="15"/>
  <cols>
    <col min="1" max="1" width="12" customWidth="1"/>
    <col min="2" max="2" width="22" customWidth="1"/>
    <col min="3" max="3" width="30" customWidth="1"/>
    <col min="4" max="4" width="42" customWidth="1"/>
    <col min="5" max="5" width="40" customWidth="1"/>
    <col min="6" max="6" width="28" customWidth="1"/>
    <col min="7" max="7" width="38" customWidth="1"/>
    <col min="8" max="8" width="34" customWidth="1"/>
  </cols>
  <sheetData>
    <row r="1" spans="1:8" ht="26.1" customHeight="1">
      <c r="A1" s="52" t="s">
        <v>4135</v>
      </c>
      <c r="B1" s="30"/>
      <c r="C1" s="30"/>
      <c r="D1" s="30"/>
      <c r="E1" s="30"/>
      <c r="F1" s="30"/>
      <c r="G1" s="30"/>
      <c r="H1" s="30"/>
    </row>
    <row r="2" spans="1:8" ht="33.950000000000003" customHeight="1">
      <c r="A2" s="28" t="s">
        <v>4136</v>
      </c>
      <c r="B2" s="30"/>
      <c r="C2" s="30"/>
      <c r="D2" s="30"/>
      <c r="E2" s="30"/>
      <c r="F2" s="30"/>
      <c r="G2" s="30"/>
      <c r="H2" s="30"/>
    </row>
    <row r="4" spans="1:8">
      <c r="A4" s="53" t="s">
        <v>188</v>
      </c>
      <c r="B4" s="53" t="s">
        <v>4137</v>
      </c>
      <c r="C4" s="53" t="s">
        <v>3086</v>
      </c>
      <c r="D4" s="53" t="s">
        <v>4138</v>
      </c>
      <c r="E4" s="53" t="s">
        <v>4139</v>
      </c>
      <c r="F4" s="53" t="s">
        <v>4140</v>
      </c>
      <c r="G4" s="53" t="s">
        <v>4141</v>
      </c>
      <c r="H4" s="53" t="s">
        <v>4142</v>
      </c>
    </row>
    <row r="5" spans="1:8" ht="42" customHeight="1">
      <c r="A5" s="54" t="s">
        <v>4143</v>
      </c>
      <c r="B5" s="54" t="s">
        <v>4144</v>
      </c>
      <c r="C5" s="54" t="s">
        <v>4145</v>
      </c>
      <c r="D5" s="54" t="s">
        <v>4146</v>
      </c>
      <c r="E5" s="54" t="s">
        <v>4147</v>
      </c>
      <c r="F5" s="54" t="s">
        <v>4148</v>
      </c>
      <c r="G5" s="54" t="s">
        <v>4149</v>
      </c>
      <c r="H5" s="54" t="s">
        <v>4150</v>
      </c>
    </row>
    <row r="6" spans="1:8" ht="42" customHeight="1">
      <c r="A6" s="7" t="s">
        <v>4151</v>
      </c>
      <c r="B6" s="7" t="s">
        <v>4152</v>
      </c>
      <c r="C6" s="7" t="s">
        <v>4153</v>
      </c>
      <c r="D6" s="7" t="s">
        <v>4154</v>
      </c>
      <c r="E6" s="7" t="s">
        <v>4155</v>
      </c>
      <c r="F6" s="7" t="s">
        <v>4156</v>
      </c>
      <c r="G6" s="7" t="s">
        <v>4157</v>
      </c>
      <c r="H6" s="7" t="s">
        <v>4158</v>
      </c>
    </row>
    <row r="7" spans="1:8" ht="42" customHeight="1">
      <c r="A7" s="54" t="s">
        <v>4159</v>
      </c>
      <c r="B7" s="54" t="s">
        <v>4160</v>
      </c>
      <c r="C7" s="54" t="s">
        <v>4161</v>
      </c>
      <c r="D7" s="54" t="s">
        <v>4162</v>
      </c>
      <c r="E7" s="54" t="s">
        <v>4163</v>
      </c>
      <c r="F7" s="54" t="s">
        <v>4164</v>
      </c>
      <c r="G7" s="54" t="s">
        <v>4165</v>
      </c>
      <c r="H7" s="54" t="s">
        <v>4166</v>
      </c>
    </row>
    <row r="8" spans="1:8" ht="42" customHeight="1">
      <c r="A8" s="7" t="s">
        <v>4167</v>
      </c>
      <c r="B8" s="7" t="s">
        <v>4168</v>
      </c>
      <c r="C8" s="7" t="s">
        <v>4169</v>
      </c>
      <c r="D8" s="7" t="s">
        <v>4170</v>
      </c>
      <c r="E8" s="7" t="s">
        <v>4171</v>
      </c>
      <c r="F8" s="7" t="s">
        <v>4172</v>
      </c>
      <c r="G8" s="7" t="s">
        <v>4173</v>
      </c>
      <c r="H8" s="7" t="s">
        <v>4174</v>
      </c>
    </row>
    <row r="9" spans="1:8" ht="42" customHeight="1">
      <c r="A9" s="54" t="s">
        <v>4175</v>
      </c>
      <c r="B9" s="54" t="s">
        <v>4176</v>
      </c>
      <c r="C9" s="54" t="s">
        <v>3601</v>
      </c>
      <c r="D9" s="54" t="s">
        <v>4177</v>
      </c>
      <c r="E9" s="54" t="s">
        <v>4178</v>
      </c>
      <c r="F9" s="54" t="s">
        <v>4179</v>
      </c>
      <c r="G9" s="54" t="s">
        <v>4180</v>
      </c>
      <c r="H9" s="54" t="s">
        <v>4181</v>
      </c>
    </row>
    <row r="10" spans="1:8" ht="42" customHeight="1">
      <c r="A10" s="7" t="s">
        <v>4182</v>
      </c>
      <c r="B10" s="7" t="s">
        <v>4183</v>
      </c>
      <c r="C10" s="7" t="s">
        <v>4184</v>
      </c>
      <c r="D10" s="7" t="s">
        <v>4185</v>
      </c>
      <c r="E10" s="7" t="s">
        <v>4186</v>
      </c>
      <c r="F10" s="7" t="s">
        <v>4187</v>
      </c>
      <c r="G10" s="7" t="s">
        <v>4188</v>
      </c>
      <c r="H10" s="7" t="s">
        <v>4189</v>
      </c>
    </row>
    <row r="11" spans="1:8" ht="42" customHeight="1">
      <c r="A11" s="54" t="s">
        <v>4190</v>
      </c>
      <c r="B11" s="54" t="s">
        <v>4191</v>
      </c>
      <c r="C11" s="54" t="s">
        <v>4192</v>
      </c>
      <c r="D11" s="54" t="s">
        <v>4193</v>
      </c>
      <c r="E11" s="54" t="s">
        <v>4194</v>
      </c>
      <c r="F11" s="54" t="s">
        <v>4195</v>
      </c>
      <c r="G11" s="54" t="s">
        <v>4196</v>
      </c>
      <c r="H11" s="54" t="s">
        <v>4197</v>
      </c>
    </row>
  </sheetData>
  <mergeCells count="2">
    <mergeCell ref="A2:H2"/>
    <mergeCell ref="A1:H1"/>
  </mergeCells>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29"/>
  <sheetViews>
    <sheetView showGridLines="0" workbookViewId="0">
      <pane ySplit="4" topLeftCell="A5" activePane="bottomLeft" state="frozen"/>
      <selection pane="bottomLeft"/>
    </sheetView>
  </sheetViews>
  <sheetFormatPr defaultRowHeight="15"/>
  <cols>
    <col min="1" max="1" width="12" customWidth="1"/>
    <col min="2" max="2" width="32" customWidth="1"/>
    <col min="3" max="4" width="25" customWidth="1"/>
    <col min="5" max="5" width="28" customWidth="1"/>
    <col min="6" max="6" width="30" customWidth="1"/>
    <col min="7" max="7" width="48" customWidth="1"/>
    <col min="8" max="8" width="28" customWidth="1"/>
  </cols>
  <sheetData>
    <row r="1" spans="1:8" ht="26.1" customHeight="1">
      <c r="A1" s="52" t="s">
        <v>4198</v>
      </c>
      <c r="B1" s="30"/>
      <c r="C1" s="30"/>
      <c r="D1" s="30"/>
      <c r="E1" s="30"/>
      <c r="F1" s="30"/>
      <c r="G1" s="30"/>
      <c r="H1" s="30"/>
    </row>
    <row r="2" spans="1:8" ht="33.950000000000003" customHeight="1">
      <c r="A2" s="28" t="s">
        <v>4199</v>
      </c>
      <c r="B2" s="30"/>
      <c r="C2" s="30"/>
      <c r="D2" s="30"/>
      <c r="E2" s="30"/>
      <c r="F2" s="30"/>
      <c r="G2" s="30"/>
      <c r="H2" s="30"/>
    </row>
    <row r="4" spans="1:8">
      <c r="A4" s="53" t="s">
        <v>188</v>
      </c>
      <c r="B4" s="53" t="s">
        <v>3802</v>
      </c>
      <c r="C4" s="53" t="s">
        <v>4200</v>
      </c>
      <c r="D4" s="53" t="s">
        <v>4201</v>
      </c>
      <c r="E4" s="53" t="s">
        <v>4202</v>
      </c>
      <c r="F4" s="53" t="s">
        <v>4203</v>
      </c>
      <c r="G4" s="53" t="s">
        <v>4204</v>
      </c>
      <c r="H4" s="53" t="s">
        <v>4205</v>
      </c>
    </row>
    <row r="5" spans="1:8" ht="42" customHeight="1">
      <c r="A5" s="54" t="s">
        <v>3811</v>
      </c>
      <c r="B5" s="54" t="s">
        <v>3812</v>
      </c>
      <c r="C5" s="54" t="s">
        <v>3813</v>
      </c>
      <c r="D5" s="54" t="s">
        <v>4206</v>
      </c>
      <c r="E5" s="54" t="s">
        <v>4207</v>
      </c>
      <c r="F5" s="54" t="s">
        <v>4208</v>
      </c>
      <c r="G5" s="54" t="s">
        <v>4209</v>
      </c>
      <c r="H5" s="54" t="s">
        <v>4210</v>
      </c>
    </row>
    <row r="6" spans="1:8" ht="42" customHeight="1">
      <c r="A6" s="7" t="s">
        <v>3825</v>
      </c>
      <c r="B6" s="7" t="s">
        <v>3826</v>
      </c>
      <c r="C6" s="7" t="s">
        <v>3827</v>
      </c>
      <c r="D6" s="7" t="s">
        <v>4206</v>
      </c>
      <c r="E6" s="7" t="s">
        <v>4207</v>
      </c>
      <c r="F6" s="7" t="s">
        <v>4208</v>
      </c>
      <c r="G6" s="7" t="s">
        <v>4209</v>
      </c>
      <c r="H6" s="7" t="s">
        <v>4210</v>
      </c>
    </row>
    <row r="7" spans="1:8" ht="42" customHeight="1">
      <c r="A7" s="54" t="s">
        <v>3828</v>
      </c>
      <c r="B7" s="54" t="s">
        <v>3829</v>
      </c>
      <c r="C7" s="54" t="s">
        <v>3830</v>
      </c>
      <c r="D7" s="54" t="s">
        <v>4206</v>
      </c>
      <c r="E7" s="54" t="s">
        <v>4207</v>
      </c>
      <c r="F7" s="54" t="s">
        <v>4208</v>
      </c>
      <c r="G7" s="54" t="s">
        <v>4209</v>
      </c>
      <c r="H7" s="54" t="s">
        <v>4210</v>
      </c>
    </row>
    <row r="8" spans="1:8" ht="42" customHeight="1">
      <c r="A8" s="7" t="s">
        <v>3831</v>
      </c>
      <c r="B8" s="7" t="s">
        <v>3832</v>
      </c>
      <c r="C8" s="7" t="s">
        <v>3830</v>
      </c>
      <c r="D8" s="7" t="s">
        <v>4206</v>
      </c>
      <c r="E8" s="7" t="s">
        <v>4207</v>
      </c>
      <c r="F8" s="7" t="s">
        <v>4208</v>
      </c>
      <c r="G8" s="7" t="s">
        <v>4209</v>
      </c>
      <c r="H8" s="7" t="s">
        <v>4210</v>
      </c>
    </row>
    <row r="9" spans="1:8" ht="42" customHeight="1">
      <c r="A9" s="54" t="s">
        <v>3833</v>
      </c>
      <c r="B9" s="54" t="s">
        <v>3834</v>
      </c>
      <c r="C9" s="54" t="s">
        <v>3830</v>
      </c>
      <c r="D9" s="54" t="s">
        <v>4206</v>
      </c>
      <c r="E9" s="54" t="s">
        <v>4207</v>
      </c>
      <c r="F9" s="54" t="s">
        <v>4208</v>
      </c>
      <c r="G9" s="54" t="s">
        <v>4209</v>
      </c>
      <c r="H9" s="54" t="s">
        <v>4210</v>
      </c>
    </row>
    <row r="10" spans="1:8" ht="42" customHeight="1">
      <c r="A10" s="7" t="s">
        <v>3835</v>
      </c>
      <c r="B10" s="7" t="s">
        <v>3836</v>
      </c>
      <c r="C10" s="7" t="s">
        <v>3830</v>
      </c>
      <c r="D10" s="7" t="s">
        <v>4206</v>
      </c>
      <c r="E10" s="7" t="s">
        <v>4207</v>
      </c>
      <c r="F10" s="7" t="s">
        <v>4208</v>
      </c>
      <c r="G10" s="7" t="s">
        <v>4209</v>
      </c>
      <c r="H10" s="7" t="s">
        <v>4210</v>
      </c>
    </row>
    <row r="11" spans="1:8" ht="42" customHeight="1">
      <c r="A11" s="54" t="s">
        <v>3837</v>
      </c>
      <c r="B11" s="54" t="s">
        <v>3838</v>
      </c>
      <c r="C11" s="54" t="s">
        <v>3830</v>
      </c>
      <c r="D11" s="54" t="s">
        <v>4211</v>
      </c>
      <c r="E11" s="54" t="s">
        <v>4207</v>
      </c>
      <c r="F11" s="54" t="s">
        <v>4212</v>
      </c>
      <c r="G11" s="54" t="s">
        <v>4213</v>
      </c>
      <c r="H11" s="54" t="s">
        <v>4210</v>
      </c>
    </row>
    <row r="12" spans="1:8" ht="42" customHeight="1">
      <c r="A12" s="7" t="s">
        <v>3839</v>
      </c>
      <c r="B12" s="7" t="s">
        <v>3840</v>
      </c>
      <c r="C12" s="7" t="s">
        <v>3830</v>
      </c>
      <c r="D12" s="7" t="s">
        <v>4206</v>
      </c>
      <c r="E12" s="7" t="s">
        <v>4207</v>
      </c>
      <c r="F12" s="7" t="s">
        <v>4208</v>
      </c>
      <c r="G12" s="7" t="s">
        <v>4209</v>
      </c>
      <c r="H12" s="7" t="s">
        <v>4210</v>
      </c>
    </row>
    <row r="13" spans="1:8" ht="42" customHeight="1">
      <c r="A13" s="54" t="s">
        <v>3841</v>
      </c>
      <c r="B13" s="54" t="s">
        <v>3842</v>
      </c>
      <c r="C13" s="54" t="s">
        <v>3830</v>
      </c>
      <c r="D13" s="54" t="s">
        <v>4206</v>
      </c>
      <c r="E13" s="54" t="s">
        <v>4207</v>
      </c>
      <c r="F13" s="54" t="s">
        <v>4208</v>
      </c>
      <c r="G13" s="54" t="s">
        <v>4209</v>
      </c>
      <c r="H13" s="54" t="s">
        <v>4210</v>
      </c>
    </row>
    <row r="14" spans="1:8" ht="42" customHeight="1">
      <c r="A14" s="7" t="s">
        <v>3843</v>
      </c>
      <c r="B14" s="7" t="s">
        <v>3844</v>
      </c>
      <c r="C14" s="7" t="s">
        <v>3830</v>
      </c>
      <c r="D14" s="7" t="s">
        <v>4206</v>
      </c>
      <c r="E14" s="7" t="s">
        <v>4207</v>
      </c>
      <c r="F14" s="7" t="s">
        <v>4208</v>
      </c>
      <c r="G14" s="7" t="s">
        <v>4209</v>
      </c>
      <c r="H14" s="7" t="s">
        <v>4210</v>
      </c>
    </row>
    <row r="15" spans="1:8" ht="42" customHeight="1">
      <c r="A15" s="54" t="s">
        <v>3845</v>
      </c>
      <c r="B15" s="54" t="s">
        <v>3846</v>
      </c>
      <c r="C15" s="54" t="s">
        <v>3830</v>
      </c>
      <c r="D15" s="54" t="s">
        <v>4206</v>
      </c>
      <c r="E15" s="54" t="s">
        <v>4207</v>
      </c>
      <c r="F15" s="54" t="s">
        <v>4208</v>
      </c>
      <c r="G15" s="54" t="s">
        <v>4209</v>
      </c>
      <c r="H15" s="54" t="s">
        <v>4210</v>
      </c>
    </row>
    <row r="16" spans="1:8" ht="42" customHeight="1">
      <c r="A16" s="7" t="s">
        <v>3847</v>
      </c>
      <c r="B16" s="7" t="s">
        <v>3523</v>
      </c>
      <c r="C16" s="7" t="s">
        <v>3830</v>
      </c>
      <c r="D16" s="7" t="s">
        <v>4214</v>
      </c>
      <c r="E16" s="7" t="s">
        <v>4207</v>
      </c>
      <c r="F16" s="7" t="s">
        <v>4215</v>
      </c>
      <c r="G16" s="7" t="s">
        <v>4216</v>
      </c>
      <c r="H16" s="7" t="s">
        <v>4210</v>
      </c>
    </row>
    <row r="17" spans="1:8" ht="42" customHeight="1">
      <c r="A17" s="54" t="s">
        <v>3848</v>
      </c>
      <c r="B17" s="54" t="s">
        <v>3849</v>
      </c>
      <c r="C17" s="54" t="s">
        <v>3850</v>
      </c>
      <c r="D17" s="54" t="s">
        <v>4206</v>
      </c>
      <c r="E17" s="54" t="s">
        <v>4207</v>
      </c>
      <c r="F17" s="54" t="s">
        <v>4208</v>
      </c>
      <c r="G17" s="54" t="s">
        <v>4209</v>
      </c>
      <c r="H17" s="54" t="s">
        <v>4210</v>
      </c>
    </row>
    <row r="18" spans="1:8" ht="42" customHeight="1">
      <c r="A18" s="7" t="s">
        <v>3851</v>
      </c>
      <c r="B18" s="7" t="s">
        <v>3852</v>
      </c>
      <c r="C18" s="7" t="s">
        <v>3830</v>
      </c>
      <c r="D18" s="7" t="s">
        <v>4206</v>
      </c>
      <c r="E18" s="7" t="s">
        <v>4207</v>
      </c>
      <c r="F18" s="7" t="s">
        <v>4208</v>
      </c>
      <c r="G18" s="7" t="s">
        <v>4209</v>
      </c>
      <c r="H18" s="7" t="s">
        <v>4210</v>
      </c>
    </row>
    <row r="19" spans="1:8" ht="42" customHeight="1">
      <c r="A19" s="54" t="s">
        <v>3853</v>
      </c>
      <c r="B19" s="54" t="s">
        <v>3854</v>
      </c>
      <c r="C19" s="54" t="s">
        <v>3830</v>
      </c>
      <c r="D19" s="54" t="s">
        <v>4206</v>
      </c>
      <c r="E19" s="54" t="s">
        <v>4207</v>
      </c>
      <c r="F19" s="54" t="s">
        <v>4208</v>
      </c>
      <c r="G19" s="54" t="s">
        <v>4209</v>
      </c>
      <c r="H19" s="54" t="s">
        <v>4210</v>
      </c>
    </row>
    <row r="20" spans="1:8" ht="42" customHeight="1">
      <c r="A20" s="7" t="s">
        <v>3855</v>
      </c>
      <c r="B20" s="7" t="s">
        <v>3856</v>
      </c>
      <c r="C20" s="7" t="s">
        <v>3857</v>
      </c>
      <c r="D20" s="7" t="s">
        <v>4206</v>
      </c>
      <c r="E20" s="7" t="s">
        <v>4207</v>
      </c>
      <c r="F20" s="7" t="s">
        <v>4208</v>
      </c>
      <c r="G20" s="7" t="s">
        <v>4209</v>
      </c>
      <c r="H20" s="7" t="s">
        <v>4210</v>
      </c>
    </row>
    <row r="21" spans="1:8" ht="42" customHeight="1">
      <c r="A21" s="54" t="s">
        <v>3858</v>
      </c>
      <c r="B21" s="54" t="s">
        <v>3859</v>
      </c>
      <c r="C21" s="54" t="s">
        <v>3857</v>
      </c>
      <c r="D21" s="54" t="s">
        <v>4206</v>
      </c>
      <c r="E21" s="54" t="s">
        <v>4207</v>
      </c>
      <c r="F21" s="54" t="s">
        <v>4208</v>
      </c>
      <c r="G21" s="54" t="s">
        <v>4209</v>
      </c>
      <c r="H21" s="54" t="s">
        <v>4210</v>
      </c>
    </row>
    <row r="22" spans="1:8" ht="42" customHeight="1">
      <c r="A22" s="7" t="s">
        <v>3860</v>
      </c>
      <c r="B22" s="7" t="s">
        <v>3861</v>
      </c>
      <c r="C22" s="7" t="s">
        <v>3857</v>
      </c>
      <c r="D22" s="7" t="s">
        <v>4206</v>
      </c>
      <c r="E22" s="7" t="s">
        <v>4207</v>
      </c>
      <c r="F22" s="7" t="s">
        <v>4208</v>
      </c>
      <c r="G22" s="7" t="s">
        <v>4209</v>
      </c>
      <c r="H22" s="7" t="s">
        <v>4210</v>
      </c>
    </row>
    <row r="23" spans="1:8" ht="42" customHeight="1">
      <c r="A23" s="54" t="s">
        <v>3862</v>
      </c>
      <c r="B23" s="54" t="s">
        <v>3863</v>
      </c>
      <c r="C23" s="54" t="s">
        <v>3857</v>
      </c>
      <c r="D23" s="54" t="s">
        <v>4206</v>
      </c>
      <c r="E23" s="54" t="s">
        <v>4207</v>
      </c>
      <c r="F23" s="54" t="s">
        <v>4208</v>
      </c>
      <c r="G23" s="54" t="s">
        <v>4209</v>
      </c>
      <c r="H23" s="54" t="s">
        <v>4210</v>
      </c>
    </row>
    <row r="24" spans="1:8" ht="42" customHeight="1">
      <c r="A24" s="7" t="s">
        <v>3864</v>
      </c>
      <c r="B24" s="7" t="s">
        <v>3865</v>
      </c>
      <c r="C24" s="7" t="s">
        <v>3830</v>
      </c>
      <c r="D24" s="7" t="s">
        <v>4206</v>
      </c>
      <c r="E24" s="7" t="s">
        <v>4207</v>
      </c>
      <c r="F24" s="7" t="s">
        <v>4208</v>
      </c>
      <c r="G24" s="7" t="s">
        <v>4209</v>
      </c>
      <c r="H24" s="7" t="s">
        <v>4210</v>
      </c>
    </row>
    <row r="25" spans="1:8" ht="42" customHeight="1">
      <c r="A25" s="54" t="s">
        <v>3866</v>
      </c>
      <c r="B25" s="54" t="s">
        <v>3867</v>
      </c>
      <c r="C25" s="54" t="s">
        <v>3830</v>
      </c>
      <c r="D25" s="54" t="s">
        <v>4206</v>
      </c>
      <c r="E25" s="54" t="s">
        <v>4207</v>
      </c>
      <c r="F25" s="54" t="s">
        <v>4208</v>
      </c>
      <c r="G25" s="54" t="s">
        <v>4209</v>
      </c>
      <c r="H25" s="54" t="s">
        <v>4210</v>
      </c>
    </row>
    <row r="26" spans="1:8" ht="42" customHeight="1">
      <c r="A26" s="7" t="s">
        <v>3868</v>
      </c>
      <c r="B26" s="7" t="s">
        <v>3869</v>
      </c>
      <c r="C26" s="7" t="s">
        <v>3830</v>
      </c>
      <c r="D26" s="7" t="s">
        <v>4206</v>
      </c>
      <c r="E26" s="7" t="s">
        <v>4207</v>
      </c>
      <c r="F26" s="7" t="s">
        <v>4208</v>
      </c>
      <c r="G26" s="7" t="s">
        <v>4209</v>
      </c>
      <c r="H26" s="7" t="s">
        <v>4210</v>
      </c>
    </row>
    <row r="27" spans="1:8" ht="42" customHeight="1">
      <c r="A27" s="54" t="s">
        <v>3870</v>
      </c>
      <c r="B27" s="54" t="s">
        <v>3871</v>
      </c>
      <c r="C27" s="54" t="s">
        <v>3813</v>
      </c>
      <c r="D27" s="54" t="s">
        <v>4206</v>
      </c>
      <c r="E27" s="54" t="s">
        <v>4207</v>
      </c>
      <c r="F27" s="54" t="s">
        <v>4208</v>
      </c>
      <c r="G27" s="54" t="s">
        <v>4209</v>
      </c>
      <c r="H27" s="54" t="s">
        <v>4210</v>
      </c>
    </row>
    <row r="28" spans="1:8" ht="42" customHeight="1">
      <c r="A28" s="7" t="s">
        <v>3872</v>
      </c>
      <c r="B28" s="7" t="s">
        <v>3873</v>
      </c>
      <c r="C28" s="7" t="s">
        <v>3813</v>
      </c>
      <c r="D28" s="7" t="s">
        <v>4206</v>
      </c>
      <c r="E28" s="7" t="s">
        <v>4207</v>
      </c>
      <c r="F28" s="7" t="s">
        <v>4208</v>
      </c>
      <c r="G28" s="7" t="s">
        <v>4209</v>
      </c>
      <c r="H28" s="7" t="s">
        <v>4210</v>
      </c>
    </row>
    <row r="29" spans="1:8" ht="42" customHeight="1">
      <c r="A29" s="54" t="s">
        <v>3874</v>
      </c>
      <c r="B29" s="54" t="s">
        <v>3875</v>
      </c>
      <c r="C29" s="54" t="s">
        <v>3813</v>
      </c>
      <c r="D29" s="54" t="s">
        <v>4206</v>
      </c>
      <c r="E29" s="54" t="s">
        <v>4207</v>
      </c>
      <c r="F29" s="54" t="s">
        <v>4208</v>
      </c>
      <c r="G29" s="54" t="s">
        <v>4209</v>
      </c>
      <c r="H29" s="54" t="s">
        <v>4210</v>
      </c>
    </row>
    <row r="30" spans="1:8" ht="42" customHeight="1">
      <c r="A30" s="7" t="s">
        <v>3876</v>
      </c>
      <c r="B30" s="7" t="s">
        <v>3877</v>
      </c>
      <c r="C30" s="7" t="s">
        <v>3813</v>
      </c>
      <c r="D30" s="7" t="s">
        <v>4206</v>
      </c>
      <c r="E30" s="7" t="s">
        <v>4207</v>
      </c>
      <c r="F30" s="7" t="s">
        <v>4208</v>
      </c>
      <c r="G30" s="7" t="s">
        <v>4209</v>
      </c>
      <c r="H30" s="7" t="s">
        <v>4210</v>
      </c>
    </row>
    <row r="31" spans="1:8" ht="42" customHeight="1">
      <c r="A31" s="54" t="s">
        <v>3878</v>
      </c>
      <c r="B31" s="54" t="s">
        <v>3879</v>
      </c>
      <c r="C31" s="54" t="s">
        <v>3813</v>
      </c>
      <c r="D31" s="54" t="s">
        <v>4206</v>
      </c>
      <c r="E31" s="54" t="s">
        <v>4207</v>
      </c>
      <c r="F31" s="54" t="s">
        <v>4208</v>
      </c>
      <c r="G31" s="54" t="s">
        <v>4209</v>
      </c>
      <c r="H31" s="54" t="s">
        <v>4210</v>
      </c>
    </row>
    <row r="32" spans="1:8" ht="42" customHeight="1">
      <c r="A32" s="7" t="s">
        <v>3880</v>
      </c>
      <c r="B32" s="7" t="s">
        <v>3881</v>
      </c>
      <c r="C32" s="7" t="s">
        <v>3813</v>
      </c>
      <c r="D32" s="7" t="s">
        <v>4206</v>
      </c>
      <c r="E32" s="7" t="s">
        <v>4207</v>
      </c>
      <c r="F32" s="7" t="s">
        <v>4208</v>
      </c>
      <c r="G32" s="7" t="s">
        <v>4209</v>
      </c>
      <c r="H32" s="7" t="s">
        <v>4210</v>
      </c>
    </row>
    <row r="33" spans="1:8" ht="42" customHeight="1">
      <c r="A33" s="54" t="s">
        <v>3882</v>
      </c>
      <c r="B33" s="54" t="s">
        <v>3883</v>
      </c>
      <c r="C33" s="54" t="s">
        <v>3813</v>
      </c>
      <c r="D33" s="54" t="s">
        <v>4206</v>
      </c>
      <c r="E33" s="54" t="s">
        <v>4207</v>
      </c>
      <c r="F33" s="54" t="s">
        <v>4208</v>
      </c>
      <c r="G33" s="54" t="s">
        <v>4209</v>
      </c>
      <c r="H33" s="54" t="s">
        <v>4210</v>
      </c>
    </row>
    <row r="34" spans="1:8" ht="42" customHeight="1">
      <c r="A34" s="7" t="s">
        <v>3884</v>
      </c>
      <c r="B34" s="7" t="s">
        <v>3885</v>
      </c>
      <c r="C34" s="7" t="s">
        <v>3886</v>
      </c>
      <c r="D34" s="7" t="s">
        <v>4217</v>
      </c>
      <c r="E34" s="7" t="s">
        <v>4207</v>
      </c>
      <c r="F34" s="7" t="s">
        <v>4218</v>
      </c>
      <c r="G34" s="7" t="s">
        <v>4219</v>
      </c>
      <c r="H34" s="7" t="s">
        <v>4210</v>
      </c>
    </row>
    <row r="35" spans="1:8" ht="42" customHeight="1">
      <c r="A35" s="54" t="s">
        <v>3887</v>
      </c>
      <c r="B35" s="54" t="s">
        <v>3888</v>
      </c>
      <c r="C35" s="54" t="s">
        <v>3827</v>
      </c>
      <c r="D35" s="54" t="s">
        <v>4211</v>
      </c>
      <c r="E35" s="54" t="s">
        <v>4207</v>
      </c>
      <c r="F35" s="54" t="s">
        <v>4212</v>
      </c>
      <c r="G35" s="54" t="s">
        <v>4213</v>
      </c>
      <c r="H35" s="54" t="s">
        <v>4210</v>
      </c>
    </row>
    <row r="36" spans="1:8" ht="42" customHeight="1">
      <c r="A36" s="7" t="s">
        <v>3889</v>
      </c>
      <c r="B36" s="7" t="s">
        <v>3890</v>
      </c>
      <c r="C36" s="7" t="s">
        <v>3827</v>
      </c>
      <c r="D36" s="7" t="s">
        <v>4211</v>
      </c>
      <c r="E36" s="7" t="s">
        <v>4207</v>
      </c>
      <c r="F36" s="7" t="s">
        <v>4212</v>
      </c>
      <c r="G36" s="7" t="s">
        <v>4213</v>
      </c>
      <c r="H36" s="7" t="s">
        <v>4210</v>
      </c>
    </row>
    <row r="37" spans="1:8" ht="42" customHeight="1">
      <c r="A37" s="54" t="s">
        <v>3891</v>
      </c>
      <c r="B37" s="54" t="s">
        <v>3892</v>
      </c>
      <c r="C37" s="54" t="s">
        <v>3893</v>
      </c>
      <c r="D37" s="54" t="s">
        <v>4211</v>
      </c>
      <c r="E37" s="54" t="s">
        <v>4207</v>
      </c>
      <c r="F37" s="54" t="s">
        <v>4212</v>
      </c>
      <c r="G37" s="54" t="s">
        <v>4213</v>
      </c>
      <c r="H37" s="54" t="s">
        <v>4210</v>
      </c>
    </row>
    <row r="38" spans="1:8" ht="42" customHeight="1">
      <c r="A38" s="7" t="s">
        <v>3894</v>
      </c>
      <c r="B38" s="7" t="s">
        <v>3895</v>
      </c>
      <c r="C38" s="7" t="s">
        <v>3827</v>
      </c>
      <c r="D38" s="7" t="s">
        <v>4206</v>
      </c>
      <c r="E38" s="7" t="s">
        <v>4207</v>
      </c>
      <c r="F38" s="7" t="s">
        <v>4208</v>
      </c>
      <c r="G38" s="7" t="s">
        <v>4209</v>
      </c>
      <c r="H38" s="7" t="s">
        <v>4210</v>
      </c>
    </row>
    <row r="39" spans="1:8" ht="42" customHeight="1">
      <c r="A39" s="54" t="s">
        <v>3896</v>
      </c>
      <c r="B39" s="54" t="s">
        <v>3897</v>
      </c>
      <c r="C39" s="54" t="s">
        <v>3827</v>
      </c>
      <c r="D39" s="54" t="s">
        <v>4206</v>
      </c>
      <c r="E39" s="54" t="s">
        <v>4207</v>
      </c>
      <c r="F39" s="54" t="s">
        <v>4208</v>
      </c>
      <c r="G39" s="54" t="s">
        <v>4209</v>
      </c>
      <c r="H39" s="54" t="s">
        <v>4210</v>
      </c>
    </row>
    <row r="40" spans="1:8" ht="42" customHeight="1">
      <c r="A40" s="7" t="s">
        <v>3898</v>
      </c>
      <c r="B40" s="7" t="s">
        <v>3899</v>
      </c>
      <c r="C40" s="7" t="s">
        <v>3827</v>
      </c>
      <c r="D40" s="7" t="s">
        <v>4206</v>
      </c>
      <c r="E40" s="7" t="s">
        <v>4207</v>
      </c>
      <c r="F40" s="7" t="s">
        <v>4208</v>
      </c>
      <c r="G40" s="7" t="s">
        <v>4209</v>
      </c>
      <c r="H40" s="7" t="s">
        <v>4210</v>
      </c>
    </row>
    <row r="41" spans="1:8" ht="42" customHeight="1">
      <c r="A41" s="54" t="s">
        <v>3900</v>
      </c>
      <c r="B41" s="54" t="s">
        <v>3901</v>
      </c>
      <c r="C41" s="54" t="s">
        <v>3827</v>
      </c>
      <c r="D41" s="54" t="s">
        <v>4206</v>
      </c>
      <c r="E41" s="54" t="s">
        <v>4207</v>
      </c>
      <c r="F41" s="54" t="s">
        <v>4208</v>
      </c>
      <c r="G41" s="54" t="s">
        <v>4209</v>
      </c>
      <c r="H41" s="54" t="s">
        <v>4210</v>
      </c>
    </row>
    <row r="42" spans="1:8" ht="42" customHeight="1">
      <c r="A42" s="7" t="s">
        <v>3902</v>
      </c>
      <c r="B42" s="7" t="s">
        <v>3903</v>
      </c>
      <c r="C42" s="7" t="s">
        <v>3830</v>
      </c>
      <c r="D42" s="7" t="s">
        <v>4206</v>
      </c>
      <c r="E42" s="7" t="s">
        <v>4207</v>
      </c>
      <c r="F42" s="7" t="s">
        <v>4208</v>
      </c>
      <c r="G42" s="7" t="s">
        <v>4209</v>
      </c>
      <c r="H42" s="7" t="s">
        <v>4210</v>
      </c>
    </row>
    <row r="43" spans="1:8" ht="42" customHeight="1">
      <c r="A43" s="54" t="s">
        <v>3904</v>
      </c>
      <c r="B43" s="54" t="s">
        <v>3905</v>
      </c>
      <c r="C43" s="54" t="s">
        <v>3827</v>
      </c>
      <c r="D43" s="54" t="s">
        <v>4206</v>
      </c>
      <c r="E43" s="54" t="s">
        <v>4207</v>
      </c>
      <c r="F43" s="54" t="s">
        <v>4208</v>
      </c>
      <c r="G43" s="54" t="s">
        <v>4209</v>
      </c>
      <c r="H43" s="54" t="s">
        <v>4210</v>
      </c>
    </row>
    <row r="44" spans="1:8" ht="42" customHeight="1">
      <c r="A44" s="7" t="s">
        <v>3906</v>
      </c>
      <c r="B44" s="7" t="s">
        <v>3907</v>
      </c>
      <c r="C44" s="7" t="s">
        <v>3827</v>
      </c>
      <c r="D44" s="7" t="s">
        <v>4206</v>
      </c>
      <c r="E44" s="7" t="s">
        <v>4207</v>
      </c>
      <c r="F44" s="7" t="s">
        <v>4208</v>
      </c>
      <c r="G44" s="7" t="s">
        <v>4209</v>
      </c>
      <c r="H44" s="7" t="s">
        <v>4210</v>
      </c>
    </row>
    <row r="45" spans="1:8" ht="42" customHeight="1">
      <c r="A45" s="54" t="s">
        <v>3908</v>
      </c>
      <c r="B45" s="54" t="s">
        <v>3909</v>
      </c>
      <c r="C45" s="54" t="s">
        <v>3886</v>
      </c>
      <c r="D45" s="54" t="s">
        <v>4217</v>
      </c>
      <c r="E45" s="54" t="s">
        <v>4207</v>
      </c>
      <c r="F45" s="54" t="s">
        <v>4218</v>
      </c>
      <c r="G45" s="54" t="s">
        <v>4219</v>
      </c>
      <c r="H45" s="54" t="s">
        <v>4210</v>
      </c>
    </row>
    <row r="46" spans="1:8" ht="42" customHeight="1">
      <c r="A46" s="7" t="s">
        <v>3910</v>
      </c>
      <c r="B46" s="7" t="s">
        <v>3911</v>
      </c>
      <c r="C46" s="7" t="s">
        <v>3886</v>
      </c>
      <c r="D46" s="7" t="s">
        <v>4217</v>
      </c>
      <c r="E46" s="7" t="s">
        <v>4207</v>
      </c>
      <c r="F46" s="7" t="s">
        <v>4218</v>
      </c>
      <c r="G46" s="7" t="s">
        <v>4219</v>
      </c>
      <c r="H46" s="7" t="s">
        <v>4210</v>
      </c>
    </row>
    <row r="47" spans="1:8" ht="42" customHeight="1">
      <c r="A47" s="54" t="s">
        <v>3912</v>
      </c>
      <c r="B47" s="54" t="s">
        <v>3913</v>
      </c>
      <c r="C47" s="54" t="s">
        <v>3830</v>
      </c>
      <c r="D47" s="54" t="s">
        <v>4206</v>
      </c>
      <c r="E47" s="54" t="s">
        <v>4207</v>
      </c>
      <c r="F47" s="54" t="s">
        <v>4208</v>
      </c>
      <c r="G47" s="54" t="s">
        <v>4209</v>
      </c>
      <c r="H47" s="54" t="s">
        <v>4210</v>
      </c>
    </row>
    <row r="48" spans="1:8" ht="42" customHeight="1">
      <c r="A48" s="7" t="s">
        <v>3914</v>
      </c>
      <c r="B48" s="7" t="s">
        <v>3915</v>
      </c>
      <c r="C48" s="7" t="s">
        <v>3830</v>
      </c>
      <c r="D48" s="7" t="s">
        <v>4206</v>
      </c>
      <c r="E48" s="7" t="s">
        <v>4207</v>
      </c>
      <c r="F48" s="7" t="s">
        <v>4208</v>
      </c>
      <c r="G48" s="7" t="s">
        <v>4209</v>
      </c>
      <c r="H48" s="7" t="s">
        <v>4210</v>
      </c>
    </row>
    <row r="49" spans="1:8" ht="42" customHeight="1">
      <c r="A49" s="54" t="s">
        <v>3916</v>
      </c>
      <c r="B49" s="54" t="s">
        <v>3917</v>
      </c>
      <c r="C49" s="54" t="s">
        <v>3813</v>
      </c>
      <c r="D49" s="54" t="s">
        <v>4206</v>
      </c>
      <c r="E49" s="54" t="s">
        <v>4207</v>
      </c>
      <c r="F49" s="54" t="s">
        <v>4208</v>
      </c>
      <c r="G49" s="54" t="s">
        <v>4209</v>
      </c>
      <c r="H49" s="54" t="s">
        <v>4210</v>
      </c>
    </row>
    <row r="50" spans="1:8" ht="42" customHeight="1">
      <c r="A50" s="7" t="s">
        <v>3918</v>
      </c>
      <c r="B50" s="7" t="s">
        <v>3919</v>
      </c>
      <c r="C50" s="7" t="s">
        <v>3813</v>
      </c>
      <c r="D50" s="7" t="s">
        <v>4206</v>
      </c>
      <c r="E50" s="7" t="s">
        <v>4207</v>
      </c>
      <c r="F50" s="7" t="s">
        <v>4208</v>
      </c>
      <c r="G50" s="7" t="s">
        <v>4209</v>
      </c>
      <c r="H50" s="7" t="s">
        <v>4210</v>
      </c>
    </row>
    <row r="51" spans="1:8" ht="42" customHeight="1">
      <c r="A51" s="54" t="s">
        <v>3920</v>
      </c>
      <c r="B51" s="54" t="s">
        <v>3921</v>
      </c>
      <c r="C51" s="54" t="s">
        <v>3813</v>
      </c>
      <c r="D51" s="54" t="s">
        <v>4206</v>
      </c>
      <c r="E51" s="54" t="s">
        <v>4207</v>
      </c>
      <c r="F51" s="54" t="s">
        <v>4208</v>
      </c>
      <c r="G51" s="54" t="s">
        <v>4209</v>
      </c>
      <c r="H51" s="54" t="s">
        <v>4210</v>
      </c>
    </row>
    <row r="52" spans="1:8" ht="42" customHeight="1">
      <c r="A52" s="7" t="s">
        <v>3922</v>
      </c>
      <c r="B52" s="7" t="s">
        <v>3923</v>
      </c>
      <c r="C52" s="7" t="s">
        <v>3830</v>
      </c>
      <c r="D52" s="7" t="s">
        <v>4206</v>
      </c>
      <c r="E52" s="7" t="s">
        <v>4207</v>
      </c>
      <c r="F52" s="7" t="s">
        <v>4208</v>
      </c>
      <c r="G52" s="7" t="s">
        <v>4209</v>
      </c>
      <c r="H52" s="7" t="s">
        <v>4210</v>
      </c>
    </row>
    <row r="53" spans="1:8" ht="42" customHeight="1">
      <c r="A53" s="54" t="s">
        <v>3924</v>
      </c>
      <c r="B53" s="54" t="s">
        <v>3925</v>
      </c>
      <c r="C53" s="54" t="s">
        <v>3813</v>
      </c>
      <c r="D53" s="54" t="s">
        <v>4206</v>
      </c>
      <c r="E53" s="54" t="s">
        <v>4207</v>
      </c>
      <c r="F53" s="54" t="s">
        <v>4208</v>
      </c>
      <c r="G53" s="54" t="s">
        <v>4209</v>
      </c>
      <c r="H53" s="54" t="s">
        <v>4210</v>
      </c>
    </row>
    <row r="54" spans="1:8" ht="42" customHeight="1">
      <c r="A54" s="7" t="s">
        <v>3926</v>
      </c>
      <c r="B54" s="7" t="s">
        <v>3927</v>
      </c>
      <c r="C54" s="7" t="s">
        <v>3850</v>
      </c>
      <c r="D54" s="7" t="s">
        <v>4206</v>
      </c>
      <c r="E54" s="7" t="s">
        <v>4207</v>
      </c>
      <c r="F54" s="7" t="s">
        <v>4208</v>
      </c>
      <c r="G54" s="7" t="s">
        <v>4209</v>
      </c>
      <c r="H54" s="7" t="s">
        <v>4210</v>
      </c>
    </row>
    <row r="55" spans="1:8" ht="42" customHeight="1">
      <c r="A55" s="54" t="s">
        <v>3928</v>
      </c>
      <c r="B55" s="54" t="s">
        <v>3929</v>
      </c>
      <c r="C55" s="54" t="s">
        <v>3830</v>
      </c>
      <c r="D55" s="54" t="s">
        <v>4206</v>
      </c>
      <c r="E55" s="54" t="s">
        <v>4207</v>
      </c>
      <c r="F55" s="54" t="s">
        <v>4208</v>
      </c>
      <c r="G55" s="54" t="s">
        <v>4209</v>
      </c>
      <c r="H55" s="54" t="s">
        <v>4210</v>
      </c>
    </row>
    <row r="56" spans="1:8" ht="42" customHeight="1">
      <c r="A56" s="7" t="s">
        <v>3930</v>
      </c>
      <c r="B56" s="7" t="s">
        <v>3931</v>
      </c>
      <c r="C56" s="7" t="s">
        <v>3830</v>
      </c>
      <c r="D56" s="7" t="s">
        <v>4206</v>
      </c>
      <c r="E56" s="7" t="s">
        <v>4207</v>
      </c>
      <c r="F56" s="7" t="s">
        <v>4208</v>
      </c>
      <c r="G56" s="7" t="s">
        <v>4209</v>
      </c>
      <c r="H56" s="7" t="s">
        <v>4210</v>
      </c>
    </row>
    <row r="57" spans="1:8" ht="42" customHeight="1">
      <c r="A57" s="54" t="s">
        <v>3932</v>
      </c>
      <c r="B57" s="54" t="s">
        <v>3933</v>
      </c>
      <c r="C57" s="54" t="s">
        <v>3830</v>
      </c>
      <c r="D57" s="54" t="s">
        <v>4206</v>
      </c>
      <c r="E57" s="54" t="s">
        <v>4207</v>
      </c>
      <c r="F57" s="54" t="s">
        <v>4208</v>
      </c>
      <c r="G57" s="54" t="s">
        <v>4209</v>
      </c>
      <c r="H57" s="54" t="s">
        <v>4210</v>
      </c>
    </row>
    <row r="58" spans="1:8" ht="42" customHeight="1">
      <c r="A58" s="7" t="s">
        <v>3934</v>
      </c>
      <c r="B58" s="7" t="s">
        <v>3935</v>
      </c>
      <c r="C58" s="7" t="s">
        <v>3830</v>
      </c>
      <c r="D58" s="7" t="s">
        <v>4206</v>
      </c>
      <c r="E58" s="7" t="s">
        <v>4207</v>
      </c>
      <c r="F58" s="7" t="s">
        <v>4208</v>
      </c>
      <c r="G58" s="7" t="s">
        <v>4209</v>
      </c>
      <c r="H58" s="7" t="s">
        <v>4210</v>
      </c>
    </row>
    <row r="59" spans="1:8" ht="42" customHeight="1">
      <c r="A59" s="54" t="s">
        <v>3936</v>
      </c>
      <c r="B59" s="54" t="s">
        <v>3937</v>
      </c>
      <c r="C59" s="54" t="s">
        <v>3830</v>
      </c>
      <c r="D59" s="54" t="s">
        <v>4206</v>
      </c>
      <c r="E59" s="54" t="s">
        <v>4207</v>
      </c>
      <c r="F59" s="54" t="s">
        <v>4208</v>
      </c>
      <c r="G59" s="54" t="s">
        <v>4209</v>
      </c>
      <c r="H59" s="54" t="s">
        <v>4210</v>
      </c>
    </row>
    <row r="60" spans="1:8" ht="42" customHeight="1">
      <c r="A60" s="7" t="s">
        <v>3938</v>
      </c>
      <c r="B60" s="7" t="s">
        <v>3939</v>
      </c>
      <c r="C60" s="7" t="s">
        <v>3940</v>
      </c>
      <c r="D60" s="7" t="s">
        <v>4206</v>
      </c>
      <c r="E60" s="7" t="s">
        <v>4207</v>
      </c>
      <c r="F60" s="7" t="s">
        <v>4208</v>
      </c>
      <c r="G60" s="7" t="s">
        <v>4209</v>
      </c>
      <c r="H60" s="7" t="s">
        <v>4210</v>
      </c>
    </row>
    <row r="61" spans="1:8" ht="42" customHeight="1">
      <c r="A61" s="54" t="s">
        <v>3941</v>
      </c>
      <c r="B61" s="54" t="s">
        <v>3942</v>
      </c>
      <c r="C61" s="54" t="s">
        <v>3830</v>
      </c>
      <c r="D61" s="54" t="s">
        <v>4206</v>
      </c>
      <c r="E61" s="54" t="s">
        <v>4207</v>
      </c>
      <c r="F61" s="54" t="s">
        <v>4208</v>
      </c>
      <c r="G61" s="54" t="s">
        <v>4209</v>
      </c>
      <c r="H61" s="54" t="s">
        <v>4210</v>
      </c>
    </row>
    <row r="62" spans="1:8" ht="42" customHeight="1">
      <c r="A62" s="7" t="s">
        <v>3943</v>
      </c>
      <c r="B62" s="7" t="s">
        <v>3944</v>
      </c>
      <c r="C62" s="7" t="s">
        <v>3830</v>
      </c>
      <c r="D62" s="7" t="s">
        <v>4206</v>
      </c>
      <c r="E62" s="7" t="s">
        <v>4207</v>
      </c>
      <c r="F62" s="7" t="s">
        <v>4208</v>
      </c>
      <c r="G62" s="7" t="s">
        <v>4209</v>
      </c>
      <c r="H62" s="7" t="s">
        <v>4210</v>
      </c>
    </row>
    <row r="63" spans="1:8" ht="42" customHeight="1">
      <c r="A63" s="54" t="s">
        <v>3945</v>
      </c>
      <c r="B63" s="54" t="s">
        <v>3946</v>
      </c>
      <c r="C63" s="54" t="s">
        <v>3886</v>
      </c>
      <c r="D63" s="54" t="s">
        <v>4217</v>
      </c>
      <c r="E63" s="54" t="s">
        <v>4207</v>
      </c>
      <c r="F63" s="54" t="s">
        <v>4218</v>
      </c>
      <c r="G63" s="54" t="s">
        <v>4219</v>
      </c>
      <c r="H63" s="54" t="s">
        <v>4210</v>
      </c>
    </row>
    <row r="64" spans="1:8" ht="42" customHeight="1">
      <c r="A64" s="7" t="s">
        <v>3947</v>
      </c>
      <c r="B64" s="7" t="s">
        <v>3948</v>
      </c>
      <c r="C64" s="7" t="s">
        <v>3886</v>
      </c>
      <c r="D64" s="7" t="s">
        <v>4217</v>
      </c>
      <c r="E64" s="7" t="s">
        <v>4207</v>
      </c>
      <c r="F64" s="7" t="s">
        <v>4218</v>
      </c>
      <c r="G64" s="7" t="s">
        <v>4219</v>
      </c>
      <c r="H64" s="7" t="s">
        <v>4210</v>
      </c>
    </row>
    <row r="65" spans="1:8" ht="42" customHeight="1">
      <c r="A65" s="54" t="s">
        <v>3949</v>
      </c>
      <c r="B65" s="54" t="s">
        <v>3950</v>
      </c>
      <c r="C65" s="54" t="s">
        <v>3886</v>
      </c>
      <c r="D65" s="54" t="s">
        <v>4211</v>
      </c>
      <c r="E65" s="54" t="s">
        <v>4207</v>
      </c>
      <c r="F65" s="54" t="s">
        <v>4212</v>
      </c>
      <c r="G65" s="54" t="s">
        <v>4213</v>
      </c>
      <c r="H65" s="54" t="s">
        <v>4210</v>
      </c>
    </row>
    <row r="66" spans="1:8" ht="42" customHeight="1">
      <c r="A66" s="7" t="s">
        <v>3951</v>
      </c>
      <c r="B66" s="7" t="s">
        <v>3952</v>
      </c>
      <c r="C66" s="7" t="s">
        <v>3830</v>
      </c>
      <c r="D66" s="7" t="s">
        <v>4206</v>
      </c>
      <c r="E66" s="7" t="s">
        <v>4207</v>
      </c>
      <c r="F66" s="7" t="s">
        <v>4208</v>
      </c>
      <c r="G66" s="7" t="s">
        <v>4209</v>
      </c>
      <c r="H66" s="7" t="s">
        <v>4210</v>
      </c>
    </row>
    <row r="67" spans="1:8" ht="42" customHeight="1">
      <c r="A67" s="54" t="s">
        <v>3953</v>
      </c>
      <c r="B67" s="54" t="s">
        <v>3954</v>
      </c>
      <c r="C67" s="54" t="s">
        <v>3830</v>
      </c>
      <c r="D67" s="54" t="s">
        <v>4206</v>
      </c>
      <c r="E67" s="54" t="s">
        <v>4207</v>
      </c>
      <c r="F67" s="54" t="s">
        <v>4208</v>
      </c>
      <c r="G67" s="54" t="s">
        <v>4209</v>
      </c>
      <c r="H67" s="54" t="s">
        <v>4210</v>
      </c>
    </row>
    <row r="68" spans="1:8" ht="42" customHeight="1">
      <c r="A68" s="7" t="s">
        <v>3955</v>
      </c>
      <c r="B68" s="7" t="s">
        <v>3956</v>
      </c>
      <c r="C68" s="7" t="s">
        <v>3850</v>
      </c>
      <c r="D68" s="7" t="s">
        <v>4206</v>
      </c>
      <c r="E68" s="7" t="s">
        <v>4207</v>
      </c>
      <c r="F68" s="7" t="s">
        <v>4208</v>
      </c>
      <c r="G68" s="7" t="s">
        <v>4209</v>
      </c>
      <c r="H68" s="7" t="s">
        <v>4210</v>
      </c>
    </row>
    <row r="69" spans="1:8" ht="42" customHeight="1">
      <c r="A69" s="54" t="s">
        <v>3957</v>
      </c>
      <c r="B69" s="54" t="s">
        <v>3958</v>
      </c>
      <c r="C69" s="54" t="s">
        <v>3850</v>
      </c>
      <c r="D69" s="54" t="s">
        <v>4206</v>
      </c>
      <c r="E69" s="54" t="s">
        <v>4207</v>
      </c>
      <c r="F69" s="54" t="s">
        <v>4208</v>
      </c>
      <c r="G69" s="54" t="s">
        <v>4209</v>
      </c>
      <c r="H69" s="54" t="s">
        <v>4210</v>
      </c>
    </row>
    <row r="70" spans="1:8" ht="42" customHeight="1">
      <c r="A70" s="7" t="s">
        <v>3959</v>
      </c>
      <c r="B70" s="7" t="s">
        <v>3960</v>
      </c>
      <c r="C70" s="7" t="s">
        <v>3850</v>
      </c>
      <c r="D70" s="7" t="s">
        <v>4206</v>
      </c>
      <c r="E70" s="7" t="s">
        <v>4207</v>
      </c>
      <c r="F70" s="7" t="s">
        <v>4208</v>
      </c>
      <c r="G70" s="7" t="s">
        <v>4209</v>
      </c>
      <c r="H70" s="7" t="s">
        <v>4210</v>
      </c>
    </row>
    <row r="71" spans="1:8" ht="42" customHeight="1">
      <c r="A71" s="54" t="s">
        <v>3961</v>
      </c>
      <c r="B71" s="54" t="s">
        <v>3962</v>
      </c>
      <c r="C71" s="54" t="s">
        <v>3830</v>
      </c>
      <c r="D71" s="54" t="s">
        <v>4206</v>
      </c>
      <c r="E71" s="54" t="s">
        <v>4207</v>
      </c>
      <c r="F71" s="54" t="s">
        <v>4208</v>
      </c>
      <c r="G71" s="54" t="s">
        <v>4209</v>
      </c>
      <c r="H71" s="54" t="s">
        <v>4210</v>
      </c>
    </row>
    <row r="72" spans="1:8" ht="42" customHeight="1">
      <c r="A72" s="7" t="s">
        <v>3963</v>
      </c>
      <c r="B72" s="7" t="s">
        <v>3964</v>
      </c>
      <c r="C72" s="7" t="s">
        <v>3940</v>
      </c>
      <c r="D72" s="7" t="s">
        <v>4220</v>
      </c>
      <c r="E72" s="7" t="s">
        <v>4207</v>
      </c>
      <c r="F72" s="7" t="s">
        <v>4221</v>
      </c>
      <c r="G72" s="7" t="s">
        <v>4222</v>
      </c>
      <c r="H72" s="7" t="s">
        <v>4210</v>
      </c>
    </row>
    <row r="73" spans="1:8" ht="42" customHeight="1">
      <c r="A73" s="54" t="s">
        <v>3965</v>
      </c>
      <c r="B73" s="54" t="s">
        <v>3966</v>
      </c>
      <c r="C73" s="54" t="s">
        <v>3940</v>
      </c>
      <c r="D73" s="54" t="s">
        <v>4220</v>
      </c>
      <c r="E73" s="54" t="s">
        <v>4207</v>
      </c>
      <c r="F73" s="54" t="s">
        <v>4221</v>
      </c>
      <c r="G73" s="54" t="s">
        <v>4222</v>
      </c>
      <c r="H73" s="54" t="s">
        <v>4210</v>
      </c>
    </row>
    <row r="74" spans="1:8" ht="42" customHeight="1">
      <c r="A74" s="7" t="s">
        <v>3967</v>
      </c>
      <c r="B74" s="7" t="s">
        <v>3968</v>
      </c>
      <c r="C74" s="7" t="s">
        <v>3940</v>
      </c>
      <c r="D74" s="7" t="s">
        <v>4220</v>
      </c>
      <c r="E74" s="7" t="s">
        <v>4207</v>
      </c>
      <c r="F74" s="7" t="s">
        <v>4221</v>
      </c>
      <c r="G74" s="7" t="s">
        <v>4222</v>
      </c>
      <c r="H74" s="7" t="s">
        <v>4210</v>
      </c>
    </row>
    <row r="75" spans="1:8" ht="42" customHeight="1">
      <c r="A75" s="54" t="s">
        <v>3969</v>
      </c>
      <c r="B75" s="54" t="s">
        <v>3970</v>
      </c>
      <c r="C75" s="54" t="s">
        <v>3940</v>
      </c>
      <c r="D75" s="54" t="s">
        <v>4220</v>
      </c>
      <c r="E75" s="54" t="s">
        <v>4207</v>
      </c>
      <c r="F75" s="54" t="s">
        <v>4221</v>
      </c>
      <c r="G75" s="54" t="s">
        <v>4222</v>
      </c>
      <c r="H75" s="54" t="s">
        <v>4210</v>
      </c>
    </row>
    <row r="76" spans="1:8" ht="42" customHeight="1">
      <c r="A76" s="7" t="s">
        <v>3971</v>
      </c>
      <c r="B76" s="7" t="s">
        <v>3972</v>
      </c>
      <c r="C76" s="7" t="s">
        <v>3940</v>
      </c>
      <c r="D76" s="7" t="s">
        <v>4220</v>
      </c>
      <c r="E76" s="7" t="s">
        <v>4207</v>
      </c>
      <c r="F76" s="7" t="s">
        <v>4221</v>
      </c>
      <c r="G76" s="7" t="s">
        <v>4222</v>
      </c>
      <c r="H76" s="7" t="s">
        <v>4210</v>
      </c>
    </row>
    <row r="77" spans="1:8" ht="42" customHeight="1">
      <c r="A77" s="54" t="s">
        <v>3973</v>
      </c>
      <c r="B77" s="54" t="s">
        <v>3974</v>
      </c>
      <c r="C77" s="54" t="s">
        <v>3940</v>
      </c>
      <c r="D77" s="54" t="s">
        <v>4220</v>
      </c>
      <c r="E77" s="54" t="s">
        <v>4207</v>
      </c>
      <c r="F77" s="54" t="s">
        <v>4221</v>
      </c>
      <c r="G77" s="54" t="s">
        <v>4222</v>
      </c>
      <c r="H77" s="54" t="s">
        <v>4210</v>
      </c>
    </row>
    <row r="78" spans="1:8" ht="42" customHeight="1">
      <c r="A78" s="7" t="s">
        <v>3975</v>
      </c>
      <c r="B78" s="7" t="s">
        <v>3976</v>
      </c>
      <c r="C78" s="7" t="s">
        <v>3940</v>
      </c>
      <c r="D78" s="7" t="s">
        <v>4220</v>
      </c>
      <c r="E78" s="7" t="s">
        <v>4207</v>
      </c>
      <c r="F78" s="7" t="s">
        <v>4221</v>
      </c>
      <c r="G78" s="7" t="s">
        <v>4222</v>
      </c>
      <c r="H78" s="7" t="s">
        <v>4210</v>
      </c>
    </row>
    <row r="79" spans="1:8" ht="42" customHeight="1">
      <c r="A79" s="54" t="s">
        <v>3977</v>
      </c>
      <c r="B79" s="54" t="s">
        <v>3978</v>
      </c>
      <c r="C79" s="54" t="s">
        <v>3940</v>
      </c>
      <c r="D79" s="54" t="s">
        <v>4206</v>
      </c>
      <c r="E79" s="54" t="s">
        <v>4207</v>
      </c>
      <c r="F79" s="54" t="s">
        <v>4208</v>
      </c>
      <c r="G79" s="54" t="s">
        <v>4209</v>
      </c>
      <c r="H79" s="54" t="s">
        <v>4210</v>
      </c>
    </row>
    <row r="80" spans="1:8" ht="42" customHeight="1">
      <c r="A80" s="7" t="s">
        <v>3979</v>
      </c>
      <c r="B80" s="7" t="s">
        <v>3980</v>
      </c>
      <c r="C80" s="7" t="s">
        <v>3940</v>
      </c>
      <c r="D80" s="7" t="s">
        <v>4206</v>
      </c>
      <c r="E80" s="7" t="s">
        <v>4207</v>
      </c>
      <c r="F80" s="7" t="s">
        <v>4208</v>
      </c>
      <c r="G80" s="7" t="s">
        <v>4209</v>
      </c>
      <c r="H80" s="7" t="s">
        <v>4210</v>
      </c>
    </row>
    <row r="81" spans="1:8" ht="42" customHeight="1">
      <c r="A81" s="54" t="s">
        <v>3981</v>
      </c>
      <c r="B81" s="54" t="s">
        <v>3982</v>
      </c>
      <c r="C81" s="54" t="s">
        <v>3940</v>
      </c>
      <c r="D81" s="54" t="s">
        <v>4206</v>
      </c>
      <c r="E81" s="54" t="s">
        <v>4207</v>
      </c>
      <c r="F81" s="54" t="s">
        <v>4208</v>
      </c>
      <c r="G81" s="54" t="s">
        <v>4209</v>
      </c>
      <c r="H81" s="54" t="s">
        <v>4210</v>
      </c>
    </row>
    <row r="82" spans="1:8" ht="42" customHeight="1">
      <c r="A82" s="7" t="s">
        <v>3983</v>
      </c>
      <c r="B82" s="7" t="s">
        <v>3984</v>
      </c>
      <c r="C82" s="7" t="s">
        <v>3940</v>
      </c>
      <c r="D82" s="7" t="s">
        <v>4206</v>
      </c>
      <c r="E82" s="7" t="s">
        <v>4207</v>
      </c>
      <c r="F82" s="7" t="s">
        <v>4208</v>
      </c>
      <c r="G82" s="7" t="s">
        <v>4209</v>
      </c>
      <c r="H82" s="7" t="s">
        <v>4210</v>
      </c>
    </row>
    <row r="83" spans="1:8" ht="42" customHeight="1">
      <c r="A83" s="54" t="s">
        <v>3985</v>
      </c>
      <c r="B83" s="54" t="s">
        <v>3986</v>
      </c>
      <c r="C83" s="54" t="s">
        <v>3940</v>
      </c>
      <c r="D83" s="54" t="s">
        <v>4206</v>
      </c>
      <c r="E83" s="54" t="s">
        <v>4207</v>
      </c>
      <c r="F83" s="54" t="s">
        <v>4208</v>
      </c>
      <c r="G83" s="54" t="s">
        <v>4209</v>
      </c>
      <c r="H83" s="54" t="s">
        <v>4210</v>
      </c>
    </row>
    <row r="84" spans="1:8" ht="42" customHeight="1">
      <c r="A84" s="7" t="s">
        <v>3987</v>
      </c>
      <c r="B84" s="7" t="s">
        <v>3988</v>
      </c>
      <c r="C84" s="7" t="s">
        <v>3940</v>
      </c>
      <c r="D84" s="7" t="s">
        <v>4206</v>
      </c>
      <c r="E84" s="7" t="s">
        <v>4207</v>
      </c>
      <c r="F84" s="7" t="s">
        <v>4208</v>
      </c>
      <c r="G84" s="7" t="s">
        <v>4209</v>
      </c>
      <c r="H84" s="7" t="s">
        <v>4210</v>
      </c>
    </row>
    <row r="85" spans="1:8" ht="42" customHeight="1">
      <c r="A85" s="54" t="s">
        <v>3989</v>
      </c>
      <c r="B85" s="54" t="s">
        <v>3990</v>
      </c>
      <c r="C85" s="54" t="s">
        <v>3940</v>
      </c>
      <c r="D85" s="54" t="s">
        <v>4220</v>
      </c>
      <c r="E85" s="54" t="s">
        <v>4207</v>
      </c>
      <c r="F85" s="54" t="s">
        <v>4221</v>
      </c>
      <c r="G85" s="54" t="s">
        <v>4222</v>
      </c>
      <c r="H85" s="54" t="s">
        <v>4210</v>
      </c>
    </row>
    <row r="86" spans="1:8" ht="42" customHeight="1">
      <c r="A86" s="7" t="s">
        <v>3991</v>
      </c>
      <c r="B86" s="7" t="s">
        <v>3992</v>
      </c>
      <c r="C86" s="7" t="s">
        <v>3940</v>
      </c>
      <c r="D86" s="7" t="s">
        <v>4206</v>
      </c>
      <c r="E86" s="7" t="s">
        <v>4207</v>
      </c>
      <c r="F86" s="7" t="s">
        <v>4208</v>
      </c>
      <c r="G86" s="7" t="s">
        <v>4209</v>
      </c>
      <c r="H86" s="7" t="s">
        <v>4210</v>
      </c>
    </row>
    <row r="87" spans="1:8" ht="42" customHeight="1">
      <c r="A87" s="54" t="s">
        <v>3993</v>
      </c>
      <c r="B87" s="54" t="s">
        <v>3994</v>
      </c>
      <c r="C87" s="54" t="s">
        <v>3940</v>
      </c>
      <c r="D87" s="54" t="s">
        <v>4206</v>
      </c>
      <c r="E87" s="54" t="s">
        <v>4207</v>
      </c>
      <c r="F87" s="54" t="s">
        <v>4208</v>
      </c>
      <c r="G87" s="54" t="s">
        <v>4209</v>
      </c>
      <c r="H87" s="54" t="s">
        <v>4210</v>
      </c>
    </row>
    <row r="88" spans="1:8" ht="42" customHeight="1">
      <c r="A88" s="7" t="s">
        <v>3995</v>
      </c>
      <c r="B88" s="7" t="s">
        <v>3996</v>
      </c>
      <c r="C88" s="7" t="s">
        <v>3830</v>
      </c>
      <c r="D88" s="7" t="s">
        <v>4206</v>
      </c>
      <c r="E88" s="7" t="s">
        <v>4207</v>
      </c>
      <c r="F88" s="7" t="s">
        <v>4208</v>
      </c>
      <c r="G88" s="7" t="s">
        <v>4209</v>
      </c>
      <c r="H88" s="7" t="s">
        <v>4210</v>
      </c>
    </row>
    <row r="89" spans="1:8" ht="42" customHeight="1">
      <c r="A89" s="54" t="s">
        <v>3997</v>
      </c>
      <c r="B89" s="54" t="s">
        <v>3998</v>
      </c>
      <c r="C89" s="54" t="s">
        <v>3940</v>
      </c>
      <c r="D89" s="54" t="s">
        <v>4206</v>
      </c>
      <c r="E89" s="54" t="s">
        <v>4207</v>
      </c>
      <c r="F89" s="54" t="s">
        <v>4208</v>
      </c>
      <c r="G89" s="54" t="s">
        <v>4209</v>
      </c>
      <c r="H89" s="54" t="s">
        <v>4210</v>
      </c>
    </row>
    <row r="90" spans="1:8" ht="42" customHeight="1">
      <c r="A90" s="7" t="s">
        <v>3999</v>
      </c>
      <c r="B90" s="7" t="s">
        <v>4000</v>
      </c>
      <c r="C90" s="7" t="s">
        <v>3940</v>
      </c>
      <c r="D90" s="7" t="s">
        <v>4206</v>
      </c>
      <c r="E90" s="7" t="s">
        <v>4207</v>
      </c>
      <c r="F90" s="7" t="s">
        <v>4208</v>
      </c>
      <c r="G90" s="7" t="s">
        <v>4209</v>
      </c>
      <c r="H90" s="7" t="s">
        <v>4210</v>
      </c>
    </row>
    <row r="91" spans="1:8" ht="42" customHeight="1">
      <c r="A91" s="54" t="s">
        <v>4001</v>
      </c>
      <c r="B91" s="54" t="s">
        <v>4002</v>
      </c>
      <c r="C91" s="54" t="s">
        <v>3830</v>
      </c>
      <c r="D91" s="54" t="s">
        <v>4206</v>
      </c>
      <c r="E91" s="54" t="s">
        <v>4207</v>
      </c>
      <c r="F91" s="54" t="s">
        <v>4208</v>
      </c>
      <c r="G91" s="54" t="s">
        <v>4209</v>
      </c>
      <c r="H91" s="54" t="s">
        <v>4210</v>
      </c>
    </row>
    <row r="92" spans="1:8" ht="42" customHeight="1">
      <c r="A92" s="7" t="s">
        <v>4003</v>
      </c>
      <c r="B92" s="7" t="s">
        <v>4004</v>
      </c>
      <c r="C92" s="7" t="s">
        <v>3940</v>
      </c>
      <c r="D92" s="7" t="s">
        <v>4206</v>
      </c>
      <c r="E92" s="7" t="s">
        <v>4207</v>
      </c>
      <c r="F92" s="7" t="s">
        <v>4208</v>
      </c>
      <c r="G92" s="7" t="s">
        <v>4209</v>
      </c>
      <c r="H92" s="7" t="s">
        <v>4210</v>
      </c>
    </row>
    <row r="93" spans="1:8" ht="42" customHeight="1">
      <c r="A93" s="54" t="s">
        <v>4005</v>
      </c>
      <c r="B93" s="54" t="s">
        <v>4006</v>
      </c>
      <c r="C93" s="54" t="s">
        <v>3940</v>
      </c>
      <c r="D93" s="54" t="s">
        <v>4223</v>
      </c>
      <c r="E93" s="54" t="s">
        <v>4224</v>
      </c>
      <c r="F93" s="54" t="s">
        <v>4225</v>
      </c>
      <c r="G93" s="54" t="s">
        <v>4226</v>
      </c>
      <c r="H93" s="54" t="s">
        <v>4210</v>
      </c>
    </row>
    <row r="94" spans="1:8" ht="42" customHeight="1">
      <c r="A94" s="7" t="s">
        <v>4007</v>
      </c>
      <c r="B94" s="7" t="s">
        <v>4008</v>
      </c>
      <c r="C94" s="7" t="s">
        <v>3940</v>
      </c>
      <c r="D94" s="7" t="s">
        <v>4223</v>
      </c>
      <c r="E94" s="7" t="s">
        <v>4224</v>
      </c>
      <c r="F94" s="7" t="s">
        <v>4227</v>
      </c>
      <c r="G94" s="7" t="s">
        <v>4226</v>
      </c>
      <c r="H94" s="7" t="s">
        <v>4210</v>
      </c>
    </row>
    <row r="95" spans="1:8" ht="42" customHeight="1">
      <c r="A95" s="54" t="s">
        <v>4009</v>
      </c>
      <c r="B95" s="54" t="s">
        <v>4010</v>
      </c>
      <c r="C95" s="54" t="s">
        <v>3940</v>
      </c>
      <c r="D95" s="54" t="s">
        <v>4223</v>
      </c>
      <c r="E95" s="54" t="s">
        <v>4224</v>
      </c>
      <c r="F95" s="54" t="s">
        <v>4228</v>
      </c>
      <c r="G95" s="54" t="s">
        <v>4226</v>
      </c>
      <c r="H95" s="54" t="s">
        <v>4210</v>
      </c>
    </row>
    <row r="96" spans="1:8" ht="42" customHeight="1">
      <c r="A96" s="7" t="s">
        <v>4011</v>
      </c>
      <c r="B96" s="7" t="s">
        <v>4012</v>
      </c>
      <c r="C96" s="7" t="s">
        <v>3940</v>
      </c>
      <c r="D96" s="7" t="s">
        <v>4223</v>
      </c>
      <c r="E96" s="7" t="s">
        <v>4224</v>
      </c>
      <c r="F96" s="7" t="s">
        <v>4229</v>
      </c>
      <c r="G96" s="7" t="s">
        <v>4226</v>
      </c>
      <c r="H96" s="7" t="s">
        <v>4210</v>
      </c>
    </row>
    <row r="97" spans="1:8" ht="42" customHeight="1">
      <c r="A97" s="54" t="s">
        <v>4013</v>
      </c>
      <c r="B97" s="54" t="s">
        <v>4014</v>
      </c>
      <c r="C97" s="54" t="s">
        <v>3940</v>
      </c>
      <c r="D97" s="54" t="s">
        <v>4223</v>
      </c>
      <c r="E97" s="54" t="s">
        <v>4224</v>
      </c>
      <c r="F97" s="54" t="s">
        <v>4230</v>
      </c>
      <c r="G97" s="54" t="s">
        <v>4226</v>
      </c>
      <c r="H97" s="54" t="s">
        <v>4210</v>
      </c>
    </row>
    <row r="98" spans="1:8" ht="42" customHeight="1">
      <c r="A98" s="7" t="s">
        <v>4015</v>
      </c>
      <c r="B98" s="7" t="s">
        <v>4016</v>
      </c>
      <c r="C98" s="7" t="s">
        <v>3893</v>
      </c>
      <c r="D98" s="7" t="s">
        <v>4223</v>
      </c>
      <c r="E98" s="7" t="s">
        <v>4231</v>
      </c>
      <c r="F98" s="7" t="s">
        <v>4232</v>
      </c>
      <c r="G98" s="7" t="s">
        <v>4233</v>
      </c>
      <c r="H98" s="7" t="s">
        <v>4210</v>
      </c>
    </row>
    <row r="99" spans="1:8" ht="42" customHeight="1">
      <c r="A99" s="54" t="s">
        <v>4017</v>
      </c>
      <c r="B99" s="54" t="s">
        <v>4018</v>
      </c>
      <c r="C99" s="54" t="s">
        <v>3893</v>
      </c>
      <c r="D99" s="54" t="s">
        <v>4223</v>
      </c>
      <c r="E99" s="54" t="s">
        <v>4231</v>
      </c>
      <c r="F99" s="54" t="s">
        <v>4232</v>
      </c>
      <c r="G99" s="54" t="s">
        <v>4233</v>
      </c>
      <c r="H99" s="54" t="s">
        <v>4210</v>
      </c>
    </row>
    <row r="100" spans="1:8" ht="42" customHeight="1">
      <c r="A100" s="7" t="s">
        <v>4019</v>
      </c>
      <c r="B100" s="7" t="s">
        <v>4020</v>
      </c>
      <c r="C100" s="7" t="s">
        <v>3893</v>
      </c>
      <c r="D100" s="7" t="s">
        <v>4223</v>
      </c>
      <c r="E100" s="7" t="s">
        <v>4231</v>
      </c>
      <c r="F100" s="7" t="s">
        <v>4232</v>
      </c>
      <c r="G100" s="7" t="s">
        <v>4233</v>
      </c>
      <c r="H100" s="7" t="s">
        <v>4210</v>
      </c>
    </row>
    <row r="101" spans="1:8" ht="42" customHeight="1">
      <c r="A101" s="54" t="s">
        <v>4021</v>
      </c>
      <c r="B101" s="54" t="s">
        <v>4022</v>
      </c>
      <c r="C101" s="54" t="s">
        <v>3893</v>
      </c>
      <c r="D101" s="54" t="s">
        <v>4223</v>
      </c>
      <c r="E101" s="54" t="s">
        <v>4231</v>
      </c>
      <c r="F101" s="54" t="s">
        <v>4232</v>
      </c>
      <c r="G101" s="54" t="s">
        <v>4233</v>
      </c>
      <c r="H101" s="54" t="s">
        <v>4210</v>
      </c>
    </row>
    <row r="102" spans="1:8" ht="42" customHeight="1">
      <c r="A102" s="7" t="s">
        <v>4023</v>
      </c>
      <c r="B102" s="7" t="s">
        <v>4024</v>
      </c>
      <c r="C102" s="7" t="s">
        <v>3893</v>
      </c>
      <c r="D102" s="7" t="s">
        <v>4223</v>
      </c>
      <c r="E102" s="7" t="s">
        <v>4231</v>
      </c>
      <c r="F102" s="7" t="s">
        <v>4232</v>
      </c>
      <c r="G102" s="7" t="s">
        <v>4233</v>
      </c>
      <c r="H102" s="7" t="s">
        <v>4210</v>
      </c>
    </row>
    <row r="103" spans="1:8" ht="42" customHeight="1">
      <c r="A103" s="54" t="s">
        <v>4025</v>
      </c>
      <c r="B103" s="54" t="s">
        <v>4026</v>
      </c>
      <c r="C103" s="54" t="s">
        <v>3893</v>
      </c>
      <c r="D103" s="54" t="s">
        <v>4223</v>
      </c>
      <c r="E103" s="54" t="s">
        <v>4231</v>
      </c>
      <c r="F103" s="54" t="s">
        <v>4232</v>
      </c>
      <c r="G103" s="54" t="s">
        <v>4233</v>
      </c>
      <c r="H103" s="54" t="s">
        <v>4210</v>
      </c>
    </row>
    <row r="104" spans="1:8" ht="42" customHeight="1">
      <c r="A104" s="7" t="s">
        <v>4027</v>
      </c>
      <c r="B104" s="7" t="s">
        <v>4028</v>
      </c>
      <c r="C104" s="7" t="s">
        <v>3893</v>
      </c>
      <c r="D104" s="7" t="s">
        <v>4223</v>
      </c>
      <c r="E104" s="7" t="s">
        <v>4231</v>
      </c>
      <c r="F104" s="7" t="s">
        <v>4232</v>
      </c>
      <c r="G104" s="7" t="s">
        <v>4233</v>
      </c>
      <c r="H104" s="7" t="s">
        <v>4210</v>
      </c>
    </row>
    <row r="105" spans="1:8" ht="42" customHeight="1">
      <c r="A105" s="54" t="s">
        <v>4029</v>
      </c>
      <c r="B105" s="54" t="s">
        <v>4030</v>
      </c>
      <c r="C105" s="54" t="s">
        <v>3893</v>
      </c>
      <c r="D105" s="54" t="s">
        <v>4234</v>
      </c>
      <c r="E105" s="54" t="s">
        <v>4207</v>
      </c>
      <c r="F105" s="54" t="s">
        <v>4235</v>
      </c>
      <c r="G105" s="54" t="s">
        <v>4236</v>
      </c>
      <c r="H105" s="54" t="s">
        <v>4210</v>
      </c>
    </row>
    <row r="106" spans="1:8" ht="42" customHeight="1">
      <c r="A106" s="7" t="s">
        <v>4031</v>
      </c>
      <c r="B106" s="7" t="s">
        <v>4032</v>
      </c>
      <c r="C106" s="7" t="s">
        <v>3893</v>
      </c>
      <c r="D106" s="7" t="s">
        <v>4234</v>
      </c>
      <c r="E106" s="7" t="s">
        <v>4207</v>
      </c>
      <c r="F106" s="7" t="s">
        <v>4235</v>
      </c>
      <c r="G106" s="7" t="s">
        <v>4236</v>
      </c>
      <c r="H106" s="7" t="s">
        <v>4210</v>
      </c>
    </row>
    <row r="107" spans="1:8" ht="42" customHeight="1">
      <c r="A107" s="54" t="s">
        <v>4033</v>
      </c>
      <c r="B107" s="54" t="s">
        <v>4034</v>
      </c>
      <c r="C107" s="54" t="s">
        <v>3893</v>
      </c>
      <c r="D107" s="54" t="s">
        <v>4234</v>
      </c>
      <c r="E107" s="54" t="s">
        <v>4207</v>
      </c>
      <c r="F107" s="54" t="s">
        <v>4235</v>
      </c>
      <c r="G107" s="54" t="s">
        <v>4236</v>
      </c>
      <c r="H107" s="54" t="s">
        <v>4210</v>
      </c>
    </row>
    <row r="108" spans="1:8" ht="42" customHeight="1">
      <c r="A108" s="7" t="s">
        <v>4035</v>
      </c>
      <c r="B108" s="7" t="s">
        <v>4036</v>
      </c>
      <c r="C108" s="7" t="s">
        <v>3893</v>
      </c>
      <c r="D108" s="7" t="s">
        <v>4234</v>
      </c>
      <c r="E108" s="7" t="s">
        <v>4207</v>
      </c>
      <c r="F108" s="7" t="s">
        <v>4235</v>
      </c>
      <c r="G108" s="7" t="s">
        <v>4236</v>
      </c>
      <c r="H108" s="7" t="s">
        <v>4210</v>
      </c>
    </row>
    <row r="109" spans="1:8" ht="42" customHeight="1">
      <c r="A109" s="54" t="s">
        <v>4037</v>
      </c>
      <c r="B109" s="54" t="s">
        <v>4038</v>
      </c>
      <c r="C109" s="54" t="s">
        <v>3893</v>
      </c>
      <c r="D109" s="54" t="s">
        <v>4234</v>
      </c>
      <c r="E109" s="54" t="s">
        <v>4207</v>
      </c>
      <c r="F109" s="54" t="s">
        <v>4235</v>
      </c>
      <c r="G109" s="54" t="s">
        <v>4236</v>
      </c>
      <c r="H109" s="54" t="s">
        <v>4210</v>
      </c>
    </row>
    <row r="110" spans="1:8" ht="42" customHeight="1">
      <c r="A110" s="7" t="s">
        <v>4039</v>
      </c>
      <c r="B110" s="7" t="s">
        <v>4040</v>
      </c>
      <c r="C110" s="7" t="s">
        <v>3857</v>
      </c>
      <c r="D110" s="7" t="s">
        <v>4237</v>
      </c>
      <c r="E110" s="7" t="s">
        <v>4207</v>
      </c>
      <c r="F110" s="7" t="s">
        <v>4238</v>
      </c>
      <c r="G110" s="7" t="s">
        <v>4239</v>
      </c>
      <c r="H110" s="7" t="s">
        <v>4210</v>
      </c>
    </row>
    <row r="111" spans="1:8" ht="42" customHeight="1">
      <c r="A111" s="54" t="s">
        <v>4041</v>
      </c>
      <c r="B111" s="54" t="s">
        <v>4042</v>
      </c>
      <c r="C111" s="54" t="s">
        <v>3857</v>
      </c>
      <c r="D111" s="54" t="s">
        <v>4237</v>
      </c>
      <c r="E111" s="54" t="s">
        <v>4207</v>
      </c>
      <c r="F111" s="54" t="s">
        <v>4238</v>
      </c>
      <c r="G111" s="54" t="s">
        <v>4239</v>
      </c>
      <c r="H111" s="54" t="s">
        <v>4210</v>
      </c>
    </row>
    <row r="112" spans="1:8" ht="42" customHeight="1">
      <c r="A112" s="7" t="s">
        <v>4043</v>
      </c>
      <c r="B112" s="7" t="s">
        <v>4044</v>
      </c>
      <c r="C112" s="7" t="s">
        <v>3857</v>
      </c>
      <c r="D112" s="7" t="s">
        <v>4237</v>
      </c>
      <c r="E112" s="7" t="s">
        <v>4207</v>
      </c>
      <c r="F112" s="7" t="s">
        <v>4238</v>
      </c>
      <c r="G112" s="7" t="s">
        <v>4239</v>
      </c>
      <c r="H112" s="7" t="s">
        <v>4210</v>
      </c>
    </row>
    <row r="113" spans="1:8" ht="42" customHeight="1">
      <c r="A113" s="54" t="s">
        <v>4045</v>
      </c>
      <c r="B113" s="54" t="s">
        <v>4046</v>
      </c>
      <c r="C113" s="54" t="s">
        <v>3857</v>
      </c>
      <c r="D113" s="54" t="s">
        <v>4237</v>
      </c>
      <c r="E113" s="54" t="s">
        <v>4207</v>
      </c>
      <c r="F113" s="54" t="s">
        <v>4238</v>
      </c>
      <c r="G113" s="54" t="s">
        <v>4239</v>
      </c>
      <c r="H113" s="54" t="s">
        <v>4210</v>
      </c>
    </row>
    <row r="114" spans="1:8" ht="42" customHeight="1">
      <c r="A114" s="7" t="s">
        <v>4047</v>
      </c>
      <c r="B114" s="7" t="s">
        <v>4048</v>
      </c>
      <c r="C114" s="7" t="s">
        <v>3857</v>
      </c>
      <c r="D114" s="7" t="s">
        <v>4237</v>
      </c>
      <c r="E114" s="7" t="s">
        <v>4207</v>
      </c>
      <c r="F114" s="7" t="s">
        <v>4238</v>
      </c>
      <c r="G114" s="7" t="s">
        <v>4239</v>
      </c>
      <c r="H114" s="7" t="s">
        <v>4210</v>
      </c>
    </row>
    <row r="115" spans="1:8" ht="42" customHeight="1">
      <c r="A115" s="54" t="s">
        <v>4049</v>
      </c>
      <c r="B115" s="54" t="s">
        <v>4050</v>
      </c>
      <c r="C115" s="54" t="s">
        <v>3857</v>
      </c>
      <c r="D115" s="54" t="s">
        <v>4237</v>
      </c>
      <c r="E115" s="54" t="s">
        <v>4207</v>
      </c>
      <c r="F115" s="54" t="s">
        <v>4238</v>
      </c>
      <c r="G115" s="54" t="s">
        <v>4239</v>
      </c>
      <c r="H115" s="54" t="s">
        <v>4210</v>
      </c>
    </row>
    <row r="116" spans="1:8" ht="42" customHeight="1">
      <c r="A116" s="7" t="s">
        <v>4051</v>
      </c>
      <c r="B116" s="7" t="s">
        <v>4052</v>
      </c>
      <c r="C116" s="7" t="s">
        <v>3857</v>
      </c>
      <c r="D116" s="7" t="s">
        <v>4237</v>
      </c>
      <c r="E116" s="7" t="s">
        <v>4207</v>
      </c>
      <c r="F116" s="7" t="s">
        <v>4238</v>
      </c>
      <c r="G116" s="7" t="s">
        <v>4239</v>
      </c>
      <c r="H116" s="7" t="s">
        <v>4210</v>
      </c>
    </row>
    <row r="117" spans="1:8" ht="42" customHeight="1">
      <c r="A117" s="54" t="s">
        <v>4053</v>
      </c>
      <c r="B117" s="54" t="s">
        <v>4054</v>
      </c>
      <c r="C117" s="54" t="s">
        <v>3893</v>
      </c>
      <c r="D117" s="54" t="s">
        <v>4206</v>
      </c>
      <c r="E117" s="54" t="s">
        <v>4207</v>
      </c>
      <c r="F117" s="54" t="s">
        <v>4208</v>
      </c>
      <c r="G117" s="54" t="s">
        <v>4209</v>
      </c>
      <c r="H117" s="54" t="s">
        <v>4210</v>
      </c>
    </row>
    <row r="118" spans="1:8" ht="42" customHeight="1">
      <c r="A118" s="7" t="s">
        <v>4055</v>
      </c>
      <c r="B118" s="7" t="s">
        <v>4056</v>
      </c>
      <c r="C118" s="7" t="s">
        <v>4057</v>
      </c>
      <c r="D118" s="7" t="s">
        <v>4206</v>
      </c>
      <c r="E118" s="7" t="s">
        <v>4207</v>
      </c>
      <c r="F118" s="7" t="s">
        <v>4208</v>
      </c>
      <c r="G118" s="7" t="s">
        <v>4209</v>
      </c>
      <c r="H118" s="7" t="s">
        <v>4210</v>
      </c>
    </row>
    <row r="119" spans="1:8" ht="42" customHeight="1">
      <c r="A119" s="54" t="s">
        <v>4058</v>
      </c>
      <c r="B119" s="54" t="s">
        <v>4059</v>
      </c>
      <c r="C119" s="54" t="s">
        <v>4057</v>
      </c>
      <c r="D119" s="54" t="s">
        <v>4206</v>
      </c>
      <c r="E119" s="54" t="s">
        <v>4207</v>
      </c>
      <c r="F119" s="54" t="s">
        <v>4208</v>
      </c>
      <c r="G119" s="54" t="s">
        <v>4209</v>
      </c>
      <c r="H119" s="54" t="s">
        <v>4210</v>
      </c>
    </row>
    <row r="120" spans="1:8" ht="42" customHeight="1">
      <c r="A120" s="7" t="s">
        <v>4060</v>
      </c>
      <c r="B120" s="7" t="s">
        <v>4061</v>
      </c>
      <c r="C120" s="7" t="s">
        <v>4057</v>
      </c>
      <c r="D120" s="7" t="s">
        <v>4206</v>
      </c>
      <c r="E120" s="7" t="s">
        <v>4207</v>
      </c>
      <c r="F120" s="7" t="s">
        <v>4208</v>
      </c>
      <c r="G120" s="7" t="s">
        <v>4209</v>
      </c>
      <c r="H120" s="7" t="s">
        <v>4210</v>
      </c>
    </row>
    <row r="121" spans="1:8" ht="42" customHeight="1">
      <c r="A121" s="54" t="s">
        <v>4062</v>
      </c>
      <c r="B121" s="54" t="s">
        <v>4063</v>
      </c>
      <c r="C121" s="54" t="s">
        <v>4057</v>
      </c>
      <c r="D121" s="54" t="s">
        <v>4206</v>
      </c>
      <c r="E121" s="54" t="s">
        <v>4207</v>
      </c>
      <c r="F121" s="54" t="s">
        <v>4208</v>
      </c>
      <c r="G121" s="54" t="s">
        <v>4209</v>
      </c>
      <c r="H121" s="54" t="s">
        <v>4210</v>
      </c>
    </row>
    <row r="122" spans="1:8" ht="42" customHeight="1">
      <c r="A122" s="7" t="s">
        <v>4064</v>
      </c>
      <c r="B122" s="7" t="s">
        <v>4065</v>
      </c>
      <c r="C122" s="7" t="s">
        <v>4057</v>
      </c>
      <c r="D122" s="7" t="s">
        <v>4206</v>
      </c>
      <c r="E122" s="7" t="s">
        <v>4207</v>
      </c>
      <c r="F122" s="7" t="s">
        <v>4208</v>
      </c>
      <c r="G122" s="7" t="s">
        <v>4209</v>
      </c>
      <c r="H122" s="7" t="s">
        <v>4210</v>
      </c>
    </row>
    <row r="123" spans="1:8" ht="42" customHeight="1">
      <c r="A123" s="54" t="s">
        <v>4066</v>
      </c>
      <c r="B123" s="54" t="s">
        <v>4067</v>
      </c>
      <c r="C123" s="54" t="s">
        <v>4057</v>
      </c>
      <c r="D123" s="54" t="s">
        <v>4206</v>
      </c>
      <c r="E123" s="54" t="s">
        <v>4207</v>
      </c>
      <c r="F123" s="54" t="s">
        <v>4208</v>
      </c>
      <c r="G123" s="54" t="s">
        <v>4209</v>
      </c>
      <c r="H123" s="54" t="s">
        <v>4210</v>
      </c>
    </row>
    <row r="124" spans="1:8" ht="42" customHeight="1">
      <c r="A124" s="7" t="s">
        <v>4068</v>
      </c>
      <c r="B124" s="7" t="s">
        <v>4069</v>
      </c>
      <c r="C124" s="7" t="s">
        <v>4057</v>
      </c>
      <c r="D124" s="7" t="s">
        <v>4214</v>
      </c>
      <c r="E124" s="7" t="s">
        <v>4207</v>
      </c>
      <c r="F124" s="7" t="s">
        <v>4215</v>
      </c>
      <c r="G124" s="7" t="s">
        <v>4216</v>
      </c>
      <c r="H124" s="7" t="s">
        <v>4210</v>
      </c>
    </row>
    <row r="125" spans="1:8" ht="42" customHeight="1">
      <c r="A125" s="54" t="s">
        <v>4070</v>
      </c>
      <c r="B125" s="54" t="s">
        <v>4071</v>
      </c>
      <c r="C125" s="54" t="s">
        <v>4057</v>
      </c>
      <c r="D125" s="54" t="s">
        <v>4206</v>
      </c>
      <c r="E125" s="54" t="s">
        <v>4207</v>
      </c>
      <c r="F125" s="54" t="s">
        <v>4208</v>
      </c>
      <c r="G125" s="54" t="s">
        <v>4209</v>
      </c>
      <c r="H125" s="54" t="s">
        <v>4210</v>
      </c>
    </row>
    <row r="126" spans="1:8" ht="42" customHeight="1">
      <c r="A126" s="7" t="s">
        <v>4072</v>
      </c>
      <c r="B126" s="7" t="s">
        <v>4073</v>
      </c>
      <c r="C126" s="7" t="s">
        <v>3827</v>
      </c>
      <c r="D126" s="7" t="s">
        <v>4206</v>
      </c>
      <c r="E126" s="7" t="s">
        <v>4207</v>
      </c>
      <c r="F126" s="7" t="s">
        <v>4208</v>
      </c>
      <c r="G126" s="7" t="s">
        <v>4209</v>
      </c>
      <c r="H126" s="7" t="s">
        <v>4210</v>
      </c>
    </row>
    <row r="127" spans="1:8" ht="42" customHeight="1">
      <c r="A127" s="54" t="s">
        <v>4074</v>
      </c>
      <c r="B127" s="54" t="s">
        <v>4075</v>
      </c>
      <c r="C127" s="54" t="s">
        <v>3827</v>
      </c>
      <c r="D127" s="54" t="s">
        <v>4206</v>
      </c>
      <c r="E127" s="54" t="s">
        <v>4207</v>
      </c>
      <c r="F127" s="54" t="s">
        <v>4208</v>
      </c>
      <c r="G127" s="54" t="s">
        <v>4209</v>
      </c>
      <c r="H127" s="54" t="s">
        <v>4210</v>
      </c>
    </row>
    <row r="128" spans="1:8" ht="42" customHeight="1">
      <c r="A128" s="7" t="s">
        <v>4076</v>
      </c>
      <c r="B128" s="7" t="s">
        <v>4077</v>
      </c>
      <c r="C128" s="7" t="s">
        <v>3886</v>
      </c>
      <c r="D128" s="7" t="s">
        <v>4217</v>
      </c>
      <c r="E128" s="7" t="s">
        <v>4207</v>
      </c>
      <c r="F128" s="7" t="s">
        <v>4218</v>
      </c>
      <c r="G128" s="7" t="s">
        <v>4219</v>
      </c>
      <c r="H128" s="7" t="s">
        <v>4210</v>
      </c>
    </row>
    <row r="129" spans="1:8" ht="42" customHeight="1">
      <c r="A129" s="54" t="s">
        <v>4078</v>
      </c>
      <c r="B129" s="54" t="s">
        <v>4079</v>
      </c>
      <c r="C129" s="54" t="s">
        <v>3830</v>
      </c>
      <c r="D129" s="54" t="s">
        <v>4240</v>
      </c>
      <c r="E129" s="54" t="s">
        <v>4241</v>
      </c>
      <c r="F129" s="54" t="s">
        <v>4242</v>
      </c>
      <c r="G129" s="54" t="s">
        <v>4243</v>
      </c>
      <c r="H129" s="54" t="s">
        <v>4210</v>
      </c>
    </row>
  </sheetData>
  <mergeCells count="2">
    <mergeCell ref="A2:H2"/>
    <mergeCell ref="A1:H1"/>
  </mergeCells>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
  <sheetViews>
    <sheetView showGridLines="0" workbookViewId="0">
      <pane ySplit="4" topLeftCell="A5" activePane="bottomLeft" state="frozen"/>
      <selection pane="bottomLeft"/>
    </sheetView>
  </sheetViews>
  <sheetFormatPr defaultRowHeight="15"/>
  <cols>
    <col min="1" max="1" width="12" customWidth="1"/>
    <col min="2" max="2" width="22" customWidth="1"/>
    <col min="3" max="3" width="34" customWidth="1"/>
    <col min="4" max="4" width="48" customWidth="1"/>
    <col min="5" max="5" width="36" customWidth="1"/>
    <col min="6" max="7" width="24" customWidth="1"/>
    <col min="8" max="8" width="40" customWidth="1"/>
    <col min="9" max="9" width="38" customWidth="1"/>
  </cols>
  <sheetData>
    <row r="1" spans="1:9" ht="26.1" customHeight="1">
      <c r="A1" s="52" t="s">
        <v>4244</v>
      </c>
      <c r="B1" s="30"/>
      <c r="C1" s="30"/>
      <c r="D1" s="30"/>
      <c r="E1" s="30"/>
      <c r="F1" s="30"/>
      <c r="G1" s="30"/>
      <c r="H1" s="30"/>
      <c r="I1" s="30"/>
    </row>
    <row r="2" spans="1:9" ht="33.950000000000003" customHeight="1">
      <c r="A2" s="28" t="s">
        <v>4245</v>
      </c>
      <c r="B2" s="30"/>
      <c r="C2" s="30"/>
      <c r="D2" s="30"/>
      <c r="E2" s="30"/>
      <c r="F2" s="30"/>
      <c r="G2" s="30"/>
      <c r="H2" s="30"/>
      <c r="I2" s="30"/>
    </row>
    <row r="4" spans="1:9">
      <c r="A4" s="53" t="s">
        <v>188</v>
      </c>
      <c r="B4" s="53" t="s">
        <v>3613</v>
      </c>
      <c r="C4" s="53" t="s">
        <v>4246</v>
      </c>
      <c r="D4" s="53" t="s">
        <v>4247</v>
      </c>
      <c r="E4" s="53" t="s">
        <v>4248</v>
      </c>
      <c r="F4" s="53" t="s">
        <v>4249</v>
      </c>
      <c r="G4" s="53" t="s">
        <v>3662</v>
      </c>
      <c r="H4" s="53" t="s">
        <v>4250</v>
      </c>
      <c r="I4" s="53" t="s">
        <v>3809</v>
      </c>
    </row>
    <row r="5" spans="1:9" ht="42" customHeight="1">
      <c r="A5" s="54" t="s">
        <v>4251</v>
      </c>
      <c r="B5" s="54" t="s">
        <v>4252</v>
      </c>
      <c r="C5" s="54" t="s">
        <v>4253</v>
      </c>
      <c r="D5" s="54" t="s">
        <v>4254</v>
      </c>
      <c r="E5" s="54" t="s">
        <v>4255</v>
      </c>
      <c r="F5" s="54" t="s">
        <v>4256</v>
      </c>
      <c r="G5" s="54" t="s">
        <v>4257</v>
      </c>
      <c r="H5" s="54" t="s">
        <v>4258</v>
      </c>
      <c r="I5" s="54" t="s">
        <v>4259</v>
      </c>
    </row>
    <row r="6" spans="1:9" ht="42" customHeight="1">
      <c r="A6" s="7" t="s">
        <v>4260</v>
      </c>
      <c r="B6" s="7" t="s">
        <v>4261</v>
      </c>
      <c r="C6" s="7" t="s">
        <v>4262</v>
      </c>
      <c r="D6" s="7" t="s">
        <v>4263</v>
      </c>
      <c r="E6" s="7" t="s">
        <v>4264</v>
      </c>
      <c r="F6" s="7" t="s">
        <v>4256</v>
      </c>
      <c r="G6" s="7" t="s">
        <v>4257</v>
      </c>
      <c r="H6" s="7" t="s">
        <v>4265</v>
      </c>
      <c r="I6" s="7" t="s">
        <v>4266</v>
      </c>
    </row>
    <row r="7" spans="1:9" ht="42" customHeight="1">
      <c r="A7" s="54" t="s">
        <v>4267</v>
      </c>
      <c r="B7" s="54" t="s">
        <v>4268</v>
      </c>
      <c r="C7" s="54" t="s">
        <v>4269</v>
      </c>
      <c r="D7" s="54" t="s">
        <v>4270</v>
      </c>
      <c r="E7" s="54" t="s">
        <v>4271</v>
      </c>
      <c r="F7" s="54" t="s">
        <v>4256</v>
      </c>
      <c r="G7" s="54" t="s">
        <v>4257</v>
      </c>
      <c r="H7" s="54" t="s">
        <v>4272</v>
      </c>
      <c r="I7" s="54" t="s">
        <v>4273</v>
      </c>
    </row>
    <row r="8" spans="1:9" ht="42" customHeight="1">
      <c r="A8" s="7" t="s">
        <v>4274</v>
      </c>
      <c r="B8" s="7" t="s">
        <v>4275</v>
      </c>
      <c r="C8" s="7" t="s">
        <v>4276</v>
      </c>
      <c r="D8" s="7" t="s">
        <v>4277</v>
      </c>
      <c r="E8" s="7" t="s">
        <v>4278</v>
      </c>
      <c r="F8" s="7" t="s">
        <v>4256</v>
      </c>
      <c r="G8" s="7" t="s">
        <v>4257</v>
      </c>
      <c r="H8" s="7" t="s">
        <v>4279</v>
      </c>
      <c r="I8" s="7" t="s">
        <v>4280</v>
      </c>
    </row>
    <row r="9" spans="1:9" ht="42" customHeight="1">
      <c r="A9" s="54" t="s">
        <v>4281</v>
      </c>
      <c r="B9" s="54" t="s">
        <v>3662</v>
      </c>
      <c r="C9" s="54" t="s">
        <v>4282</v>
      </c>
      <c r="D9" s="54" t="s">
        <v>4283</v>
      </c>
      <c r="E9" s="54" t="s">
        <v>4284</v>
      </c>
      <c r="F9" s="54" t="s">
        <v>4256</v>
      </c>
      <c r="G9" s="54" t="s">
        <v>4257</v>
      </c>
      <c r="H9" s="54" t="s">
        <v>4285</v>
      </c>
      <c r="I9" s="54" t="s">
        <v>4286</v>
      </c>
    </row>
    <row r="10" spans="1:9" ht="42" customHeight="1">
      <c r="A10" s="7" t="s">
        <v>4287</v>
      </c>
      <c r="B10" s="7" t="s">
        <v>4288</v>
      </c>
      <c r="C10" s="7" t="s">
        <v>4289</v>
      </c>
      <c r="D10" s="7" t="s">
        <v>4290</v>
      </c>
      <c r="E10" s="7" t="s">
        <v>4291</v>
      </c>
      <c r="F10" s="7" t="s">
        <v>4256</v>
      </c>
      <c r="G10" s="7" t="s">
        <v>4257</v>
      </c>
      <c r="H10" s="7" t="s">
        <v>4292</v>
      </c>
      <c r="I10" s="7" t="s">
        <v>4293</v>
      </c>
    </row>
  </sheetData>
  <mergeCells count="2">
    <mergeCell ref="A1:I1"/>
    <mergeCell ref="A2:I2"/>
  </mergeCells>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2"/>
  <sheetViews>
    <sheetView showGridLines="0" workbookViewId="0">
      <pane ySplit="4" topLeftCell="A5" activePane="bottomLeft" state="frozen"/>
      <selection pane="bottomLeft"/>
    </sheetView>
  </sheetViews>
  <sheetFormatPr defaultRowHeight="15"/>
  <cols>
    <col min="1" max="1" width="12" customWidth="1"/>
    <col min="2" max="2" width="24" customWidth="1"/>
    <col min="3" max="3" width="25" customWidth="1"/>
    <col min="4" max="4" width="52" customWidth="1"/>
    <col min="5" max="5" width="45" customWidth="1"/>
    <col min="6" max="6" width="38" customWidth="1"/>
    <col min="7" max="7" width="42" customWidth="1"/>
  </cols>
  <sheetData>
    <row r="1" spans="1:7" ht="26.1" customHeight="1">
      <c r="A1" s="52" t="s">
        <v>2210</v>
      </c>
      <c r="B1" s="30"/>
      <c r="C1" s="30"/>
      <c r="D1" s="30"/>
      <c r="E1" s="30"/>
      <c r="F1" s="30"/>
      <c r="G1" s="30"/>
    </row>
    <row r="2" spans="1:7" ht="33.950000000000003" customHeight="1">
      <c r="A2" s="28" t="s">
        <v>4294</v>
      </c>
      <c r="B2" s="30"/>
      <c r="C2" s="30"/>
      <c r="D2" s="30"/>
      <c r="E2" s="30"/>
      <c r="F2" s="30"/>
      <c r="G2" s="30"/>
    </row>
    <row r="4" spans="1:7">
      <c r="A4" s="53" t="s">
        <v>188</v>
      </c>
      <c r="B4" s="53" t="s">
        <v>3738</v>
      </c>
      <c r="C4" s="53" t="s">
        <v>4295</v>
      </c>
      <c r="D4" s="53" t="s">
        <v>4296</v>
      </c>
      <c r="E4" s="53" t="s">
        <v>4297</v>
      </c>
      <c r="F4" s="53" t="s">
        <v>2523</v>
      </c>
      <c r="G4" s="53" t="s">
        <v>4298</v>
      </c>
    </row>
    <row r="5" spans="1:7" ht="42" customHeight="1">
      <c r="A5" s="54" t="s">
        <v>4299</v>
      </c>
      <c r="B5" s="54" t="s">
        <v>4300</v>
      </c>
      <c r="C5" s="54" t="s">
        <v>4301</v>
      </c>
      <c r="D5" s="54" t="s">
        <v>4302</v>
      </c>
      <c r="E5" s="54" t="s">
        <v>4303</v>
      </c>
      <c r="F5" s="54" t="s">
        <v>4304</v>
      </c>
      <c r="G5" s="54" t="s">
        <v>4305</v>
      </c>
    </row>
    <row r="6" spans="1:7" ht="42" customHeight="1">
      <c r="A6" s="7" t="s">
        <v>4306</v>
      </c>
      <c r="B6" s="7" t="s">
        <v>4307</v>
      </c>
      <c r="C6" s="7" t="s">
        <v>4308</v>
      </c>
      <c r="D6" s="7" t="s">
        <v>4309</v>
      </c>
      <c r="E6" s="7" t="s">
        <v>4310</v>
      </c>
      <c r="F6" s="7" t="s">
        <v>4311</v>
      </c>
      <c r="G6" s="7" t="s">
        <v>4305</v>
      </c>
    </row>
    <row r="7" spans="1:7" ht="42" customHeight="1">
      <c r="A7" s="54" t="s">
        <v>4312</v>
      </c>
      <c r="B7" s="54" t="s">
        <v>4313</v>
      </c>
      <c r="C7" s="54" t="s">
        <v>4314</v>
      </c>
      <c r="D7" s="54" t="s">
        <v>4315</v>
      </c>
      <c r="E7" s="54" t="s">
        <v>4316</v>
      </c>
      <c r="F7" s="54" t="s">
        <v>4317</v>
      </c>
      <c r="G7" s="54" t="s">
        <v>4318</v>
      </c>
    </row>
    <row r="8" spans="1:7" ht="42" customHeight="1">
      <c r="A8" s="7" t="s">
        <v>4319</v>
      </c>
      <c r="B8" s="7" t="s">
        <v>4320</v>
      </c>
      <c r="C8" s="7" t="s">
        <v>4321</v>
      </c>
      <c r="D8" s="7" t="s">
        <v>4322</v>
      </c>
      <c r="E8" s="7" t="s">
        <v>4323</v>
      </c>
      <c r="F8" s="7" t="s">
        <v>4324</v>
      </c>
      <c r="G8" s="7" t="s">
        <v>4325</v>
      </c>
    </row>
    <row r="9" spans="1:7" ht="42" customHeight="1">
      <c r="A9" s="54" t="s">
        <v>4326</v>
      </c>
      <c r="B9" s="54" t="s">
        <v>4327</v>
      </c>
      <c r="C9" s="54" t="s">
        <v>4328</v>
      </c>
      <c r="D9" s="54" t="s">
        <v>4329</v>
      </c>
      <c r="E9" s="54" t="s">
        <v>4330</v>
      </c>
      <c r="F9" s="54" t="s">
        <v>4331</v>
      </c>
      <c r="G9" s="54" t="s">
        <v>4318</v>
      </c>
    </row>
    <row r="10" spans="1:7" ht="42" customHeight="1">
      <c r="A10" s="7" t="s">
        <v>4332</v>
      </c>
      <c r="B10" s="7" t="s">
        <v>4333</v>
      </c>
      <c r="C10" s="7" t="s">
        <v>4334</v>
      </c>
      <c r="D10" s="7" t="s">
        <v>4335</v>
      </c>
      <c r="E10" s="7" t="s">
        <v>4336</v>
      </c>
      <c r="F10" s="7" t="s">
        <v>4337</v>
      </c>
      <c r="G10" s="7" t="s">
        <v>4338</v>
      </c>
    </row>
    <row r="11" spans="1:7" ht="42" customHeight="1">
      <c r="A11" s="54" t="s">
        <v>4339</v>
      </c>
      <c r="B11" s="54" t="s">
        <v>4340</v>
      </c>
      <c r="C11" s="54" t="s">
        <v>4341</v>
      </c>
      <c r="D11" s="54" t="s">
        <v>4342</v>
      </c>
      <c r="E11" s="54" t="s">
        <v>4343</v>
      </c>
      <c r="F11" s="54" t="s">
        <v>4344</v>
      </c>
      <c r="G11" s="54" t="s">
        <v>4345</v>
      </c>
    </row>
    <row r="12" spans="1:7" ht="42" customHeight="1">
      <c r="A12" s="7" t="s">
        <v>4346</v>
      </c>
      <c r="B12" s="7" t="s">
        <v>4347</v>
      </c>
      <c r="C12" s="7" t="s">
        <v>4348</v>
      </c>
      <c r="D12" s="7" t="s">
        <v>4349</v>
      </c>
      <c r="E12" s="7" t="s">
        <v>4350</v>
      </c>
      <c r="F12" s="7" t="s">
        <v>4351</v>
      </c>
      <c r="G12" s="7" t="s">
        <v>4352</v>
      </c>
    </row>
  </sheetData>
  <mergeCells count="2">
    <mergeCell ref="A2:G2"/>
    <mergeCell ref="A1:G1"/>
  </mergeCells>
  <pageMargins left="0.75" right="0.75" top="1" bottom="1" header="0.5" footer="0.5"/>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workbookViewId="0">
      <pane ySplit="4" topLeftCell="A5" activePane="bottomLeft" state="frozen"/>
      <selection pane="bottomLeft"/>
    </sheetView>
  </sheetViews>
  <sheetFormatPr defaultRowHeight="15"/>
  <cols>
    <col min="1" max="1" width="12" customWidth="1"/>
    <col min="2" max="2" width="35" customWidth="1"/>
    <col min="3" max="3" width="42" customWidth="1"/>
    <col min="4" max="4" width="65" customWidth="1"/>
    <col min="5" max="5" width="52" customWidth="1"/>
    <col min="6" max="6" width="42" customWidth="1"/>
    <col min="7" max="7" width="24" customWidth="1"/>
  </cols>
  <sheetData>
    <row r="1" spans="1:7" ht="26.1" customHeight="1">
      <c r="A1" s="52" t="s">
        <v>4353</v>
      </c>
      <c r="B1" s="30"/>
      <c r="C1" s="30"/>
      <c r="D1" s="30"/>
      <c r="E1" s="30"/>
      <c r="F1" s="30"/>
      <c r="G1" s="30"/>
    </row>
    <row r="2" spans="1:7" ht="33.950000000000003" customHeight="1">
      <c r="A2" s="28" t="s">
        <v>4354</v>
      </c>
      <c r="B2" s="30"/>
      <c r="C2" s="30"/>
      <c r="D2" s="30"/>
      <c r="E2" s="30"/>
      <c r="F2" s="30"/>
      <c r="G2" s="30"/>
    </row>
    <row r="4" spans="1:7">
      <c r="A4" s="53" t="s">
        <v>188</v>
      </c>
      <c r="B4" s="53" t="s">
        <v>4355</v>
      </c>
      <c r="C4" s="53" t="s">
        <v>3034</v>
      </c>
      <c r="D4" s="53" t="s">
        <v>4356</v>
      </c>
      <c r="E4" s="53" t="s">
        <v>4357</v>
      </c>
      <c r="F4" s="53" t="s">
        <v>4358</v>
      </c>
      <c r="G4" s="53" t="s">
        <v>192</v>
      </c>
    </row>
    <row r="5" spans="1:7" ht="42" customHeight="1">
      <c r="A5" s="54" t="s">
        <v>4359</v>
      </c>
      <c r="B5" s="54" t="s">
        <v>4360</v>
      </c>
      <c r="C5" s="54" t="s">
        <v>4361</v>
      </c>
      <c r="D5" s="54" t="s">
        <v>4362</v>
      </c>
      <c r="E5" s="54" t="s">
        <v>4363</v>
      </c>
      <c r="F5" s="54" t="s">
        <v>4364</v>
      </c>
      <c r="G5" s="54" t="s">
        <v>4365</v>
      </c>
    </row>
    <row r="6" spans="1:7" ht="42" customHeight="1">
      <c r="A6" s="7" t="s">
        <v>4366</v>
      </c>
      <c r="B6" s="7" t="s">
        <v>2993</v>
      </c>
      <c r="C6" s="7" t="s">
        <v>4367</v>
      </c>
      <c r="D6" s="7" t="s">
        <v>4368</v>
      </c>
      <c r="E6" s="7" t="s">
        <v>4369</v>
      </c>
      <c r="F6" s="7" t="s">
        <v>4370</v>
      </c>
      <c r="G6" s="7" t="s">
        <v>4365</v>
      </c>
    </row>
    <row r="7" spans="1:7" ht="42" customHeight="1">
      <c r="A7" s="54" t="s">
        <v>4371</v>
      </c>
      <c r="B7" s="54" t="s">
        <v>4372</v>
      </c>
      <c r="C7" s="54" t="s">
        <v>4373</v>
      </c>
      <c r="D7" s="54" t="s">
        <v>4374</v>
      </c>
      <c r="E7" s="54" t="s">
        <v>4375</v>
      </c>
      <c r="F7" s="54" t="s">
        <v>4376</v>
      </c>
      <c r="G7" s="54" t="s">
        <v>4365</v>
      </c>
    </row>
    <row r="8" spans="1:7" ht="42" customHeight="1">
      <c r="A8" s="7" t="s">
        <v>4377</v>
      </c>
      <c r="B8" s="7" t="s">
        <v>4378</v>
      </c>
      <c r="C8" s="7" t="s">
        <v>4379</v>
      </c>
      <c r="D8" s="7" t="s">
        <v>4380</v>
      </c>
      <c r="E8" s="7" t="s">
        <v>4381</v>
      </c>
      <c r="F8" s="7" t="s">
        <v>4382</v>
      </c>
      <c r="G8" s="7" t="s">
        <v>4365</v>
      </c>
    </row>
    <row r="9" spans="1:7" ht="42" customHeight="1">
      <c r="A9" s="54" t="s">
        <v>4383</v>
      </c>
      <c r="B9" s="54" t="s">
        <v>4384</v>
      </c>
      <c r="C9" s="54" t="s">
        <v>4385</v>
      </c>
      <c r="D9" s="54" t="s">
        <v>4386</v>
      </c>
      <c r="E9" s="54" t="s">
        <v>4387</v>
      </c>
      <c r="F9" s="54" t="s">
        <v>4388</v>
      </c>
      <c r="G9" s="54" t="s">
        <v>4365</v>
      </c>
    </row>
  </sheetData>
  <mergeCells count="2">
    <mergeCell ref="A2:G2"/>
    <mergeCell ref="A1:G1"/>
  </mergeCells>
  <pageMargins left="0.75" right="0.75" top="1" bottom="1" header="0.5" footer="0.5"/>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9"/>
  <sheetViews>
    <sheetView showGridLines="0" workbookViewId="0">
      <pane ySplit="4" topLeftCell="A5" activePane="bottomLeft" state="frozen"/>
      <selection pane="bottomLeft"/>
    </sheetView>
  </sheetViews>
  <sheetFormatPr defaultRowHeight="15"/>
  <cols>
    <col min="1" max="1" width="34" customWidth="1"/>
    <col min="2" max="2" width="20" customWidth="1"/>
    <col min="3" max="3" width="25" customWidth="1"/>
    <col min="4" max="4" width="52" customWidth="1"/>
  </cols>
  <sheetData>
    <row r="1" spans="1:4">
      <c r="A1" s="55" t="s">
        <v>4389</v>
      </c>
      <c r="B1" s="30"/>
      <c r="C1" s="30"/>
      <c r="D1" s="30"/>
    </row>
    <row r="2" spans="1:4">
      <c r="A2" s="29" t="s">
        <v>4390</v>
      </c>
      <c r="B2" s="30"/>
      <c r="C2" s="30"/>
      <c r="D2" s="30"/>
    </row>
    <row r="4" spans="1:4">
      <c r="A4" s="50" t="s">
        <v>4391</v>
      </c>
      <c r="B4" s="50" t="s">
        <v>4392</v>
      </c>
      <c r="C4" s="50" t="s">
        <v>4393</v>
      </c>
      <c r="D4" s="50" t="s">
        <v>161</v>
      </c>
    </row>
    <row r="5" spans="1:4">
      <c r="A5" s="56" t="s">
        <v>4394</v>
      </c>
      <c r="B5" s="57">
        <f>COUNTIF('Matrice couverture locale'!A6:A505,"?*")</f>
        <v>0</v>
      </c>
      <c r="C5" s="57">
        <f>COUNTIF('Matrice couverture locale'!M6:M505,"Inconnue")</f>
        <v>0</v>
      </c>
      <c r="D5" s="56" t="s">
        <v>4395</v>
      </c>
    </row>
    <row r="6" spans="1:4">
      <c r="A6" s="9" t="s">
        <v>4396</v>
      </c>
      <c r="B6" s="10">
        <f>COUNTIF('Backlog automatisation'!A6:A505,"?*")</f>
        <v>0</v>
      </c>
      <c r="C6" s="10">
        <f>COUNTIF('Backlog automatisation'!H6:H505,"Réalisable")</f>
        <v>0</v>
      </c>
      <c r="D6" s="9" t="s">
        <v>4397</v>
      </c>
    </row>
    <row r="7" spans="1:4">
      <c r="A7" s="56" t="s">
        <v>4398</v>
      </c>
      <c r="B7" s="57">
        <f>COUNTIF('Validations manuelles'!A6:A505,"?*")</f>
        <v>0</v>
      </c>
      <c r="C7" s="57">
        <f>COUNTIF('Validations manuelles'!N6:N505,"Conserver manuelle")</f>
        <v>0</v>
      </c>
      <c r="D7" s="56" t="s">
        <v>4399</v>
      </c>
    </row>
    <row r="8" spans="1:4">
      <c r="A8" s="9" t="s">
        <v>4400</v>
      </c>
      <c r="B8" s="10">
        <f>COUNTIF('Registre usages IA'!A6:A505,"?*")</f>
        <v>0</v>
      </c>
      <c r="C8" s="10">
        <f>COUNTIF('Registre usages IA'!C6:C505,"Évaluateur")</f>
        <v>0</v>
      </c>
      <c r="D8" s="9" t="s">
        <v>4401</v>
      </c>
    </row>
    <row r="9" spans="1:4">
      <c r="A9" s="56" t="s">
        <v>4402</v>
      </c>
      <c r="B9" s="57">
        <f>COUNTIF('Carte Validation phases'!A6:A505,"?*")</f>
        <v>0</v>
      </c>
      <c r="C9" s="57">
        <f>COUNTA('Carte Validation phases'!B6:B505)</f>
        <v>0</v>
      </c>
      <c r="D9" s="56" t="s">
        <v>4403</v>
      </c>
    </row>
  </sheetData>
  <mergeCells count="2">
    <mergeCell ref="A1:D1"/>
    <mergeCell ref="A2:D2"/>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R505"/>
  <sheetViews>
    <sheetView showGridLines="0" workbookViewId="0">
      <pane ySplit="4" topLeftCell="A5" activePane="bottomLeft" state="frozen"/>
      <selection pane="bottomLeft"/>
    </sheetView>
  </sheetViews>
  <sheetFormatPr defaultRowHeight="15"/>
  <cols>
    <col min="1" max="1" width="12" customWidth="1"/>
    <col min="2" max="3" width="28" customWidth="1"/>
    <col min="4" max="4" width="24" customWidth="1"/>
    <col min="5" max="6" width="28" customWidth="1"/>
    <col min="7" max="8" width="30" customWidth="1"/>
    <col min="9" max="9" width="20" customWidth="1"/>
    <col min="10" max="10" width="28" customWidth="1"/>
    <col min="11" max="11" width="24" customWidth="1"/>
    <col min="12" max="12" width="28" customWidth="1"/>
    <col min="13" max="13" width="20" customWidth="1"/>
    <col min="14" max="15" width="22" customWidth="1"/>
    <col min="16" max="16" width="20" customWidth="1"/>
    <col min="17" max="18" width="32" customWidth="1"/>
  </cols>
  <sheetData>
    <row r="1" spans="1:18" ht="26.1" customHeight="1">
      <c r="A1" s="52" t="s">
        <v>4378</v>
      </c>
      <c r="B1" s="30"/>
      <c r="C1" s="30"/>
      <c r="D1" s="30"/>
      <c r="E1" s="30"/>
      <c r="F1" s="30"/>
      <c r="G1" s="30"/>
      <c r="H1" s="30"/>
      <c r="I1" s="30"/>
      <c r="J1" s="30"/>
      <c r="K1" s="30"/>
      <c r="L1" s="30"/>
      <c r="M1" s="30"/>
      <c r="N1" s="30"/>
      <c r="O1" s="30"/>
      <c r="P1" s="30"/>
      <c r="Q1" s="30"/>
      <c r="R1" s="30"/>
    </row>
    <row r="2" spans="1:18" ht="35.1" customHeight="1">
      <c r="A2" s="28" t="s">
        <v>4404</v>
      </c>
      <c r="B2" s="30"/>
      <c r="C2" s="30"/>
      <c r="D2" s="30"/>
      <c r="E2" s="30"/>
      <c r="F2" s="30"/>
      <c r="G2" s="30"/>
      <c r="H2" s="30"/>
      <c r="I2" s="30"/>
      <c r="J2" s="30"/>
      <c r="K2" s="30"/>
      <c r="L2" s="30"/>
      <c r="M2" s="30"/>
      <c r="N2" s="30"/>
      <c r="O2" s="30"/>
      <c r="P2" s="30"/>
      <c r="Q2" s="30"/>
      <c r="R2" s="30"/>
    </row>
    <row r="4" spans="1:18">
      <c r="A4" s="58" t="s">
        <v>188</v>
      </c>
      <c r="B4" s="58" t="s">
        <v>4405</v>
      </c>
      <c r="C4" s="58" t="s">
        <v>4406</v>
      </c>
      <c r="D4" s="58" t="s">
        <v>4407</v>
      </c>
      <c r="E4" s="58" t="s">
        <v>4408</v>
      </c>
      <c r="F4" s="58" t="s">
        <v>4409</v>
      </c>
      <c r="G4" s="58" t="s">
        <v>4410</v>
      </c>
      <c r="H4" s="58" t="s">
        <v>2617</v>
      </c>
      <c r="I4" s="58" t="s">
        <v>720</v>
      </c>
      <c r="J4" s="58" t="s">
        <v>4411</v>
      </c>
      <c r="K4" s="58" t="s">
        <v>4412</v>
      </c>
      <c r="L4" s="58" t="s">
        <v>4413</v>
      </c>
      <c r="M4" s="58" t="s">
        <v>4137</v>
      </c>
      <c r="N4" s="58" t="s">
        <v>4414</v>
      </c>
      <c r="O4" s="58" t="s">
        <v>4140</v>
      </c>
      <c r="P4" s="58" t="s">
        <v>3662</v>
      </c>
      <c r="Q4" s="58" t="s">
        <v>4250</v>
      </c>
      <c r="R4" s="58" t="s">
        <v>4415</v>
      </c>
    </row>
    <row r="5" spans="1:18" ht="62.1" customHeight="1">
      <c r="A5" s="8" t="s">
        <v>4416</v>
      </c>
      <c r="B5" s="8" t="s">
        <v>4417</v>
      </c>
      <c r="C5" s="8" t="s">
        <v>4418</v>
      </c>
      <c r="D5" s="8" t="s">
        <v>4419</v>
      </c>
      <c r="E5" s="8" t="s">
        <v>4420</v>
      </c>
      <c r="F5" s="8" t="s">
        <v>4421</v>
      </c>
      <c r="G5" s="8" t="s">
        <v>4422</v>
      </c>
      <c r="H5" s="8" t="s">
        <v>4423</v>
      </c>
      <c r="I5" s="8" t="s">
        <v>4424</v>
      </c>
      <c r="J5" s="8" t="s">
        <v>4425</v>
      </c>
      <c r="K5" s="8" t="s">
        <v>4426</v>
      </c>
      <c r="L5" s="8" t="s">
        <v>4427</v>
      </c>
      <c r="M5" s="8" t="s">
        <v>4428</v>
      </c>
      <c r="N5" s="8" t="s">
        <v>4429</v>
      </c>
      <c r="O5" s="8" t="s">
        <v>4430</v>
      </c>
      <c r="P5" s="8" t="s">
        <v>4431</v>
      </c>
      <c r="Q5" s="8" t="s">
        <v>4432</v>
      </c>
      <c r="R5" s="8" t="s">
        <v>4433</v>
      </c>
    </row>
    <row r="6" spans="1:18">
      <c r="A6" s="11"/>
      <c r="B6" s="11"/>
      <c r="C6" s="11"/>
      <c r="D6" s="11"/>
      <c r="E6" s="11"/>
      <c r="F6" s="11"/>
      <c r="G6" s="11"/>
      <c r="H6" s="11"/>
      <c r="I6" s="11"/>
      <c r="J6" s="11"/>
      <c r="K6" s="11"/>
      <c r="L6" s="11"/>
      <c r="M6" s="11"/>
      <c r="N6" s="11"/>
      <c r="O6" s="11"/>
      <c r="P6" s="11"/>
      <c r="Q6" s="11"/>
      <c r="R6" s="11"/>
    </row>
    <row r="7" spans="1:18">
      <c r="A7" s="11"/>
      <c r="B7" s="11"/>
      <c r="C7" s="11"/>
      <c r="D7" s="11"/>
      <c r="E7" s="11"/>
      <c r="F7" s="11"/>
      <c r="G7" s="11"/>
      <c r="H7" s="11"/>
      <c r="I7" s="11"/>
      <c r="J7" s="11"/>
      <c r="K7" s="11"/>
      <c r="L7" s="11"/>
      <c r="M7" s="11"/>
      <c r="N7" s="11"/>
      <c r="O7" s="11"/>
      <c r="P7" s="11"/>
      <c r="Q7" s="11"/>
      <c r="R7" s="11"/>
    </row>
    <row r="8" spans="1:18">
      <c r="A8" s="11"/>
      <c r="B8" s="11"/>
      <c r="C8" s="11"/>
      <c r="D8" s="11"/>
      <c r="E8" s="11"/>
      <c r="F8" s="11"/>
      <c r="G8" s="11"/>
      <c r="H8" s="11"/>
      <c r="I8" s="11"/>
      <c r="J8" s="11"/>
      <c r="K8" s="11"/>
      <c r="L8" s="11"/>
      <c r="M8" s="11"/>
      <c r="N8" s="11"/>
      <c r="O8" s="11"/>
      <c r="P8" s="11"/>
      <c r="Q8" s="11"/>
      <c r="R8" s="11"/>
    </row>
    <row r="9" spans="1:18">
      <c r="A9" s="11"/>
      <c r="B9" s="11"/>
      <c r="C9" s="11"/>
      <c r="D9" s="11"/>
      <c r="E9" s="11"/>
      <c r="F9" s="11"/>
      <c r="G9" s="11"/>
      <c r="H9" s="11"/>
      <c r="I9" s="11"/>
      <c r="J9" s="11"/>
      <c r="K9" s="11"/>
      <c r="L9" s="11"/>
      <c r="M9" s="11"/>
      <c r="N9" s="11"/>
      <c r="O9" s="11"/>
      <c r="P9" s="11"/>
      <c r="Q9" s="11"/>
      <c r="R9" s="11"/>
    </row>
    <row r="10" spans="1:18">
      <c r="A10" s="11"/>
      <c r="B10" s="11"/>
      <c r="C10" s="11"/>
      <c r="D10" s="11"/>
      <c r="E10" s="11"/>
      <c r="F10" s="11"/>
      <c r="G10" s="11"/>
      <c r="H10" s="11"/>
      <c r="I10" s="11"/>
      <c r="J10" s="11"/>
      <c r="K10" s="11"/>
      <c r="L10" s="11"/>
      <c r="M10" s="11"/>
      <c r="N10" s="11"/>
      <c r="O10" s="11"/>
      <c r="P10" s="11"/>
      <c r="Q10" s="11"/>
      <c r="R10" s="11"/>
    </row>
    <row r="11" spans="1:18">
      <c r="A11" s="11"/>
      <c r="B11" s="11"/>
      <c r="C11" s="11"/>
      <c r="D11" s="11"/>
      <c r="E11" s="11"/>
      <c r="F11" s="11"/>
      <c r="G11" s="11"/>
      <c r="H11" s="11"/>
      <c r="I11" s="11"/>
      <c r="J11" s="11"/>
      <c r="K11" s="11"/>
      <c r="L11" s="11"/>
      <c r="M11" s="11"/>
      <c r="N11" s="11"/>
      <c r="O11" s="11"/>
      <c r="P11" s="11"/>
      <c r="Q11" s="11"/>
      <c r="R11" s="11"/>
    </row>
    <row r="12" spans="1:18">
      <c r="A12" s="11"/>
      <c r="B12" s="11"/>
      <c r="C12" s="11"/>
      <c r="D12" s="11"/>
      <c r="E12" s="11"/>
      <c r="F12" s="11"/>
      <c r="G12" s="11"/>
      <c r="H12" s="11"/>
      <c r="I12" s="11"/>
      <c r="J12" s="11"/>
      <c r="K12" s="11"/>
      <c r="L12" s="11"/>
      <c r="M12" s="11"/>
      <c r="N12" s="11"/>
      <c r="O12" s="11"/>
      <c r="P12" s="11"/>
      <c r="Q12" s="11"/>
      <c r="R12" s="11"/>
    </row>
    <row r="13" spans="1:18">
      <c r="A13" s="11"/>
      <c r="B13" s="11"/>
      <c r="C13" s="11"/>
      <c r="D13" s="11"/>
      <c r="E13" s="11"/>
      <c r="F13" s="11"/>
      <c r="G13" s="11"/>
      <c r="H13" s="11"/>
      <c r="I13" s="11"/>
      <c r="J13" s="11"/>
      <c r="K13" s="11"/>
      <c r="L13" s="11"/>
      <c r="M13" s="11"/>
      <c r="N13" s="11"/>
      <c r="O13" s="11"/>
      <c r="P13" s="11"/>
      <c r="Q13" s="11"/>
      <c r="R13" s="11"/>
    </row>
    <row r="14" spans="1:18">
      <c r="A14" s="11"/>
      <c r="B14" s="11"/>
      <c r="C14" s="11"/>
      <c r="D14" s="11"/>
      <c r="E14" s="11"/>
      <c r="F14" s="11"/>
      <c r="G14" s="11"/>
      <c r="H14" s="11"/>
      <c r="I14" s="11"/>
      <c r="J14" s="11"/>
      <c r="K14" s="11"/>
      <c r="L14" s="11"/>
      <c r="M14" s="11"/>
      <c r="N14" s="11"/>
      <c r="O14" s="11"/>
      <c r="P14" s="11"/>
      <c r="Q14" s="11"/>
      <c r="R14" s="11"/>
    </row>
    <row r="15" spans="1:18">
      <c r="A15" s="11"/>
      <c r="B15" s="11"/>
      <c r="C15" s="11"/>
      <c r="D15" s="11"/>
      <c r="E15" s="11"/>
      <c r="F15" s="11"/>
      <c r="G15" s="11"/>
      <c r="H15" s="11"/>
      <c r="I15" s="11"/>
      <c r="J15" s="11"/>
      <c r="K15" s="11"/>
      <c r="L15" s="11"/>
      <c r="M15" s="11"/>
      <c r="N15" s="11"/>
      <c r="O15" s="11"/>
      <c r="P15" s="11"/>
      <c r="Q15" s="11"/>
      <c r="R15" s="11"/>
    </row>
    <row r="16" spans="1:18">
      <c r="A16" s="11"/>
      <c r="B16" s="11"/>
      <c r="C16" s="11"/>
      <c r="D16" s="11"/>
      <c r="E16" s="11"/>
      <c r="F16" s="11"/>
      <c r="G16" s="11"/>
      <c r="H16" s="11"/>
      <c r="I16" s="11"/>
      <c r="J16" s="11"/>
      <c r="K16" s="11"/>
      <c r="L16" s="11"/>
      <c r="M16" s="11"/>
      <c r="N16" s="11"/>
      <c r="O16" s="11"/>
      <c r="P16" s="11"/>
      <c r="Q16" s="11"/>
      <c r="R16" s="11"/>
    </row>
    <row r="17" spans="1:18">
      <c r="A17" s="11"/>
      <c r="B17" s="11"/>
      <c r="C17" s="11"/>
      <c r="D17" s="11"/>
      <c r="E17" s="11"/>
      <c r="F17" s="11"/>
      <c r="G17" s="11"/>
      <c r="H17" s="11"/>
      <c r="I17" s="11"/>
      <c r="J17" s="11"/>
      <c r="K17" s="11"/>
      <c r="L17" s="11"/>
      <c r="M17" s="11"/>
      <c r="N17" s="11"/>
      <c r="O17" s="11"/>
      <c r="P17" s="11"/>
      <c r="Q17" s="11"/>
      <c r="R17" s="11"/>
    </row>
    <row r="18" spans="1:18">
      <c r="A18" s="11"/>
      <c r="B18" s="11"/>
      <c r="C18" s="11"/>
      <c r="D18" s="11"/>
      <c r="E18" s="11"/>
      <c r="F18" s="11"/>
      <c r="G18" s="11"/>
      <c r="H18" s="11"/>
      <c r="I18" s="11"/>
      <c r="J18" s="11"/>
      <c r="K18" s="11"/>
      <c r="L18" s="11"/>
      <c r="M18" s="11"/>
      <c r="N18" s="11"/>
      <c r="O18" s="11"/>
      <c r="P18" s="11"/>
      <c r="Q18" s="11"/>
      <c r="R18" s="11"/>
    </row>
    <row r="19" spans="1:18">
      <c r="A19" s="11"/>
      <c r="B19" s="11"/>
      <c r="C19" s="11"/>
      <c r="D19" s="11"/>
      <c r="E19" s="11"/>
      <c r="F19" s="11"/>
      <c r="G19" s="11"/>
      <c r="H19" s="11"/>
      <c r="I19" s="11"/>
      <c r="J19" s="11"/>
      <c r="K19" s="11"/>
      <c r="L19" s="11"/>
      <c r="M19" s="11"/>
      <c r="N19" s="11"/>
      <c r="O19" s="11"/>
      <c r="P19" s="11"/>
      <c r="Q19" s="11"/>
      <c r="R19" s="11"/>
    </row>
    <row r="20" spans="1:18">
      <c r="A20" s="11"/>
      <c r="B20" s="11"/>
      <c r="C20" s="11"/>
      <c r="D20" s="11"/>
      <c r="E20" s="11"/>
      <c r="F20" s="11"/>
      <c r="G20" s="11"/>
      <c r="H20" s="11"/>
      <c r="I20" s="11"/>
      <c r="J20" s="11"/>
      <c r="K20" s="11"/>
      <c r="L20" s="11"/>
      <c r="M20" s="11"/>
      <c r="N20" s="11"/>
      <c r="O20" s="11"/>
      <c r="P20" s="11"/>
      <c r="Q20" s="11"/>
      <c r="R20" s="11"/>
    </row>
    <row r="21" spans="1:18">
      <c r="A21" s="11"/>
      <c r="B21" s="11"/>
      <c r="C21" s="11"/>
      <c r="D21" s="11"/>
      <c r="E21" s="11"/>
      <c r="F21" s="11"/>
      <c r="G21" s="11"/>
      <c r="H21" s="11"/>
      <c r="I21" s="11"/>
      <c r="J21" s="11"/>
      <c r="K21" s="11"/>
      <c r="L21" s="11"/>
      <c r="M21" s="11"/>
      <c r="N21" s="11"/>
      <c r="O21" s="11"/>
      <c r="P21" s="11"/>
      <c r="Q21" s="11"/>
      <c r="R21" s="11"/>
    </row>
    <row r="22" spans="1:18">
      <c r="A22" s="11"/>
      <c r="B22" s="11"/>
      <c r="C22" s="11"/>
      <c r="D22" s="11"/>
      <c r="E22" s="11"/>
      <c r="F22" s="11"/>
      <c r="G22" s="11"/>
      <c r="H22" s="11"/>
      <c r="I22" s="11"/>
      <c r="J22" s="11"/>
      <c r="K22" s="11"/>
      <c r="L22" s="11"/>
      <c r="M22" s="11"/>
      <c r="N22" s="11"/>
      <c r="O22" s="11"/>
      <c r="P22" s="11"/>
      <c r="Q22" s="11"/>
      <c r="R22" s="11"/>
    </row>
    <row r="23" spans="1:18">
      <c r="A23" s="11"/>
      <c r="B23" s="11"/>
      <c r="C23" s="11"/>
      <c r="D23" s="11"/>
      <c r="E23" s="11"/>
      <c r="F23" s="11"/>
      <c r="G23" s="11"/>
      <c r="H23" s="11"/>
      <c r="I23" s="11"/>
      <c r="J23" s="11"/>
      <c r="K23" s="11"/>
      <c r="L23" s="11"/>
      <c r="M23" s="11"/>
      <c r="N23" s="11"/>
      <c r="O23" s="11"/>
      <c r="P23" s="11"/>
      <c r="Q23" s="11"/>
      <c r="R23" s="11"/>
    </row>
    <row r="24" spans="1:18">
      <c r="A24" s="11"/>
      <c r="B24" s="11"/>
      <c r="C24" s="11"/>
      <c r="D24" s="11"/>
      <c r="E24" s="11"/>
      <c r="F24" s="11"/>
      <c r="G24" s="11"/>
      <c r="H24" s="11"/>
      <c r="I24" s="11"/>
      <c r="J24" s="11"/>
      <c r="K24" s="11"/>
      <c r="L24" s="11"/>
      <c r="M24" s="11"/>
      <c r="N24" s="11"/>
      <c r="O24" s="11"/>
      <c r="P24" s="11"/>
      <c r="Q24" s="11"/>
      <c r="R24" s="11"/>
    </row>
    <row r="25" spans="1:18">
      <c r="A25" s="11"/>
      <c r="B25" s="11"/>
      <c r="C25" s="11"/>
      <c r="D25" s="11"/>
      <c r="E25" s="11"/>
      <c r="F25" s="11"/>
      <c r="G25" s="11"/>
      <c r="H25" s="11"/>
      <c r="I25" s="11"/>
      <c r="J25" s="11"/>
      <c r="K25" s="11"/>
      <c r="L25" s="11"/>
      <c r="M25" s="11"/>
      <c r="N25" s="11"/>
      <c r="O25" s="11"/>
      <c r="P25" s="11"/>
      <c r="Q25" s="11"/>
      <c r="R25" s="11"/>
    </row>
    <row r="26" spans="1:18">
      <c r="A26" s="11"/>
      <c r="B26" s="11"/>
      <c r="C26" s="11"/>
      <c r="D26" s="11"/>
      <c r="E26" s="11"/>
      <c r="F26" s="11"/>
      <c r="G26" s="11"/>
      <c r="H26" s="11"/>
      <c r="I26" s="11"/>
      <c r="J26" s="11"/>
      <c r="K26" s="11"/>
      <c r="L26" s="11"/>
      <c r="M26" s="11"/>
      <c r="N26" s="11"/>
      <c r="O26" s="11"/>
      <c r="P26" s="11"/>
      <c r="Q26" s="11"/>
      <c r="R26" s="11"/>
    </row>
    <row r="27" spans="1:18">
      <c r="A27" s="11"/>
      <c r="B27" s="11"/>
      <c r="C27" s="11"/>
      <c r="D27" s="11"/>
      <c r="E27" s="11"/>
      <c r="F27" s="11"/>
      <c r="G27" s="11"/>
      <c r="H27" s="11"/>
      <c r="I27" s="11"/>
      <c r="J27" s="11"/>
      <c r="K27" s="11"/>
      <c r="L27" s="11"/>
      <c r="M27" s="11"/>
      <c r="N27" s="11"/>
      <c r="O27" s="11"/>
      <c r="P27" s="11"/>
      <c r="Q27" s="11"/>
      <c r="R27" s="11"/>
    </row>
    <row r="28" spans="1:18">
      <c r="A28" s="11"/>
      <c r="B28" s="11"/>
      <c r="C28" s="11"/>
      <c r="D28" s="11"/>
      <c r="E28" s="11"/>
      <c r="F28" s="11"/>
      <c r="G28" s="11"/>
      <c r="H28" s="11"/>
      <c r="I28" s="11"/>
      <c r="J28" s="11"/>
      <c r="K28" s="11"/>
      <c r="L28" s="11"/>
      <c r="M28" s="11"/>
      <c r="N28" s="11"/>
      <c r="O28" s="11"/>
      <c r="P28" s="11"/>
      <c r="Q28" s="11"/>
      <c r="R28" s="11"/>
    </row>
    <row r="29" spans="1:18">
      <c r="A29" s="11"/>
      <c r="B29" s="11"/>
      <c r="C29" s="11"/>
      <c r="D29" s="11"/>
      <c r="E29" s="11"/>
      <c r="F29" s="11"/>
      <c r="G29" s="11"/>
      <c r="H29" s="11"/>
      <c r="I29" s="11"/>
      <c r="J29" s="11"/>
      <c r="K29" s="11"/>
      <c r="L29" s="11"/>
      <c r="M29" s="11"/>
      <c r="N29" s="11"/>
      <c r="O29" s="11"/>
      <c r="P29" s="11"/>
      <c r="Q29" s="11"/>
      <c r="R29" s="11"/>
    </row>
    <row r="30" spans="1:18">
      <c r="A30" s="11"/>
      <c r="B30" s="11"/>
      <c r="C30" s="11"/>
      <c r="D30" s="11"/>
      <c r="E30" s="11"/>
      <c r="F30" s="11"/>
      <c r="G30" s="11"/>
      <c r="H30" s="11"/>
      <c r="I30" s="11"/>
      <c r="J30" s="11"/>
      <c r="K30" s="11"/>
      <c r="L30" s="11"/>
      <c r="M30" s="11"/>
      <c r="N30" s="11"/>
      <c r="O30" s="11"/>
      <c r="P30" s="11"/>
      <c r="Q30" s="11"/>
      <c r="R30" s="11"/>
    </row>
    <row r="31" spans="1:18">
      <c r="A31" s="11"/>
      <c r="B31" s="11"/>
      <c r="C31" s="11"/>
      <c r="D31" s="11"/>
      <c r="E31" s="11"/>
      <c r="F31" s="11"/>
      <c r="G31" s="11"/>
      <c r="H31" s="11"/>
      <c r="I31" s="11"/>
      <c r="J31" s="11"/>
      <c r="K31" s="11"/>
      <c r="L31" s="11"/>
      <c r="M31" s="11"/>
      <c r="N31" s="11"/>
      <c r="O31" s="11"/>
      <c r="P31" s="11"/>
      <c r="Q31" s="11"/>
      <c r="R31" s="11"/>
    </row>
    <row r="32" spans="1:18">
      <c r="A32" s="11"/>
      <c r="B32" s="11"/>
      <c r="C32" s="11"/>
      <c r="D32" s="11"/>
      <c r="E32" s="11"/>
      <c r="F32" s="11"/>
      <c r="G32" s="11"/>
      <c r="H32" s="11"/>
      <c r="I32" s="11"/>
      <c r="J32" s="11"/>
      <c r="K32" s="11"/>
      <c r="L32" s="11"/>
      <c r="M32" s="11"/>
      <c r="N32" s="11"/>
      <c r="O32" s="11"/>
      <c r="P32" s="11"/>
      <c r="Q32" s="11"/>
      <c r="R32" s="11"/>
    </row>
    <row r="33" spans="1:18">
      <c r="A33" s="11"/>
      <c r="B33" s="11"/>
      <c r="C33" s="11"/>
      <c r="D33" s="11"/>
      <c r="E33" s="11"/>
      <c r="F33" s="11"/>
      <c r="G33" s="11"/>
      <c r="H33" s="11"/>
      <c r="I33" s="11"/>
      <c r="J33" s="11"/>
      <c r="K33" s="11"/>
      <c r="L33" s="11"/>
      <c r="M33" s="11"/>
      <c r="N33" s="11"/>
      <c r="O33" s="11"/>
      <c r="P33" s="11"/>
      <c r="Q33" s="11"/>
      <c r="R33" s="11"/>
    </row>
    <row r="34" spans="1:18">
      <c r="A34" s="11"/>
      <c r="B34" s="11"/>
      <c r="C34" s="11"/>
      <c r="D34" s="11"/>
      <c r="E34" s="11"/>
      <c r="F34" s="11"/>
      <c r="G34" s="11"/>
      <c r="H34" s="11"/>
      <c r="I34" s="11"/>
      <c r="J34" s="11"/>
      <c r="K34" s="11"/>
      <c r="L34" s="11"/>
      <c r="M34" s="11"/>
      <c r="N34" s="11"/>
      <c r="O34" s="11"/>
      <c r="P34" s="11"/>
      <c r="Q34" s="11"/>
      <c r="R34" s="11"/>
    </row>
    <row r="35" spans="1:18">
      <c r="A35" s="11"/>
      <c r="B35" s="11"/>
      <c r="C35" s="11"/>
      <c r="D35" s="11"/>
      <c r="E35" s="11"/>
      <c r="F35" s="11"/>
      <c r="G35" s="11"/>
      <c r="H35" s="11"/>
      <c r="I35" s="11"/>
      <c r="J35" s="11"/>
      <c r="K35" s="11"/>
      <c r="L35" s="11"/>
      <c r="M35" s="11"/>
      <c r="N35" s="11"/>
      <c r="O35" s="11"/>
      <c r="P35" s="11"/>
      <c r="Q35" s="11"/>
      <c r="R35" s="11"/>
    </row>
    <row r="36" spans="1:18">
      <c r="A36" s="11"/>
      <c r="B36" s="11"/>
      <c r="C36" s="11"/>
      <c r="D36" s="11"/>
      <c r="E36" s="11"/>
      <c r="F36" s="11"/>
      <c r="G36" s="11"/>
      <c r="H36" s="11"/>
      <c r="I36" s="11"/>
      <c r="J36" s="11"/>
      <c r="K36" s="11"/>
      <c r="L36" s="11"/>
      <c r="M36" s="11"/>
      <c r="N36" s="11"/>
      <c r="O36" s="11"/>
      <c r="P36" s="11"/>
      <c r="Q36" s="11"/>
      <c r="R36" s="11"/>
    </row>
    <row r="37" spans="1:18">
      <c r="A37" s="11"/>
      <c r="B37" s="11"/>
      <c r="C37" s="11"/>
      <c r="D37" s="11"/>
      <c r="E37" s="11"/>
      <c r="F37" s="11"/>
      <c r="G37" s="11"/>
      <c r="H37" s="11"/>
      <c r="I37" s="11"/>
      <c r="J37" s="11"/>
      <c r="K37" s="11"/>
      <c r="L37" s="11"/>
      <c r="M37" s="11"/>
      <c r="N37" s="11"/>
      <c r="O37" s="11"/>
      <c r="P37" s="11"/>
      <c r="Q37" s="11"/>
      <c r="R37" s="11"/>
    </row>
    <row r="38" spans="1:18">
      <c r="A38" s="11"/>
      <c r="B38" s="11"/>
      <c r="C38" s="11"/>
      <c r="D38" s="11"/>
      <c r="E38" s="11"/>
      <c r="F38" s="11"/>
      <c r="G38" s="11"/>
      <c r="H38" s="11"/>
      <c r="I38" s="11"/>
      <c r="J38" s="11"/>
      <c r="K38" s="11"/>
      <c r="L38" s="11"/>
      <c r="M38" s="11"/>
      <c r="N38" s="11"/>
      <c r="O38" s="11"/>
      <c r="P38" s="11"/>
      <c r="Q38" s="11"/>
      <c r="R38" s="11"/>
    </row>
    <row r="39" spans="1:18">
      <c r="A39" s="11"/>
      <c r="B39" s="11"/>
      <c r="C39" s="11"/>
      <c r="D39" s="11"/>
      <c r="E39" s="11"/>
      <c r="F39" s="11"/>
      <c r="G39" s="11"/>
      <c r="H39" s="11"/>
      <c r="I39" s="11"/>
      <c r="J39" s="11"/>
      <c r="K39" s="11"/>
      <c r="L39" s="11"/>
      <c r="M39" s="11"/>
      <c r="N39" s="11"/>
      <c r="O39" s="11"/>
      <c r="P39" s="11"/>
      <c r="Q39" s="11"/>
      <c r="R39" s="11"/>
    </row>
    <row r="40" spans="1:18">
      <c r="A40" s="11"/>
      <c r="B40" s="11"/>
      <c r="C40" s="11"/>
      <c r="D40" s="11"/>
      <c r="E40" s="11"/>
      <c r="F40" s="11"/>
      <c r="G40" s="11"/>
      <c r="H40" s="11"/>
      <c r="I40" s="11"/>
      <c r="J40" s="11"/>
      <c r="K40" s="11"/>
      <c r="L40" s="11"/>
      <c r="M40" s="11"/>
      <c r="N40" s="11"/>
      <c r="O40" s="11"/>
      <c r="P40" s="11"/>
      <c r="Q40" s="11"/>
      <c r="R40" s="11"/>
    </row>
    <row r="41" spans="1:18">
      <c r="A41" s="11"/>
      <c r="B41" s="11"/>
      <c r="C41" s="11"/>
      <c r="D41" s="11"/>
      <c r="E41" s="11"/>
      <c r="F41" s="11"/>
      <c r="G41" s="11"/>
      <c r="H41" s="11"/>
      <c r="I41" s="11"/>
      <c r="J41" s="11"/>
      <c r="K41" s="11"/>
      <c r="L41" s="11"/>
      <c r="M41" s="11"/>
      <c r="N41" s="11"/>
      <c r="O41" s="11"/>
      <c r="P41" s="11"/>
      <c r="Q41" s="11"/>
      <c r="R41" s="11"/>
    </row>
    <row r="42" spans="1:18">
      <c r="A42" s="11"/>
      <c r="B42" s="11"/>
      <c r="C42" s="11"/>
      <c r="D42" s="11"/>
      <c r="E42" s="11"/>
      <c r="F42" s="11"/>
      <c r="G42" s="11"/>
      <c r="H42" s="11"/>
      <c r="I42" s="11"/>
      <c r="J42" s="11"/>
      <c r="K42" s="11"/>
      <c r="L42" s="11"/>
      <c r="M42" s="11"/>
      <c r="N42" s="11"/>
      <c r="O42" s="11"/>
      <c r="P42" s="11"/>
      <c r="Q42" s="11"/>
      <c r="R42" s="11"/>
    </row>
    <row r="43" spans="1:18">
      <c r="A43" s="11"/>
      <c r="B43" s="11"/>
      <c r="C43" s="11"/>
      <c r="D43" s="11"/>
      <c r="E43" s="11"/>
      <c r="F43" s="11"/>
      <c r="G43" s="11"/>
      <c r="H43" s="11"/>
      <c r="I43" s="11"/>
      <c r="J43" s="11"/>
      <c r="K43" s="11"/>
      <c r="L43" s="11"/>
      <c r="M43" s="11"/>
      <c r="N43" s="11"/>
      <c r="O43" s="11"/>
      <c r="P43" s="11"/>
      <c r="Q43" s="11"/>
      <c r="R43" s="11"/>
    </row>
    <row r="44" spans="1:18">
      <c r="A44" s="11"/>
      <c r="B44" s="11"/>
      <c r="C44" s="11"/>
      <c r="D44" s="11"/>
      <c r="E44" s="11"/>
      <c r="F44" s="11"/>
      <c r="G44" s="11"/>
      <c r="H44" s="11"/>
      <c r="I44" s="11"/>
      <c r="J44" s="11"/>
      <c r="K44" s="11"/>
      <c r="L44" s="11"/>
      <c r="M44" s="11"/>
      <c r="N44" s="11"/>
      <c r="O44" s="11"/>
      <c r="P44" s="11"/>
      <c r="Q44" s="11"/>
      <c r="R44" s="11"/>
    </row>
    <row r="45" spans="1:18">
      <c r="A45" s="11"/>
      <c r="B45" s="11"/>
      <c r="C45" s="11"/>
      <c r="D45" s="11"/>
      <c r="E45" s="11"/>
      <c r="F45" s="11"/>
      <c r="G45" s="11"/>
      <c r="H45" s="11"/>
      <c r="I45" s="11"/>
      <c r="J45" s="11"/>
      <c r="K45" s="11"/>
      <c r="L45" s="11"/>
      <c r="M45" s="11"/>
      <c r="N45" s="11"/>
      <c r="O45" s="11"/>
      <c r="P45" s="11"/>
      <c r="Q45" s="11"/>
      <c r="R45" s="11"/>
    </row>
    <row r="46" spans="1:18">
      <c r="A46" s="11"/>
      <c r="B46" s="11"/>
      <c r="C46" s="11"/>
      <c r="D46" s="11"/>
      <c r="E46" s="11"/>
      <c r="F46" s="11"/>
      <c r="G46" s="11"/>
      <c r="H46" s="11"/>
      <c r="I46" s="11"/>
      <c r="J46" s="11"/>
      <c r="K46" s="11"/>
      <c r="L46" s="11"/>
      <c r="M46" s="11"/>
      <c r="N46" s="11"/>
      <c r="O46" s="11"/>
      <c r="P46" s="11"/>
      <c r="Q46" s="11"/>
      <c r="R46" s="11"/>
    </row>
    <row r="47" spans="1:18">
      <c r="A47" s="11"/>
      <c r="B47" s="11"/>
      <c r="C47" s="11"/>
      <c r="D47" s="11"/>
      <c r="E47" s="11"/>
      <c r="F47" s="11"/>
      <c r="G47" s="11"/>
      <c r="H47" s="11"/>
      <c r="I47" s="11"/>
      <c r="J47" s="11"/>
      <c r="K47" s="11"/>
      <c r="L47" s="11"/>
      <c r="M47" s="11"/>
      <c r="N47" s="11"/>
      <c r="O47" s="11"/>
      <c r="P47" s="11"/>
      <c r="Q47" s="11"/>
      <c r="R47" s="11"/>
    </row>
    <row r="48" spans="1:18">
      <c r="A48" s="11"/>
      <c r="B48" s="11"/>
      <c r="C48" s="11"/>
      <c r="D48" s="11"/>
      <c r="E48" s="11"/>
      <c r="F48" s="11"/>
      <c r="G48" s="11"/>
      <c r="H48" s="11"/>
      <c r="I48" s="11"/>
      <c r="J48" s="11"/>
      <c r="K48" s="11"/>
      <c r="L48" s="11"/>
      <c r="M48" s="11"/>
      <c r="N48" s="11"/>
      <c r="O48" s="11"/>
      <c r="P48" s="11"/>
      <c r="Q48" s="11"/>
      <c r="R48" s="11"/>
    </row>
    <row r="49" spans="1:18">
      <c r="A49" s="11"/>
      <c r="B49" s="11"/>
      <c r="C49" s="11"/>
      <c r="D49" s="11"/>
      <c r="E49" s="11"/>
      <c r="F49" s="11"/>
      <c r="G49" s="11"/>
      <c r="H49" s="11"/>
      <c r="I49" s="11"/>
      <c r="J49" s="11"/>
      <c r="K49" s="11"/>
      <c r="L49" s="11"/>
      <c r="M49" s="11"/>
      <c r="N49" s="11"/>
      <c r="O49" s="11"/>
      <c r="P49" s="11"/>
      <c r="Q49" s="11"/>
      <c r="R49" s="11"/>
    </row>
    <row r="50" spans="1:18">
      <c r="A50" s="11"/>
      <c r="B50" s="11"/>
      <c r="C50" s="11"/>
      <c r="D50" s="11"/>
      <c r="E50" s="11"/>
      <c r="F50" s="11"/>
      <c r="G50" s="11"/>
      <c r="H50" s="11"/>
      <c r="I50" s="11"/>
      <c r="J50" s="11"/>
      <c r="K50" s="11"/>
      <c r="L50" s="11"/>
      <c r="M50" s="11"/>
      <c r="N50" s="11"/>
      <c r="O50" s="11"/>
      <c r="P50" s="11"/>
      <c r="Q50" s="11"/>
      <c r="R50" s="11"/>
    </row>
    <row r="51" spans="1:18">
      <c r="A51" s="11"/>
      <c r="B51" s="11"/>
      <c r="C51" s="11"/>
      <c r="D51" s="11"/>
      <c r="E51" s="11"/>
      <c r="F51" s="11"/>
      <c r="G51" s="11"/>
      <c r="H51" s="11"/>
      <c r="I51" s="11"/>
      <c r="J51" s="11"/>
      <c r="K51" s="11"/>
      <c r="L51" s="11"/>
      <c r="M51" s="11"/>
      <c r="N51" s="11"/>
      <c r="O51" s="11"/>
      <c r="P51" s="11"/>
      <c r="Q51" s="11"/>
      <c r="R51" s="11"/>
    </row>
    <row r="52" spans="1:18">
      <c r="A52" s="11"/>
      <c r="B52" s="11"/>
      <c r="C52" s="11"/>
      <c r="D52" s="11"/>
      <c r="E52" s="11"/>
      <c r="F52" s="11"/>
      <c r="G52" s="11"/>
      <c r="H52" s="11"/>
      <c r="I52" s="11"/>
      <c r="J52" s="11"/>
      <c r="K52" s="11"/>
      <c r="L52" s="11"/>
      <c r="M52" s="11"/>
      <c r="N52" s="11"/>
      <c r="O52" s="11"/>
      <c r="P52" s="11"/>
      <c r="Q52" s="11"/>
      <c r="R52" s="11"/>
    </row>
    <row r="53" spans="1:18">
      <c r="A53" s="11"/>
      <c r="B53" s="11"/>
      <c r="C53" s="11"/>
      <c r="D53" s="11"/>
      <c r="E53" s="11"/>
      <c r="F53" s="11"/>
      <c r="G53" s="11"/>
      <c r="H53" s="11"/>
      <c r="I53" s="11"/>
      <c r="J53" s="11"/>
      <c r="K53" s="11"/>
      <c r="L53" s="11"/>
      <c r="M53" s="11"/>
      <c r="N53" s="11"/>
      <c r="O53" s="11"/>
      <c r="P53" s="11"/>
      <c r="Q53" s="11"/>
      <c r="R53" s="11"/>
    </row>
    <row r="54" spans="1:18">
      <c r="A54" s="11"/>
      <c r="B54" s="11"/>
      <c r="C54" s="11"/>
      <c r="D54" s="11"/>
      <c r="E54" s="11"/>
      <c r="F54" s="11"/>
      <c r="G54" s="11"/>
      <c r="H54" s="11"/>
      <c r="I54" s="11"/>
      <c r="J54" s="11"/>
      <c r="K54" s="11"/>
      <c r="L54" s="11"/>
      <c r="M54" s="11"/>
      <c r="N54" s="11"/>
      <c r="O54" s="11"/>
      <c r="P54" s="11"/>
      <c r="Q54" s="11"/>
      <c r="R54" s="11"/>
    </row>
    <row r="55" spans="1:18">
      <c r="A55" s="11"/>
      <c r="B55" s="11"/>
      <c r="C55" s="11"/>
      <c r="D55" s="11"/>
      <c r="E55" s="11"/>
      <c r="F55" s="11"/>
      <c r="G55" s="11"/>
      <c r="H55" s="11"/>
      <c r="I55" s="11"/>
      <c r="J55" s="11"/>
      <c r="K55" s="11"/>
      <c r="L55" s="11"/>
      <c r="M55" s="11"/>
      <c r="N55" s="11"/>
      <c r="O55" s="11"/>
      <c r="P55" s="11"/>
      <c r="Q55" s="11"/>
      <c r="R55" s="11"/>
    </row>
    <row r="56" spans="1:18">
      <c r="A56" s="11"/>
      <c r="B56" s="11"/>
      <c r="C56" s="11"/>
      <c r="D56" s="11"/>
      <c r="E56" s="11"/>
      <c r="F56" s="11"/>
      <c r="G56" s="11"/>
      <c r="H56" s="11"/>
      <c r="I56" s="11"/>
      <c r="J56" s="11"/>
      <c r="K56" s="11"/>
      <c r="L56" s="11"/>
      <c r="M56" s="11"/>
      <c r="N56" s="11"/>
      <c r="O56" s="11"/>
      <c r="P56" s="11"/>
      <c r="Q56" s="11"/>
      <c r="R56" s="11"/>
    </row>
    <row r="57" spans="1:18">
      <c r="A57" s="11"/>
      <c r="B57" s="11"/>
      <c r="C57" s="11"/>
      <c r="D57" s="11"/>
      <c r="E57" s="11"/>
      <c r="F57" s="11"/>
      <c r="G57" s="11"/>
      <c r="H57" s="11"/>
      <c r="I57" s="11"/>
      <c r="J57" s="11"/>
      <c r="K57" s="11"/>
      <c r="L57" s="11"/>
      <c r="M57" s="11"/>
      <c r="N57" s="11"/>
      <c r="O57" s="11"/>
      <c r="P57" s="11"/>
      <c r="Q57" s="11"/>
      <c r="R57" s="11"/>
    </row>
    <row r="58" spans="1:18">
      <c r="A58" s="11"/>
      <c r="B58" s="11"/>
      <c r="C58" s="11"/>
      <c r="D58" s="11"/>
      <c r="E58" s="11"/>
      <c r="F58" s="11"/>
      <c r="G58" s="11"/>
      <c r="H58" s="11"/>
      <c r="I58" s="11"/>
      <c r="J58" s="11"/>
      <c r="K58" s="11"/>
      <c r="L58" s="11"/>
      <c r="M58" s="11"/>
      <c r="N58" s="11"/>
      <c r="O58" s="11"/>
      <c r="P58" s="11"/>
      <c r="Q58" s="11"/>
      <c r="R58" s="11"/>
    </row>
    <row r="59" spans="1:18">
      <c r="A59" s="11"/>
      <c r="B59" s="11"/>
      <c r="C59" s="11"/>
      <c r="D59" s="11"/>
      <c r="E59" s="11"/>
      <c r="F59" s="11"/>
      <c r="G59" s="11"/>
      <c r="H59" s="11"/>
      <c r="I59" s="11"/>
      <c r="J59" s="11"/>
      <c r="K59" s="11"/>
      <c r="L59" s="11"/>
      <c r="M59" s="11"/>
      <c r="N59" s="11"/>
      <c r="O59" s="11"/>
      <c r="P59" s="11"/>
      <c r="Q59" s="11"/>
      <c r="R59" s="11"/>
    </row>
    <row r="60" spans="1:18">
      <c r="A60" s="11"/>
      <c r="B60" s="11"/>
      <c r="C60" s="11"/>
      <c r="D60" s="11"/>
      <c r="E60" s="11"/>
      <c r="F60" s="11"/>
      <c r="G60" s="11"/>
      <c r="H60" s="11"/>
      <c r="I60" s="11"/>
      <c r="J60" s="11"/>
      <c r="K60" s="11"/>
      <c r="L60" s="11"/>
      <c r="M60" s="11"/>
      <c r="N60" s="11"/>
      <c r="O60" s="11"/>
      <c r="P60" s="11"/>
      <c r="Q60" s="11"/>
      <c r="R60" s="11"/>
    </row>
    <row r="61" spans="1:18">
      <c r="A61" s="11"/>
      <c r="B61" s="11"/>
      <c r="C61" s="11"/>
      <c r="D61" s="11"/>
      <c r="E61" s="11"/>
      <c r="F61" s="11"/>
      <c r="G61" s="11"/>
      <c r="H61" s="11"/>
      <c r="I61" s="11"/>
      <c r="J61" s="11"/>
      <c r="K61" s="11"/>
      <c r="L61" s="11"/>
      <c r="M61" s="11"/>
      <c r="N61" s="11"/>
      <c r="O61" s="11"/>
      <c r="P61" s="11"/>
      <c r="Q61" s="11"/>
      <c r="R61" s="11"/>
    </row>
    <row r="62" spans="1:18">
      <c r="A62" s="11"/>
      <c r="B62" s="11"/>
      <c r="C62" s="11"/>
      <c r="D62" s="11"/>
      <c r="E62" s="11"/>
      <c r="F62" s="11"/>
      <c r="G62" s="11"/>
      <c r="H62" s="11"/>
      <c r="I62" s="11"/>
      <c r="J62" s="11"/>
      <c r="K62" s="11"/>
      <c r="L62" s="11"/>
      <c r="M62" s="11"/>
      <c r="N62" s="11"/>
      <c r="O62" s="11"/>
      <c r="P62" s="11"/>
      <c r="Q62" s="11"/>
      <c r="R62" s="11"/>
    </row>
    <row r="63" spans="1:18">
      <c r="A63" s="11"/>
      <c r="B63" s="11"/>
      <c r="C63" s="11"/>
      <c r="D63" s="11"/>
      <c r="E63" s="11"/>
      <c r="F63" s="11"/>
      <c r="G63" s="11"/>
      <c r="H63" s="11"/>
      <c r="I63" s="11"/>
      <c r="J63" s="11"/>
      <c r="K63" s="11"/>
      <c r="L63" s="11"/>
      <c r="M63" s="11"/>
      <c r="N63" s="11"/>
      <c r="O63" s="11"/>
      <c r="P63" s="11"/>
      <c r="Q63" s="11"/>
      <c r="R63" s="11"/>
    </row>
    <row r="64" spans="1:18">
      <c r="A64" s="11"/>
      <c r="B64" s="11"/>
      <c r="C64" s="11"/>
      <c r="D64" s="11"/>
      <c r="E64" s="11"/>
      <c r="F64" s="11"/>
      <c r="G64" s="11"/>
      <c r="H64" s="11"/>
      <c r="I64" s="11"/>
      <c r="J64" s="11"/>
      <c r="K64" s="11"/>
      <c r="L64" s="11"/>
      <c r="M64" s="11"/>
      <c r="N64" s="11"/>
      <c r="O64" s="11"/>
      <c r="P64" s="11"/>
      <c r="Q64" s="11"/>
      <c r="R64" s="11"/>
    </row>
    <row r="65" spans="1:18">
      <c r="A65" s="11"/>
      <c r="B65" s="11"/>
      <c r="C65" s="11"/>
      <c r="D65" s="11"/>
      <c r="E65" s="11"/>
      <c r="F65" s="11"/>
      <c r="G65" s="11"/>
      <c r="H65" s="11"/>
      <c r="I65" s="11"/>
      <c r="J65" s="11"/>
      <c r="K65" s="11"/>
      <c r="L65" s="11"/>
      <c r="M65" s="11"/>
      <c r="N65" s="11"/>
      <c r="O65" s="11"/>
      <c r="P65" s="11"/>
      <c r="Q65" s="11"/>
      <c r="R65" s="11"/>
    </row>
    <row r="66" spans="1:18">
      <c r="A66" s="11"/>
      <c r="B66" s="11"/>
      <c r="C66" s="11"/>
      <c r="D66" s="11"/>
      <c r="E66" s="11"/>
      <c r="F66" s="11"/>
      <c r="G66" s="11"/>
      <c r="H66" s="11"/>
      <c r="I66" s="11"/>
      <c r="J66" s="11"/>
      <c r="K66" s="11"/>
      <c r="L66" s="11"/>
      <c r="M66" s="11"/>
      <c r="N66" s="11"/>
      <c r="O66" s="11"/>
      <c r="P66" s="11"/>
      <c r="Q66" s="11"/>
      <c r="R66" s="11"/>
    </row>
    <row r="67" spans="1:18">
      <c r="A67" s="11"/>
      <c r="B67" s="11"/>
      <c r="C67" s="11"/>
      <c r="D67" s="11"/>
      <c r="E67" s="11"/>
      <c r="F67" s="11"/>
      <c r="G67" s="11"/>
      <c r="H67" s="11"/>
      <c r="I67" s="11"/>
      <c r="J67" s="11"/>
      <c r="K67" s="11"/>
      <c r="L67" s="11"/>
      <c r="M67" s="11"/>
      <c r="N67" s="11"/>
      <c r="O67" s="11"/>
      <c r="P67" s="11"/>
      <c r="Q67" s="11"/>
      <c r="R67" s="11"/>
    </row>
    <row r="68" spans="1:18">
      <c r="A68" s="11"/>
      <c r="B68" s="11"/>
      <c r="C68" s="11"/>
      <c r="D68" s="11"/>
      <c r="E68" s="11"/>
      <c r="F68" s="11"/>
      <c r="G68" s="11"/>
      <c r="H68" s="11"/>
      <c r="I68" s="11"/>
      <c r="J68" s="11"/>
      <c r="K68" s="11"/>
      <c r="L68" s="11"/>
      <c r="M68" s="11"/>
      <c r="N68" s="11"/>
      <c r="O68" s="11"/>
      <c r="P68" s="11"/>
      <c r="Q68" s="11"/>
      <c r="R68" s="11"/>
    </row>
    <row r="69" spans="1:18">
      <c r="A69" s="11"/>
      <c r="B69" s="11"/>
      <c r="C69" s="11"/>
      <c r="D69" s="11"/>
      <c r="E69" s="11"/>
      <c r="F69" s="11"/>
      <c r="G69" s="11"/>
      <c r="H69" s="11"/>
      <c r="I69" s="11"/>
      <c r="J69" s="11"/>
      <c r="K69" s="11"/>
      <c r="L69" s="11"/>
      <c r="M69" s="11"/>
      <c r="N69" s="11"/>
      <c r="O69" s="11"/>
      <c r="P69" s="11"/>
      <c r="Q69" s="11"/>
      <c r="R69" s="11"/>
    </row>
    <row r="70" spans="1:18">
      <c r="A70" s="11"/>
      <c r="B70" s="11"/>
      <c r="C70" s="11"/>
      <c r="D70" s="11"/>
      <c r="E70" s="11"/>
      <c r="F70" s="11"/>
      <c r="G70" s="11"/>
      <c r="H70" s="11"/>
      <c r="I70" s="11"/>
      <c r="J70" s="11"/>
      <c r="K70" s="11"/>
      <c r="L70" s="11"/>
      <c r="M70" s="11"/>
      <c r="N70" s="11"/>
      <c r="O70" s="11"/>
      <c r="P70" s="11"/>
      <c r="Q70" s="11"/>
      <c r="R70" s="11"/>
    </row>
    <row r="71" spans="1:18">
      <c r="A71" s="11"/>
      <c r="B71" s="11"/>
      <c r="C71" s="11"/>
      <c r="D71" s="11"/>
      <c r="E71" s="11"/>
      <c r="F71" s="11"/>
      <c r="G71" s="11"/>
      <c r="H71" s="11"/>
      <c r="I71" s="11"/>
      <c r="J71" s="11"/>
      <c r="K71" s="11"/>
      <c r="L71" s="11"/>
      <c r="M71" s="11"/>
      <c r="N71" s="11"/>
      <c r="O71" s="11"/>
      <c r="P71" s="11"/>
      <c r="Q71" s="11"/>
      <c r="R71" s="11"/>
    </row>
    <row r="72" spans="1:18">
      <c r="A72" s="11"/>
      <c r="B72" s="11"/>
      <c r="C72" s="11"/>
      <c r="D72" s="11"/>
      <c r="E72" s="11"/>
      <c r="F72" s="11"/>
      <c r="G72" s="11"/>
      <c r="H72" s="11"/>
      <c r="I72" s="11"/>
      <c r="J72" s="11"/>
      <c r="K72" s="11"/>
      <c r="L72" s="11"/>
      <c r="M72" s="11"/>
      <c r="N72" s="11"/>
      <c r="O72" s="11"/>
      <c r="P72" s="11"/>
      <c r="Q72" s="11"/>
      <c r="R72" s="11"/>
    </row>
    <row r="73" spans="1:18">
      <c r="A73" s="11"/>
      <c r="B73" s="11"/>
      <c r="C73" s="11"/>
      <c r="D73" s="11"/>
      <c r="E73" s="11"/>
      <c r="F73" s="11"/>
      <c r="G73" s="11"/>
      <c r="H73" s="11"/>
      <c r="I73" s="11"/>
      <c r="J73" s="11"/>
      <c r="K73" s="11"/>
      <c r="L73" s="11"/>
      <c r="M73" s="11"/>
      <c r="N73" s="11"/>
      <c r="O73" s="11"/>
      <c r="P73" s="11"/>
      <c r="Q73" s="11"/>
      <c r="R73" s="11"/>
    </row>
    <row r="74" spans="1:18">
      <c r="A74" s="11"/>
      <c r="B74" s="11"/>
      <c r="C74" s="11"/>
      <c r="D74" s="11"/>
      <c r="E74" s="11"/>
      <c r="F74" s="11"/>
      <c r="G74" s="11"/>
      <c r="H74" s="11"/>
      <c r="I74" s="11"/>
      <c r="J74" s="11"/>
      <c r="K74" s="11"/>
      <c r="L74" s="11"/>
      <c r="M74" s="11"/>
      <c r="N74" s="11"/>
      <c r="O74" s="11"/>
      <c r="P74" s="11"/>
      <c r="Q74" s="11"/>
      <c r="R74" s="11"/>
    </row>
    <row r="75" spans="1:18">
      <c r="A75" s="11"/>
      <c r="B75" s="11"/>
      <c r="C75" s="11"/>
      <c r="D75" s="11"/>
      <c r="E75" s="11"/>
      <c r="F75" s="11"/>
      <c r="G75" s="11"/>
      <c r="H75" s="11"/>
      <c r="I75" s="11"/>
      <c r="J75" s="11"/>
      <c r="K75" s="11"/>
      <c r="L75" s="11"/>
      <c r="M75" s="11"/>
      <c r="N75" s="11"/>
      <c r="O75" s="11"/>
      <c r="P75" s="11"/>
      <c r="Q75" s="11"/>
      <c r="R75" s="11"/>
    </row>
    <row r="76" spans="1:18">
      <c r="A76" s="11"/>
      <c r="B76" s="11"/>
      <c r="C76" s="11"/>
      <c r="D76" s="11"/>
      <c r="E76" s="11"/>
      <c r="F76" s="11"/>
      <c r="G76" s="11"/>
      <c r="H76" s="11"/>
      <c r="I76" s="11"/>
      <c r="J76" s="11"/>
      <c r="K76" s="11"/>
      <c r="L76" s="11"/>
      <c r="M76" s="11"/>
      <c r="N76" s="11"/>
      <c r="O76" s="11"/>
      <c r="P76" s="11"/>
      <c r="Q76" s="11"/>
      <c r="R76" s="11"/>
    </row>
    <row r="77" spans="1:18">
      <c r="A77" s="11"/>
      <c r="B77" s="11"/>
      <c r="C77" s="11"/>
      <c r="D77" s="11"/>
      <c r="E77" s="11"/>
      <c r="F77" s="11"/>
      <c r="G77" s="11"/>
      <c r="H77" s="11"/>
      <c r="I77" s="11"/>
      <c r="J77" s="11"/>
      <c r="K77" s="11"/>
      <c r="L77" s="11"/>
      <c r="M77" s="11"/>
      <c r="N77" s="11"/>
      <c r="O77" s="11"/>
      <c r="P77" s="11"/>
      <c r="Q77" s="11"/>
      <c r="R77" s="11"/>
    </row>
    <row r="78" spans="1:18">
      <c r="A78" s="11"/>
      <c r="B78" s="11"/>
      <c r="C78" s="11"/>
      <c r="D78" s="11"/>
      <c r="E78" s="11"/>
      <c r="F78" s="11"/>
      <c r="G78" s="11"/>
      <c r="H78" s="11"/>
      <c r="I78" s="11"/>
      <c r="J78" s="11"/>
      <c r="K78" s="11"/>
      <c r="L78" s="11"/>
      <c r="M78" s="11"/>
      <c r="N78" s="11"/>
      <c r="O78" s="11"/>
      <c r="P78" s="11"/>
      <c r="Q78" s="11"/>
      <c r="R78" s="11"/>
    </row>
    <row r="79" spans="1:18">
      <c r="A79" s="11"/>
      <c r="B79" s="11"/>
      <c r="C79" s="11"/>
      <c r="D79" s="11"/>
      <c r="E79" s="11"/>
      <c r="F79" s="11"/>
      <c r="G79" s="11"/>
      <c r="H79" s="11"/>
      <c r="I79" s="11"/>
      <c r="J79" s="11"/>
      <c r="K79" s="11"/>
      <c r="L79" s="11"/>
      <c r="M79" s="11"/>
      <c r="N79" s="11"/>
      <c r="O79" s="11"/>
      <c r="P79" s="11"/>
      <c r="Q79" s="11"/>
      <c r="R79" s="11"/>
    </row>
    <row r="80" spans="1:18">
      <c r="A80" s="11"/>
      <c r="B80" s="11"/>
      <c r="C80" s="11"/>
      <c r="D80" s="11"/>
      <c r="E80" s="11"/>
      <c r="F80" s="11"/>
      <c r="G80" s="11"/>
      <c r="H80" s="11"/>
      <c r="I80" s="11"/>
      <c r="J80" s="11"/>
      <c r="K80" s="11"/>
      <c r="L80" s="11"/>
      <c r="M80" s="11"/>
      <c r="N80" s="11"/>
      <c r="O80" s="11"/>
      <c r="P80" s="11"/>
      <c r="Q80" s="11"/>
      <c r="R80" s="11"/>
    </row>
    <row r="81" spans="1:18">
      <c r="A81" s="11"/>
      <c r="B81" s="11"/>
      <c r="C81" s="11"/>
      <c r="D81" s="11"/>
      <c r="E81" s="11"/>
      <c r="F81" s="11"/>
      <c r="G81" s="11"/>
      <c r="H81" s="11"/>
      <c r="I81" s="11"/>
      <c r="J81" s="11"/>
      <c r="K81" s="11"/>
      <c r="L81" s="11"/>
      <c r="M81" s="11"/>
      <c r="N81" s="11"/>
      <c r="O81" s="11"/>
      <c r="P81" s="11"/>
      <c r="Q81" s="11"/>
      <c r="R81" s="11"/>
    </row>
    <row r="82" spans="1:18">
      <c r="A82" s="11"/>
      <c r="B82" s="11"/>
      <c r="C82" s="11"/>
      <c r="D82" s="11"/>
      <c r="E82" s="11"/>
      <c r="F82" s="11"/>
      <c r="G82" s="11"/>
      <c r="H82" s="11"/>
      <c r="I82" s="11"/>
      <c r="J82" s="11"/>
      <c r="K82" s="11"/>
      <c r="L82" s="11"/>
      <c r="M82" s="11"/>
      <c r="N82" s="11"/>
      <c r="O82" s="11"/>
      <c r="P82" s="11"/>
      <c r="Q82" s="11"/>
      <c r="R82" s="11"/>
    </row>
    <row r="83" spans="1:18">
      <c r="A83" s="11"/>
      <c r="B83" s="11"/>
      <c r="C83" s="11"/>
      <c r="D83" s="11"/>
      <c r="E83" s="11"/>
      <c r="F83" s="11"/>
      <c r="G83" s="11"/>
      <c r="H83" s="11"/>
      <c r="I83" s="11"/>
      <c r="J83" s="11"/>
      <c r="K83" s="11"/>
      <c r="L83" s="11"/>
      <c r="M83" s="11"/>
      <c r="N83" s="11"/>
      <c r="O83" s="11"/>
      <c r="P83" s="11"/>
      <c r="Q83" s="11"/>
      <c r="R83" s="11"/>
    </row>
    <row r="84" spans="1:18">
      <c r="A84" s="11"/>
      <c r="B84" s="11"/>
      <c r="C84" s="11"/>
      <c r="D84" s="11"/>
      <c r="E84" s="11"/>
      <c r="F84" s="11"/>
      <c r="G84" s="11"/>
      <c r="H84" s="11"/>
      <c r="I84" s="11"/>
      <c r="J84" s="11"/>
      <c r="K84" s="11"/>
      <c r="L84" s="11"/>
      <c r="M84" s="11"/>
      <c r="N84" s="11"/>
      <c r="O84" s="11"/>
      <c r="P84" s="11"/>
      <c r="Q84" s="11"/>
      <c r="R84" s="11"/>
    </row>
    <row r="85" spans="1:18">
      <c r="A85" s="11"/>
      <c r="B85" s="11"/>
      <c r="C85" s="11"/>
      <c r="D85" s="11"/>
      <c r="E85" s="11"/>
      <c r="F85" s="11"/>
      <c r="G85" s="11"/>
      <c r="H85" s="11"/>
      <c r="I85" s="11"/>
      <c r="J85" s="11"/>
      <c r="K85" s="11"/>
      <c r="L85" s="11"/>
      <c r="M85" s="11"/>
      <c r="N85" s="11"/>
      <c r="O85" s="11"/>
      <c r="P85" s="11"/>
      <c r="Q85" s="11"/>
      <c r="R85" s="11"/>
    </row>
    <row r="86" spans="1:18">
      <c r="A86" s="11"/>
      <c r="B86" s="11"/>
      <c r="C86" s="11"/>
      <c r="D86" s="11"/>
      <c r="E86" s="11"/>
      <c r="F86" s="11"/>
      <c r="G86" s="11"/>
      <c r="H86" s="11"/>
      <c r="I86" s="11"/>
      <c r="J86" s="11"/>
      <c r="K86" s="11"/>
      <c r="L86" s="11"/>
      <c r="M86" s="11"/>
      <c r="N86" s="11"/>
      <c r="O86" s="11"/>
      <c r="P86" s="11"/>
      <c r="Q86" s="11"/>
      <c r="R86" s="11"/>
    </row>
    <row r="87" spans="1:18">
      <c r="A87" s="11"/>
      <c r="B87" s="11"/>
      <c r="C87" s="11"/>
      <c r="D87" s="11"/>
      <c r="E87" s="11"/>
      <c r="F87" s="11"/>
      <c r="G87" s="11"/>
      <c r="H87" s="11"/>
      <c r="I87" s="11"/>
      <c r="J87" s="11"/>
      <c r="K87" s="11"/>
      <c r="L87" s="11"/>
      <c r="M87" s="11"/>
      <c r="N87" s="11"/>
      <c r="O87" s="11"/>
      <c r="P87" s="11"/>
      <c r="Q87" s="11"/>
      <c r="R87" s="11"/>
    </row>
    <row r="88" spans="1:18">
      <c r="A88" s="11"/>
      <c r="B88" s="11"/>
      <c r="C88" s="11"/>
      <c r="D88" s="11"/>
      <c r="E88" s="11"/>
      <c r="F88" s="11"/>
      <c r="G88" s="11"/>
      <c r="H88" s="11"/>
      <c r="I88" s="11"/>
      <c r="J88" s="11"/>
      <c r="K88" s="11"/>
      <c r="L88" s="11"/>
      <c r="M88" s="11"/>
      <c r="N88" s="11"/>
      <c r="O88" s="11"/>
      <c r="P88" s="11"/>
      <c r="Q88" s="11"/>
      <c r="R88" s="11"/>
    </row>
    <row r="89" spans="1:18">
      <c r="A89" s="11"/>
      <c r="B89" s="11"/>
      <c r="C89" s="11"/>
      <c r="D89" s="11"/>
      <c r="E89" s="11"/>
      <c r="F89" s="11"/>
      <c r="G89" s="11"/>
      <c r="H89" s="11"/>
      <c r="I89" s="11"/>
      <c r="J89" s="11"/>
      <c r="K89" s="11"/>
      <c r="L89" s="11"/>
      <c r="M89" s="11"/>
      <c r="N89" s="11"/>
      <c r="O89" s="11"/>
      <c r="P89" s="11"/>
      <c r="Q89" s="11"/>
      <c r="R89" s="11"/>
    </row>
    <row r="90" spans="1:18">
      <c r="A90" s="11"/>
      <c r="B90" s="11"/>
      <c r="C90" s="11"/>
      <c r="D90" s="11"/>
      <c r="E90" s="11"/>
      <c r="F90" s="11"/>
      <c r="G90" s="11"/>
      <c r="H90" s="11"/>
      <c r="I90" s="11"/>
      <c r="J90" s="11"/>
      <c r="K90" s="11"/>
      <c r="L90" s="11"/>
      <c r="M90" s="11"/>
      <c r="N90" s="11"/>
      <c r="O90" s="11"/>
      <c r="P90" s="11"/>
      <c r="Q90" s="11"/>
      <c r="R90" s="11"/>
    </row>
    <row r="91" spans="1:18">
      <c r="A91" s="11"/>
      <c r="B91" s="11"/>
      <c r="C91" s="11"/>
      <c r="D91" s="11"/>
      <c r="E91" s="11"/>
      <c r="F91" s="11"/>
      <c r="G91" s="11"/>
      <c r="H91" s="11"/>
      <c r="I91" s="11"/>
      <c r="J91" s="11"/>
      <c r="K91" s="11"/>
      <c r="L91" s="11"/>
      <c r="M91" s="11"/>
      <c r="N91" s="11"/>
      <c r="O91" s="11"/>
      <c r="P91" s="11"/>
      <c r="Q91" s="11"/>
      <c r="R91" s="11"/>
    </row>
    <row r="92" spans="1:18">
      <c r="A92" s="11"/>
      <c r="B92" s="11"/>
      <c r="C92" s="11"/>
      <c r="D92" s="11"/>
      <c r="E92" s="11"/>
      <c r="F92" s="11"/>
      <c r="G92" s="11"/>
      <c r="H92" s="11"/>
      <c r="I92" s="11"/>
      <c r="J92" s="11"/>
      <c r="K92" s="11"/>
      <c r="L92" s="11"/>
      <c r="M92" s="11"/>
      <c r="N92" s="11"/>
      <c r="O92" s="11"/>
      <c r="P92" s="11"/>
      <c r="Q92" s="11"/>
      <c r="R92" s="11"/>
    </row>
    <row r="93" spans="1:18">
      <c r="A93" s="11"/>
      <c r="B93" s="11"/>
      <c r="C93" s="11"/>
      <c r="D93" s="11"/>
      <c r="E93" s="11"/>
      <c r="F93" s="11"/>
      <c r="G93" s="11"/>
      <c r="H93" s="11"/>
      <c r="I93" s="11"/>
      <c r="J93" s="11"/>
      <c r="K93" s="11"/>
      <c r="L93" s="11"/>
      <c r="M93" s="11"/>
      <c r="N93" s="11"/>
      <c r="O93" s="11"/>
      <c r="P93" s="11"/>
      <c r="Q93" s="11"/>
      <c r="R93" s="11"/>
    </row>
    <row r="94" spans="1:18">
      <c r="A94" s="11"/>
      <c r="B94" s="11"/>
      <c r="C94" s="11"/>
      <c r="D94" s="11"/>
      <c r="E94" s="11"/>
      <c r="F94" s="11"/>
      <c r="G94" s="11"/>
      <c r="H94" s="11"/>
      <c r="I94" s="11"/>
      <c r="J94" s="11"/>
      <c r="K94" s="11"/>
      <c r="L94" s="11"/>
      <c r="M94" s="11"/>
      <c r="N94" s="11"/>
      <c r="O94" s="11"/>
      <c r="P94" s="11"/>
      <c r="Q94" s="11"/>
      <c r="R94" s="11"/>
    </row>
    <row r="95" spans="1:18">
      <c r="A95" s="11"/>
      <c r="B95" s="11"/>
      <c r="C95" s="11"/>
      <c r="D95" s="11"/>
      <c r="E95" s="11"/>
      <c r="F95" s="11"/>
      <c r="G95" s="11"/>
      <c r="H95" s="11"/>
      <c r="I95" s="11"/>
      <c r="J95" s="11"/>
      <c r="K95" s="11"/>
      <c r="L95" s="11"/>
      <c r="M95" s="11"/>
      <c r="N95" s="11"/>
      <c r="O95" s="11"/>
      <c r="P95" s="11"/>
      <c r="Q95" s="11"/>
      <c r="R95" s="11"/>
    </row>
    <row r="96" spans="1:18">
      <c r="A96" s="11"/>
      <c r="B96" s="11"/>
      <c r="C96" s="11"/>
      <c r="D96" s="11"/>
      <c r="E96" s="11"/>
      <c r="F96" s="11"/>
      <c r="G96" s="11"/>
      <c r="H96" s="11"/>
      <c r="I96" s="11"/>
      <c r="J96" s="11"/>
      <c r="K96" s="11"/>
      <c r="L96" s="11"/>
      <c r="M96" s="11"/>
      <c r="N96" s="11"/>
      <c r="O96" s="11"/>
      <c r="P96" s="11"/>
      <c r="Q96" s="11"/>
      <c r="R96" s="11"/>
    </row>
    <row r="97" spans="1:18">
      <c r="A97" s="11"/>
      <c r="B97" s="11"/>
      <c r="C97" s="11"/>
      <c r="D97" s="11"/>
      <c r="E97" s="11"/>
      <c r="F97" s="11"/>
      <c r="G97" s="11"/>
      <c r="H97" s="11"/>
      <c r="I97" s="11"/>
      <c r="J97" s="11"/>
      <c r="K97" s="11"/>
      <c r="L97" s="11"/>
      <c r="M97" s="11"/>
      <c r="N97" s="11"/>
      <c r="O97" s="11"/>
      <c r="P97" s="11"/>
      <c r="Q97" s="11"/>
      <c r="R97" s="11"/>
    </row>
    <row r="98" spans="1:18">
      <c r="A98" s="11"/>
      <c r="B98" s="11"/>
      <c r="C98" s="11"/>
      <c r="D98" s="11"/>
      <c r="E98" s="11"/>
      <c r="F98" s="11"/>
      <c r="G98" s="11"/>
      <c r="H98" s="11"/>
      <c r="I98" s="11"/>
      <c r="J98" s="11"/>
      <c r="K98" s="11"/>
      <c r="L98" s="11"/>
      <c r="M98" s="11"/>
      <c r="N98" s="11"/>
      <c r="O98" s="11"/>
      <c r="P98" s="11"/>
      <c r="Q98" s="11"/>
      <c r="R98" s="11"/>
    </row>
    <row r="99" spans="1:18">
      <c r="A99" s="11"/>
      <c r="B99" s="11"/>
      <c r="C99" s="11"/>
      <c r="D99" s="11"/>
      <c r="E99" s="11"/>
      <c r="F99" s="11"/>
      <c r="G99" s="11"/>
      <c r="H99" s="11"/>
      <c r="I99" s="11"/>
      <c r="J99" s="11"/>
      <c r="K99" s="11"/>
      <c r="L99" s="11"/>
      <c r="M99" s="11"/>
      <c r="N99" s="11"/>
      <c r="O99" s="11"/>
      <c r="P99" s="11"/>
      <c r="Q99" s="11"/>
      <c r="R99" s="11"/>
    </row>
    <row r="100" spans="1:18">
      <c r="A100" s="11"/>
      <c r="B100" s="11"/>
      <c r="C100" s="11"/>
      <c r="D100" s="11"/>
      <c r="E100" s="11"/>
      <c r="F100" s="11"/>
      <c r="G100" s="11"/>
      <c r="H100" s="11"/>
      <c r="I100" s="11"/>
      <c r="J100" s="11"/>
      <c r="K100" s="11"/>
      <c r="L100" s="11"/>
      <c r="M100" s="11"/>
      <c r="N100" s="11"/>
      <c r="O100" s="11"/>
      <c r="P100" s="11"/>
      <c r="Q100" s="11"/>
      <c r="R100" s="11"/>
    </row>
    <row r="101" spans="1:18">
      <c r="A101" s="11"/>
      <c r="B101" s="11"/>
      <c r="C101" s="11"/>
      <c r="D101" s="11"/>
      <c r="E101" s="11"/>
      <c r="F101" s="11"/>
      <c r="G101" s="11"/>
      <c r="H101" s="11"/>
      <c r="I101" s="11"/>
      <c r="J101" s="11"/>
      <c r="K101" s="11"/>
      <c r="L101" s="11"/>
      <c r="M101" s="11"/>
      <c r="N101" s="11"/>
      <c r="O101" s="11"/>
      <c r="P101" s="11"/>
      <c r="Q101" s="11"/>
      <c r="R101" s="11"/>
    </row>
    <row r="102" spans="1:18">
      <c r="A102" s="11"/>
      <c r="B102" s="11"/>
      <c r="C102" s="11"/>
      <c r="D102" s="11"/>
      <c r="E102" s="11"/>
      <c r="F102" s="11"/>
      <c r="G102" s="11"/>
      <c r="H102" s="11"/>
      <c r="I102" s="11"/>
      <c r="J102" s="11"/>
      <c r="K102" s="11"/>
      <c r="L102" s="11"/>
      <c r="M102" s="11"/>
      <c r="N102" s="11"/>
      <c r="O102" s="11"/>
      <c r="P102" s="11"/>
      <c r="Q102" s="11"/>
      <c r="R102" s="11"/>
    </row>
    <row r="103" spans="1:18">
      <c r="A103" s="11"/>
      <c r="B103" s="11"/>
      <c r="C103" s="11"/>
      <c r="D103" s="11"/>
      <c r="E103" s="11"/>
      <c r="F103" s="11"/>
      <c r="G103" s="11"/>
      <c r="H103" s="11"/>
      <c r="I103" s="11"/>
      <c r="J103" s="11"/>
      <c r="K103" s="11"/>
      <c r="L103" s="11"/>
      <c r="M103" s="11"/>
      <c r="N103" s="11"/>
      <c r="O103" s="11"/>
      <c r="P103" s="11"/>
      <c r="Q103" s="11"/>
      <c r="R103" s="11"/>
    </row>
    <row r="104" spans="1:18">
      <c r="A104" s="11"/>
      <c r="B104" s="11"/>
      <c r="C104" s="11"/>
      <c r="D104" s="11"/>
      <c r="E104" s="11"/>
      <c r="F104" s="11"/>
      <c r="G104" s="11"/>
      <c r="H104" s="11"/>
      <c r="I104" s="11"/>
      <c r="J104" s="11"/>
      <c r="K104" s="11"/>
      <c r="L104" s="11"/>
      <c r="M104" s="11"/>
      <c r="N104" s="11"/>
      <c r="O104" s="11"/>
      <c r="P104" s="11"/>
      <c r="Q104" s="11"/>
      <c r="R104" s="11"/>
    </row>
    <row r="105" spans="1:18">
      <c r="A105" s="11"/>
      <c r="B105" s="11"/>
      <c r="C105" s="11"/>
      <c r="D105" s="11"/>
      <c r="E105" s="11"/>
      <c r="F105" s="11"/>
      <c r="G105" s="11"/>
      <c r="H105" s="11"/>
      <c r="I105" s="11"/>
      <c r="J105" s="11"/>
      <c r="K105" s="11"/>
      <c r="L105" s="11"/>
      <c r="M105" s="11"/>
      <c r="N105" s="11"/>
      <c r="O105" s="11"/>
      <c r="P105" s="11"/>
      <c r="Q105" s="11"/>
      <c r="R105" s="11"/>
    </row>
    <row r="106" spans="1:18">
      <c r="A106" s="11"/>
      <c r="B106" s="11"/>
      <c r="C106" s="11"/>
      <c r="D106" s="11"/>
      <c r="E106" s="11"/>
      <c r="F106" s="11"/>
      <c r="G106" s="11"/>
      <c r="H106" s="11"/>
      <c r="I106" s="11"/>
      <c r="J106" s="11"/>
      <c r="K106" s="11"/>
      <c r="L106" s="11"/>
      <c r="M106" s="11"/>
      <c r="N106" s="11"/>
      <c r="O106" s="11"/>
      <c r="P106" s="11"/>
      <c r="Q106" s="11"/>
      <c r="R106" s="11"/>
    </row>
    <row r="107" spans="1:18">
      <c r="A107" s="11"/>
      <c r="B107" s="11"/>
      <c r="C107" s="11"/>
      <c r="D107" s="11"/>
      <c r="E107" s="11"/>
      <c r="F107" s="11"/>
      <c r="G107" s="11"/>
      <c r="H107" s="11"/>
      <c r="I107" s="11"/>
      <c r="J107" s="11"/>
      <c r="K107" s="11"/>
      <c r="L107" s="11"/>
      <c r="M107" s="11"/>
      <c r="N107" s="11"/>
      <c r="O107" s="11"/>
      <c r="P107" s="11"/>
      <c r="Q107" s="11"/>
      <c r="R107" s="11"/>
    </row>
    <row r="108" spans="1:18">
      <c r="A108" s="11"/>
      <c r="B108" s="11"/>
      <c r="C108" s="11"/>
      <c r="D108" s="11"/>
      <c r="E108" s="11"/>
      <c r="F108" s="11"/>
      <c r="G108" s="11"/>
      <c r="H108" s="11"/>
      <c r="I108" s="11"/>
      <c r="J108" s="11"/>
      <c r="K108" s="11"/>
      <c r="L108" s="11"/>
      <c r="M108" s="11"/>
      <c r="N108" s="11"/>
      <c r="O108" s="11"/>
      <c r="P108" s="11"/>
      <c r="Q108" s="11"/>
      <c r="R108" s="11"/>
    </row>
    <row r="109" spans="1:18">
      <c r="A109" s="11"/>
      <c r="B109" s="11"/>
      <c r="C109" s="11"/>
      <c r="D109" s="11"/>
      <c r="E109" s="11"/>
      <c r="F109" s="11"/>
      <c r="G109" s="11"/>
      <c r="H109" s="11"/>
      <c r="I109" s="11"/>
      <c r="J109" s="11"/>
      <c r="K109" s="11"/>
      <c r="L109" s="11"/>
      <c r="M109" s="11"/>
      <c r="N109" s="11"/>
      <c r="O109" s="11"/>
      <c r="P109" s="11"/>
      <c r="Q109" s="11"/>
      <c r="R109" s="11"/>
    </row>
    <row r="110" spans="1:18">
      <c r="A110" s="11"/>
      <c r="B110" s="11"/>
      <c r="C110" s="11"/>
      <c r="D110" s="11"/>
      <c r="E110" s="11"/>
      <c r="F110" s="11"/>
      <c r="G110" s="11"/>
      <c r="H110" s="11"/>
      <c r="I110" s="11"/>
      <c r="J110" s="11"/>
      <c r="K110" s="11"/>
      <c r="L110" s="11"/>
      <c r="M110" s="11"/>
      <c r="N110" s="11"/>
      <c r="O110" s="11"/>
      <c r="P110" s="11"/>
      <c r="Q110" s="11"/>
      <c r="R110" s="11"/>
    </row>
    <row r="111" spans="1:18">
      <c r="A111" s="11"/>
      <c r="B111" s="11"/>
      <c r="C111" s="11"/>
      <c r="D111" s="11"/>
      <c r="E111" s="11"/>
      <c r="F111" s="11"/>
      <c r="G111" s="11"/>
      <c r="H111" s="11"/>
      <c r="I111" s="11"/>
      <c r="J111" s="11"/>
      <c r="K111" s="11"/>
      <c r="L111" s="11"/>
      <c r="M111" s="11"/>
      <c r="N111" s="11"/>
      <c r="O111" s="11"/>
      <c r="P111" s="11"/>
      <c r="Q111" s="11"/>
      <c r="R111" s="11"/>
    </row>
    <row r="112" spans="1:18">
      <c r="A112" s="11"/>
      <c r="B112" s="11"/>
      <c r="C112" s="11"/>
      <c r="D112" s="11"/>
      <c r="E112" s="11"/>
      <c r="F112" s="11"/>
      <c r="G112" s="11"/>
      <c r="H112" s="11"/>
      <c r="I112" s="11"/>
      <c r="J112" s="11"/>
      <c r="K112" s="11"/>
      <c r="L112" s="11"/>
      <c r="M112" s="11"/>
      <c r="N112" s="11"/>
      <c r="O112" s="11"/>
      <c r="P112" s="11"/>
      <c r="Q112" s="11"/>
      <c r="R112" s="11"/>
    </row>
    <row r="113" spans="1:18">
      <c r="A113" s="11"/>
      <c r="B113" s="11"/>
      <c r="C113" s="11"/>
      <c r="D113" s="11"/>
      <c r="E113" s="11"/>
      <c r="F113" s="11"/>
      <c r="G113" s="11"/>
      <c r="H113" s="11"/>
      <c r="I113" s="11"/>
      <c r="J113" s="11"/>
      <c r="K113" s="11"/>
      <c r="L113" s="11"/>
      <c r="M113" s="11"/>
      <c r="N113" s="11"/>
      <c r="O113" s="11"/>
      <c r="P113" s="11"/>
      <c r="Q113" s="11"/>
      <c r="R113" s="11"/>
    </row>
    <row r="114" spans="1:18">
      <c r="A114" s="11"/>
      <c r="B114" s="11"/>
      <c r="C114" s="11"/>
      <c r="D114" s="11"/>
      <c r="E114" s="11"/>
      <c r="F114" s="11"/>
      <c r="G114" s="11"/>
      <c r="H114" s="11"/>
      <c r="I114" s="11"/>
      <c r="J114" s="11"/>
      <c r="K114" s="11"/>
      <c r="L114" s="11"/>
      <c r="M114" s="11"/>
      <c r="N114" s="11"/>
      <c r="O114" s="11"/>
      <c r="P114" s="11"/>
      <c r="Q114" s="11"/>
      <c r="R114" s="11"/>
    </row>
    <row r="115" spans="1:18">
      <c r="A115" s="11"/>
      <c r="B115" s="11"/>
      <c r="C115" s="11"/>
      <c r="D115" s="11"/>
      <c r="E115" s="11"/>
      <c r="F115" s="11"/>
      <c r="G115" s="11"/>
      <c r="H115" s="11"/>
      <c r="I115" s="11"/>
      <c r="J115" s="11"/>
      <c r="K115" s="11"/>
      <c r="L115" s="11"/>
      <c r="M115" s="11"/>
      <c r="N115" s="11"/>
      <c r="O115" s="11"/>
      <c r="P115" s="11"/>
      <c r="Q115" s="11"/>
      <c r="R115" s="11"/>
    </row>
    <row r="116" spans="1:18">
      <c r="A116" s="11"/>
      <c r="B116" s="11"/>
      <c r="C116" s="11"/>
      <c r="D116" s="11"/>
      <c r="E116" s="11"/>
      <c r="F116" s="11"/>
      <c r="G116" s="11"/>
      <c r="H116" s="11"/>
      <c r="I116" s="11"/>
      <c r="J116" s="11"/>
      <c r="K116" s="11"/>
      <c r="L116" s="11"/>
      <c r="M116" s="11"/>
      <c r="N116" s="11"/>
      <c r="O116" s="11"/>
      <c r="P116" s="11"/>
      <c r="Q116" s="11"/>
      <c r="R116" s="11"/>
    </row>
    <row r="117" spans="1:18">
      <c r="A117" s="11"/>
      <c r="B117" s="11"/>
      <c r="C117" s="11"/>
      <c r="D117" s="11"/>
      <c r="E117" s="11"/>
      <c r="F117" s="11"/>
      <c r="G117" s="11"/>
      <c r="H117" s="11"/>
      <c r="I117" s="11"/>
      <c r="J117" s="11"/>
      <c r="K117" s="11"/>
      <c r="L117" s="11"/>
      <c r="M117" s="11"/>
      <c r="N117" s="11"/>
      <c r="O117" s="11"/>
      <c r="P117" s="11"/>
      <c r="Q117" s="11"/>
      <c r="R117" s="11"/>
    </row>
    <row r="118" spans="1:18">
      <c r="A118" s="11"/>
      <c r="B118" s="11"/>
      <c r="C118" s="11"/>
      <c r="D118" s="11"/>
      <c r="E118" s="11"/>
      <c r="F118" s="11"/>
      <c r="G118" s="11"/>
      <c r="H118" s="11"/>
      <c r="I118" s="11"/>
      <c r="J118" s="11"/>
      <c r="K118" s="11"/>
      <c r="L118" s="11"/>
      <c r="M118" s="11"/>
      <c r="N118" s="11"/>
      <c r="O118" s="11"/>
      <c r="P118" s="11"/>
      <c r="Q118" s="11"/>
      <c r="R118" s="11"/>
    </row>
    <row r="119" spans="1:18">
      <c r="A119" s="11"/>
      <c r="B119" s="11"/>
      <c r="C119" s="11"/>
      <c r="D119" s="11"/>
      <c r="E119" s="11"/>
      <c r="F119" s="11"/>
      <c r="G119" s="11"/>
      <c r="H119" s="11"/>
      <c r="I119" s="11"/>
      <c r="J119" s="11"/>
      <c r="K119" s="11"/>
      <c r="L119" s="11"/>
      <c r="M119" s="11"/>
      <c r="N119" s="11"/>
      <c r="O119" s="11"/>
      <c r="P119" s="11"/>
      <c r="Q119" s="11"/>
      <c r="R119" s="11"/>
    </row>
    <row r="120" spans="1:18">
      <c r="A120" s="11"/>
      <c r="B120" s="11"/>
      <c r="C120" s="11"/>
      <c r="D120" s="11"/>
      <c r="E120" s="11"/>
      <c r="F120" s="11"/>
      <c r="G120" s="11"/>
      <c r="H120" s="11"/>
      <c r="I120" s="11"/>
      <c r="J120" s="11"/>
      <c r="K120" s="11"/>
      <c r="L120" s="11"/>
      <c r="M120" s="11"/>
      <c r="N120" s="11"/>
      <c r="O120" s="11"/>
      <c r="P120" s="11"/>
      <c r="Q120" s="11"/>
      <c r="R120" s="11"/>
    </row>
    <row r="121" spans="1:18">
      <c r="A121" s="11"/>
      <c r="B121" s="11"/>
      <c r="C121" s="11"/>
      <c r="D121" s="11"/>
      <c r="E121" s="11"/>
      <c r="F121" s="11"/>
      <c r="G121" s="11"/>
      <c r="H121" s="11"/>
      <c r="I121" s="11"/>
      <c r="J121" s="11"/>
      <c r="K121" s="11"/>
      <c r="L121" s="11"/>
      <c r="M121" s="11"/>
      <c r="N121" s="11"/>
      <c r="O121" s="11"/>
      <c r="P121" s="11"/>
      <c r="Q121" s="11"/>
      <c r="R121" s="11"/>
    </row>
    <row r="122" spans="1:18">
      <c r="A122" s="11"/>
      <c r="B122" s="11"/>
      <c r="C122" s="11"/>
      <c r="D122" s="11"/>
      <c r="E122" s="11"/>
      <c r="F122" s="11"/>
      <c r="G122" s="11"/>
      <c r="H122" s="11"/>
      <c r="I122" s="11"/>
      <c r="J122" s="11"/>
      <c r="K122" s="11"/>
      <c r="L122" s="11"/>
      <c r="M122" s="11"/>
      <c r="N122" s="11"/>
      <c r="O122" s="11"/>
      <c r="P122" s="11"/>
      <c r="Q122" s="11"/>
      <c r="R122" s="11"/>
    </row>
    <row r="123" spans="1:18">
      <c r="A123" s="11"/>
      <c r="B123" s="11"/>
      <c r="C123" s="11"/>
      <c r="D123" s="11"/>
      <c r="E123" s="11"/>
      <c r="F123" s="11"/>
      <c r="G123" s="11"/>
      <c r="H123" s="11"/>
      <c r="I123" s="11"/>
      <c r="J123" s="11"/>
      <c r="K123" s="11"/>
      <c r="L123" s="11"/>
      <c r="M123" s="11"/>
      <c r="N123" s="11"/>
      <c r="O123" s="11"/>
      <c r="P123" s="11"/>
      <c r="Q123" s="11"/>
      <c r="R123" s="11"/>
    </row>
    <row r="124" spans="1:18">
      <c r="A124" s="11"/>
      <c r="B124" s="11"/>
      <c r="C124" s="11"/>
      <c r="D124" s="11"/>
      <c r="E124" s="11"/>
      <c r="F124" s="11"/>
      <c r="G124" s="11"/>
      <c r="H124" s="11"/>
      <c r="I124" s="11"/>
      <c r="J124" s="11"/>
      <c r="K124" s="11"/>
      <c r="L124" s="11"/>
      <c r="M124" s="11"/>
      <c r="N124" s="11"/>
      <c r="O124" s="11"/>
      <c r="P124" s="11"/>
      <c r="Q124" s="11"/>
      <c r="R124" s="11"/>
    </row>
    <row r="125" spans="1:18">
      <c r="A125" s="11"/>
      <c r="B125" s="11"/>
      <c r="C125" s="11"/>
      <c r="D125" s="11"/>
      <c r="E125" s="11"/>
      <c r="F125" s="11"/>
      <c r="G125" s="11"/>
      <c r="H125" s="11"/>
      <c r="I125" s="11"/>
      <c r="J125" s="11"/>
      <c r="K125" s="11"/>
      <c r="L125" s="11"/>
      <c r="M125" s="11"/>
      <c r="N125" s="11"/>
      <c r="O125" s="11"/>
      <c r="P125" s="11"/>
      <c r="Q125" s="11"/>
      <c r="R125" s="11"/>
    </row>
    <row r="126" spans="1:18">
      <c r="A126" s="11"/>
      <c r="B126" s="11"/>
      <c r="C126" s="11"/>
      <c r="D126" s="11"/>
      <c r="E126" s="11"/>
      <c r="F126" s="11"/>
      <c r="G126" s="11"/>
      <c r="H126" s="11"/>
      <c r="I126" s="11"/>
      <c r="J126" s="11"/>
      <c r="K126" s="11"/>
      <c r="L126" s="11"/>
      <c r="M126" s="11"/>
      <c r="N126" s="11"/>
      <c r="O126" s="11"/>
      <c r="P126" s="11"/>
      <c r="Q126" s="11"/>
      <c r="R126" s="11"/>
    </row>
    <row r="127" spans="1:18">
      <c r="A127" s="11"/>
      <c r="B127" s="11"/>
      <c r="C127" s="11"/>
      <c r="D127" s="11"/>
      <c r="E127" s="11"/>
      <c r="F127" s="11"/>
      <c r="G127" s="11"/>
      <c r="H127" s="11"/>
      <c r="I127" s="11"/>
      <c r="J127" s="11"/>
      <c r="K127" s="11"/>
      <c r="L127" s="11"/>
      <c r="M127" s="11"/>
      <c r="N127" s="11"/>
      <c r="O127" s="11"/>
      <c r="P127" s="11"/>
      <c r="Q127" s="11"/>
      <c r="R127" s="11"/>
    </row>
    <row r="128" spans="1:18">
      <c r="A128" s="11"/>
      <c r="B128" s="11"/>
      <c r="C128" s="11"/>
      <c r="D128" s="11"/>
      <c r="E128" s="11"/>
      <c r="F128" s="11"/>
      <c r="G128" s="11"/>
      <c r="H128" s="11"/>
      <c r="I128" s="11"/>
      <c r="J128" s="11"/>
      <c r="K128" s="11"/>
      <c r="L128" s="11"/>
      <c r="M128" s="11"/>
      <c r="N128" s="11"/>
      <c r="O128" s="11"/>
      <c r="P128" s="11"/>
      <c r="Q128" s="11"/>
      <c r="R128" s="11"/>
    </row>
    <row r="129" spans="1:18">
      <c r="A129" s="11"/>
      <c r="B129" s="11"/>
      <c r="C129" s="11"/>
      <c r="D129" s="11"/>
      <c r="E129" s="11"/>
      <c r="F129" s="11"/>
      <c r="G129" s="11"/>
      <c r="H129" s="11"/>
      <c r="I129" s="11"/>
      <c r="J129" s="11"/>
      <c r="K129" s="11"/>
      <c r="L129" s="11"/>
      <c r="M129" s="11"/>
      <c r="N129" s="11"/>
      <c r="O129" s="11"/>
      <c r="P129" s="11"/>
      <c r="Q129" s="11"/>
      <c r="R129" s="11"/>
    </row>
    <row r="130" spans="1:18">
      <c r="A130" s="11"/>
      <c r="B130" s="11"/>
      <c r="C130" s="11"/>
      <c r="D130" s="11"/>
      <c r="E130" s="11"/>
      <c r="F130" s="11"/>
      <c r="G130" s="11"/>
      <c r="H130" s="11"/>
      <c r="I130" s="11"/>
      <c r="J130" s="11"/>
      <c r="K130" s="11"/>
      <c r="L130" s="11"/>
      <c r="M130" s="11"/>
      <c r="N130" s="11"/>
      <c r="O130" s="11"/>
      <c r="P130" s="11"/>
      <c r="Q130" s="11"/>
      <c r="R130" s="11"/>
    </row>
    <row r="131" spans="1:18">
      <c r="A131" s="11"/>
      <c r="B131" s="11"/>
      <c r="C131" s="11"/>
      <c r="D131" s="11"/>
      <c r="E131" s="11"/>
      <c r="F131" s="11"/>
      <c r="G131" s="11"/>
      <c r="H131" s="11"/>
      <c r="I131" s="11"/>
      <c r="J131" s="11"/>
      <c r="K131" s="11"/>
      <c r="L131" s="11"/>
      <c r="M131" s="11"/>
      <c r="N131" s="11"/>
      <c r="O131" s="11"/>
      <c r="P131" s="11"/>
      <c r="Q131" s="11"/>
      <c r="R131" s="11"/>
    </row>
    <row r="132" spans="1:18">
      <c r="A132" s="11"/>
      <c r="B132" s="11"/>
      <c r="C132" s="11"/>
      <c r="D132" s="11"/>
      <c r="E132" s="11"/>
      <c r="F132" s="11"/>
      <c r="G132" s="11"/>
      <c r="H132" s="11"/>
      <c r="I132" s="11"/>
      <c r="J132" s="11"/>
      <c r="K132" s="11"/>
      <c r="L132" s="11"/>
      <c r="M132" s="11"/>
      <c r="N132" s="11"/>
      <c r="O132" s="11"/>
      <c r="P132" s="11"/>
      <c r="Q132" s="11"/>
      <c r="R132" s="11"/>
    </row>
    <row r="133" spans="1:18">
      <c r="A133" s="11"/>
      <c r="B133" s="11"/>
      <c r="C133" s="11"/>
      <c r="D133" s="11"/>
      <c r="E133" s="11"/>
      <c r="F133" s="11"/>
      <c r="G133" s="11"/>
      <c r="H133" s="11"/>
      <c r="I133" s="11"/>
      <c r="J133" s="11"/>
      <c r="K133" s="11"/>
      <c r="L133" s="11"/>
      <c r="M133" s="11"/>
      <c r="N133" s="11"/>
      <c r="O133" s="11"/>
      <c r="P133" s="11"/>
      <c r="Q133" s="11"/>
      <c r="R133" s="11"/>
    </row>
    <row r="134" spans="1:18">
      <c r="A134" s="11"/>
      <c r="B134" s="11"/>
      <c r="C134" s="11"/>
      <c r="D134" s="11"/>
      <c r="E134" s="11"/>
      <c r="F134" s="11"/>
      <c r="G134" s="11"/>
      <c r="H134" s="11"/>
      <c r="I134" s="11"/>
      <c r="J134" s="11"/>
      <c r="K134" s="11"/>
      <c r="L134" s="11"/>
      <c r="M134" s="11"/>
      <c r="N134" s="11"/>
      <c r="O134" s="11"/>
      <c r="P134" s="11"/>
      <c r="Q134" s="11"/>
      <c r="R134" s="11"/>
    </row>
    <row r="135" spans="1:18">
      <c r="A135" s="11"/>
      <c r="B135" s="11"/>
      <c r="C135" s="11"/>
      <c r="D135" s="11"/>
      <c r="E135" s="11"/>
      <c r="F135" s="11"/>
      <c r="G135" s="11"/>
      <c r="H135" s="11"/>
      <c r="I135" s="11"/>
      <c r="J135" s="11"/>
      <c r="K135" s="11"/>
      <c r="L135" s="11"/>
      <c r="M135" s="11"/>
      <c r="N135" s="11"/>
      <c r="O135" s="11"/>
      <c r="P135" s="11"/>
      <c r="Q135" s="11"/>
      <c r="R135" s="11"/>
    </row>
    <row r="136" spans="1:18">
      <c r="A136" s="11"/>
      <c r="B136" s="11"/>
      <c r="C136" s="11"/>
      <c r="D136" s="11"/>
      <c r="E136" s="11"/>
      <c r="F136" s="11"/>
      <c r="G136" s="11"/>
      <c r="H136" s="11"/>
      <c r="I136" s="11"/>
      <c r="J136" s="11"/>
      <c r="K136" s="11"/>
      <c r="L136" s="11"/>
      <c r="M136" s="11"/>
      <c r="N136" s="11"/>
      <c r="O136" s="11"/>
      <c r="P136" s="11"/>
      <c r="Q136" s="11"/>
      <c r="R136" s="11"/>
    </row>
    <row r="137" spans="1:18">
      <c r="A137" s="11"/>
      <c r="B137" s="11"/>
      <c r="C137" s="11"/>
      <c r="D137" s="11"/>
      <c r="E137" s="11"/>
      <c r="F137" s="11"/>
      <c r="G137" s="11"/>
      <c r="H137" s="11"/>
      <c r="I137" s="11"/>
      <c r="J137" s="11"/>
      <c r="K137" s="11"/>
      <c r="L137" s="11"/>
      <c r="M137" s="11"/>
      <c r="N137" s="11"/>
      <c r="O137" s="11"/>
      <c r="P137" s="11"/>
      <c r="Q137" s="11"/>
      <c r="R137" s="11"/>
    </row>
    <row r="138" spans="1:18">
      <c r="A138" s="11"/>
      <c r="B138" s="11"/>
      <c r="C138" s="11"/>
      <c r="D138" s="11"/>
      <c r="E138" s="11"/>
      <c r="F138" s="11"/>
      <c r="G138" s="11"/>
      <c r="H138" s="11"/>
      <c r="I138" s="11"/>
      <c r="J138" s="11"/>
      <c r="K138" s="11"/>
      <c r="L138" s="11"/>
      <c r="M138" s="11"/>
      <c r="N138" s="11"/>
      <c r="O138" s="11"/>
      <c r="P138" s="11"/>
      <c r="Q138" s="11"/>
      <c r="R138" s="11"/>
    </row>
    <row r="139" spans="1:18">
      <c r="A139" s="11"/>
      <c r="B139" s="11"/>
      <c r="C139" s="11"/>
      <c r="D139" s="11"/>
      <c r="E139" s="11"/>
      <c r="F139" s="11"/>
      <c r="G139" s="11"/>
      <c r="H139" s="11"/>
      <c r="I139" s="11"/>
      <c r="J139" s="11"/>
      <c r="K139" s="11"/>
      <c r="L139" s="11"/>
      <c r="M139" s="11"/>
      <c r="N139" s="11"/>
      <c r="O139" s="11"/>
      <c r="P139" s="11"/>
      <c r="Q139" s="11"/>
      <c r="R139" s="11"/>
    </row>
    <row r="140" spans="1:18">
      <c r="A140" s="11"/>
      <c r="B140" s="11"/>
      <c r="C140" s="11"/>
      <c r="D140" s="11"/>
      <c r="E140" s="11"/>
      <c r="F140" s="11"/>
      <c r="G140" s="11"/>
      <c r="H140" s="11"/>
      <c r="I140" s="11"/>
      <c r="J140" s="11"/>
      <c r="K140" s="11"/>
      <c r="L140" s="11"/>
      <c r="M140" s="11"/>
      <c r="N140" s="11"/>
      <c r="O140" s="11"/>
      <c r="P140" s="11"/>
      <c r="Q140" s="11"/>
      <c r="R140" s="11"/>
    </row>
    <row r="141" spans="1:18">
      <c r="A141" s="11"/>
      <c r="B141" s="11"/>
      <c r="C141" s="11"/>
      <c r="D141" s="11"/>
      <c r="E141" s="11"/>
      <c r="F141" s="11"/>
      <c r="G141" s="11"/>
      <c r="H141" s="11"/>
      <c r="I141" s="11"/>
      <c r="J141" s="11"/>
      <c r="K141" s="11"/>
      <c r="L141" s="11"/>
      <c r="M141" s="11"/>
      <c r="N141" s="11"/>
      <c r="O141" s="11"/>
      <c r="P141" s="11"/>
      <c r="Q141" s="11"/>
      <c r="R141" s="11"/>
    </row>
    <row r="142" spans="1:18">
      <c r="A142" s="11"/>
      <c r="B142" s="11"/>
      <c r="C142" s="11"/>
      <c r="D142" s="11"/>
      <c r="E142" s="11"/>
      <c r="F142" s="11"/>
      <c r="G142" s="11"/>
      <c r="H142" s="11"/>
      <c r="I142" s="11"/>
      <c r="J142" s="11"/>
      <c r="K142" s="11"/>
      <c r="L142" s="11"/>
      <c r="M142" s="11"/>
      <c r="N142" s="11"/>
      <c r="O142" s="11"/>
      <c r="P142" s="11"/>
      <c r="Q142" s="11"/>
      <c r="R142" s="11"/>
    </row>
    <row r="143" spans="1:18">
      <c r="A143" s="11"/>
      <c r="B143" s="11"/>
      <c r="C143" s="11"/>
      <c r="D143" s="11"/>
      <c r="E143" s="11"/>
      <c r="F143" s="11"/>
      <c r="G143" s="11"/>
      <c r="H143" s="11"/>
      <c r="I143" s="11"/>
      <c r="J143" s="11"/>
      <c r="K143" s="11"/>
      <c r="L143" s="11"/>
      <c r="M143" s="11"/>
      <c r="N143" s="11"/>
      <c r="O143" s="11"/>
      <c r="P143" s="11"/>
      <c r="Q143" s="11"/>
      <c r="R143" s="11"/>
    </row>
    <row r="144" spans="1:18">
      <c r="A144" s="11"/>
      <c r="B144" s="11"/>
      <c r="C144" s="11"/>
      <c r="D144" s="11"/>
      <c r="E144" s="11"/>
      <c r="F144" s="11"/>
      <c r="G144" s="11"/>
      <c r="H144" s="11"/>
      <c r="I144" s="11"/>
      <c r="J144" s="11"/>
      <c r="K144" s="11"/>
      <c r="L144" s="11"/>
      <c r="M144" s="11"/>
      <c r="N144" s="11"/>
      <c r="O144" s="11"/>
      <c r="P144" s="11"/>
      <c r="Q144" s="11"/>
      <c r="R144" s="11"/>
    </row>
    <row r="145" spans="1:18">
      <c r="A145" s="11"/>
      <c r="B145" s="11"/>
      <c r="C145" s="11"/>
      <c r="D145" s="11"/>
      <c r="E145" s="11"/>
      <c r="F145" s="11"/>
      <c r="G145" s="11"/>
      <c r="H145" s="11"/>
      <c r="I145" s="11"/>
      <c r="J145" s="11"/>
      <c r="K145" s="11"/>
      <c r="L145" s="11"/>
      <c r="M145" s="11"/>
      <c r="N145" s="11"/>
      <c r="O145" s="11"/>
      <c r="P145" s="11"/>
      <c r="Q145" s="11"/>
      <c r="R145" s="11"/>
    </row>
    <row r="146" spans="1:18">
      <c r="A146" s="11"/>
      <c r="B146" s="11"/>
      <c r="C146" s="11"/>
      <c r="D146" s="11"/>
      <c r="E146" s="11"/>
      <c r="F146" s="11"/>
      <c r="G146" s="11"/>
      <c r="H146" s="11"/>
      <c r="I146" s="11"/>
      <c r="J146" s="11"/>
      <c r="K146" s="11"/>
      <c r="L146" s="11"/>
      <c r="M146" s="11"/>
      <c r="N146" s="11"/>
      <c r="O146" s="11"/>
      <c r="P146" s="11"/>
      <c r="Q146" s="11"/>
      <c r="R146" s="11"/>
    </row>
    <row r="147" spans="1:18">
      <c r="A147" s="11"/>
      <c r="B147" s="11"/>
      <c r="C147" s="11"/>
      <c r="D147" s="11"/>
      <c r="E147" s="11"/>
      <c r="F147" s="11"/>
      <c r="G147" s="11"/>
      <c r="H147" s="11"/>
      <c r="I147" s="11"/>
      <c r="J147" s="11"/>
      <c r="K147" s="11"/>
      <c r="L147" s="11"/>
      <c r="M147" s="11"/>
      <c r="N147" s="11"/>
      <c r="O147" s="11"/>
      <c r="P147" s="11"/>
      <c r="Q147" s="11"/>
      <c r="R147" s="11"/>
    </row>
    <row r="148" spans="1:18">
      <c r="A148" s="11"/>
      <c r="B148" s="11"/>
      <c r="C148" s="11"/>
      <c r="D148" s="11"/>
      <c r="E148" s="11"/>
      <c r="F148" s="11"/>
      <c r="G148" s="11"/>
      <c r="H148" s="11"/>
      <c r="I148" s="11"/>
      <c r="J148" s="11"/>
      <c r="K148" s="11"/>
      <c r="L148" s="11"/>
      <c r="M148" s="11"/>
      <c r="N148" s="11"/>
      <c r="O148" s="11"/>
      <c r="P148" s="11"/>
      <c r="Q148" s="11"/>
      <c r="R148" s="11"/>
    </row>
    <row r="149" spans="1:18">
      <c r="A149" s="11"/>
      <c r="B149" s="11"/>
      <c r="C149" s="11"/>
      <c r="D149" s="11"/>
      <c r="E149" s="11"/>
      <c r="F149" s="11"/>
      <c r="G149" s="11"/>
      <c r="H149" s="11"/>
      <c r="I149" s="11"/>
      <c r="J149" s="11"/>
      <c r="K149" s="11"/>
      <c r="L149" s="11"/>
      <c r="M149" s="11"/>
      <c r="N149" s="11"/>
      <c r="O149" s="11"/>
      <c r="P149" s="11"/>
      <c r="Q149" s="11"/>
      <c r="R149" s="11"/>
    </row>
    <row r="150" spans="1:18">
      <c r="A150" s="11"/>
      <c r="B150" s="11"/>
      <c r="C150" s="11"/>
      <c r="D150" s="11"/>
      <c r="E150" s="11"/>
      <c r="F150" s="11"/>
      <c r="G150" s="11"/>
      <c r="H150" s="11"/>
      <c r="I150" s="11"/>
      <c r="J150" s="11"/>
      <c r="K150" s="11"/>
      <c r="L150" s="11"/>
      <c r="M150" s="11"/>
      <c r="N150" s="11"/>
      <c r="O150" s="11"/>
      <c r="P150" s="11"/>
      <c r="Q150" s="11"/>
      <c r="R150" s="11"/>
    </row>
    <row r="151" spans="1:18">
      <c r="A151" s="11"/>
      <c r="B151" s="11"/>
      <c r="C151" s="11"/>
      <c r="D151" s="11"/>
      <c r="E151" s="11"/>
      <c r="F151" s="11"/>
      <c r="G151" s="11"/>
      <c r="H151" s="11"/>
      <c r="I151" s="11"/>
      <c r="J151" s="11"/>
      <c r="K151" s="11"/>
      <c r="L151" s="11"/>
      <c r="M151" s="11"/>
      <c r="N151" s="11"/>
      <c r="O151" s="11"/>
      <c r="P151" s="11"/>
      <c r="Q151" s="11"/>
      <c r="R151" s="11"/>
    </row>
    <row r="152" spans="1:18">
      <c r="A152" s="11"/>
      <c r="B152" s="11"/>
      <c r="C152" s="11"/>
      <c r="D152" s="11"/>
      <c r="E152" s="11"/>
      <c r="F152" s="11"/>
      <c r="G152" s="11"/>
      <c r="H152" s="11"/>
      <c r="I152" s="11"/>
      <c r="J152" s="11"/>
      <c r="K152" s="11"/>
      <c r="L152" s="11"/>
      <c r="M152" s="11"/>
      <c r="N152" s="11"/>
      <c r="O152" s="11"/>
      <c r="P152" s="11"/>
      <c r="Q152" s="11"/>
      <c r="R152" s="11"/>
    </row>
    <row r="153" spans="1:18">
      <c r="A153" s="11"/>
      <c r="B153" s="11"/>
      <c r="C153" s="11"/>
      <c r="D153" s="11"/>
      <c r="E153" s="11"/>
      <c r="F153" s="11"/>
      <c r="G153" s="11"/>
      <c r="H153" s="11"/>
      <c r="I153" s="11"/>
      <c r="J153" s="11"/>
      <c r="K153" s="11"/>
      <c r="L153" s="11"/>
      <c r="M153" s="11"/>
      <c r="N153" s="11"/>
      <c r="O153" s="11"/>
      <c r="P153" s="11"/>
      <c r="Q153" s="11"/>
      <c r="R153" s="11"/>
    </row>
    <row r="154" spans="1:18">
      <c r="A154" s="11"/>
      <c r="B154" s="11"/>
      <c r="C154" s="11"/>
      <c r="D154" s="11"/>
      <c r="E154" s="11"/>
      <c r="F154" s="11"/>
      <c r="G154" s="11"/>
      <c r="H154" s="11"/>
      <c r="I154" s="11"/>
      <c r="J154" s="11"/>
      <c r="K154" s="11"/>
      <c r="L154" s="11"/>
      <c r="M154" s="11"/>
      <c r="N154" s="11"/>
      <c r="O154" s="11"/>
      <c r="P154" s="11"/>
      <c r="Q154" s="11"/>
      <c r="R154" s="11"/>
    </row>
    <row r="155" spans="1:18">
      <c r="A155" s="11"/>
      <c r="B155" s="11"/>
      <c r="C155" s="11"/>
      <c r="D155" s="11"/>
      <c r="E155" s="11"/>
      <c r="F155" s="11"/>
      <c r="G155" s="11"/>
      <c r="H155" s="11"/>
      <c r="I155" s="11"/>
      <c r="J155" s="11"/>
      <c r="K155" s="11"/>
      <c r="L155" s="11"/>
      <c r="M155" s="11"/>
      <c r="N155" s="11"/>
      <c r="O155" s="11"/>
      <c r="P155" s="11"/>
      <c r="Q155" s="11"/>
      <c r="R155" s="11"/>
    </row>
    <row r="156" spans="1:18">
      <c r="A156" s="11"/>
      <c r="B156" s="11"/>
      <c r="C156" s="11"/>
      <c r="D156" s="11"/>
      <c r="E156" s="11"/>
      <c r="F156" s="11"/>
      <c r="G156" s="11"/>
      <c r="H156" s="11"/>
      <c r="I156" s="11"/>
      <c r="J156" s="11"/>
      <c r="K156" s="11"/>
      <c r="L156" s="11"/>
      <c r="M156" s="11"/>
      <c r="N156" s="11"/>
      <c r="O156" s="11"/>
      <c r="P156" s="11"/>
      <c r="Q156" s="11"/>
      <c r="R156" s="11"/>
    </row>
    <row r="157" spans="1:18">
      <c r="A157" s="11"/>
      <c r="B157" s="11"/>
      <c r="C157" s="11"/>
      <c r="D157" s="11"/>
      <c r="E157" s="11"/>
      <c r="F157" s="11"/>
      <c r="G157" s="11"/>
      <c r="H157" s="11"/>
      <c r="I157" s="11"/>
      <c r="J157" s="11"/>
      <c r="K157" s="11"/>
      <c r="L157" s="11"/>
      <c r="M157" s="11"/>
      <c r="N157" s="11"/>
      <c r="O157" s="11"/>
      <c r="P157" s="11"/>
      <c r="Q157" s="11"/>
      <c r="R157" s="11"/>
    </row>
    <row r="158" spans="1:18">
      <c r="A158" s="11"/>
      <c r="B158" s="11"/>
      <c r="C158" s="11"/>
      <c r="D158" s="11"/>
      <c r="E158" s="11"/>
      <c r="F158" s="11"/>
      <c r="G158" s="11"/>
      <c r="H158" s="11"/>
      <c r="I158" s="11"/>
      <c r="J158" s="11"/>
      <c r="K158" s="11"/>
      <c r="L158" s="11"/>
      <c r="M158" s="11"/>
      <c r="N158" s="11"/>
      <c r="O158" s="11"/>
      <c r="P158" s="11"/>
      <c r="Q158" s="11"/>
      <c r="R158" s="11"/>
    </row>
    <row r="159" spans="1:18">
      <c r="A159" s="11"/>
      <c r="B159" s="11"/>
      <c r="C159" s="11"/>
      <c r="D159" s="11"/>
      <c r="E159" s="11"/>
      <c r="F159" s="11"/>
      <c r="G159" s="11"/>
      <c r="H159" s="11"/>
      <c r="I159" s="11"/>
      <c r="J159" s="11"/>
      <c r="K159" s="11"/>
      <c r="L159" s="11"/>
      <c r="M159" s="11"/>
      <c r="N159" s="11"/>
      <c r="O159" s="11"/>
      <c r="P159" s="11"/>
      <c r="Q159" s="11"/>
      <c r="R159" s="11"/>
    </row>
    <row r="160" spans="1:18">
      <c r="A160" s="11"/>
      <c r="B160" s="11"/>
      <c r="C160" s="11"/>
      <c r="D160" s="11"/>
      <c r="E160" s="11"/>
      <c r="F160" s="11"/>
      <c r="G160" s="11"/>
      <c r="H160" s="11"/>
      <c r="I160" s="11"/>
      <c r="J160" s="11"/>
      <c r="K160" s="11"/>
      <c r="L160" s="11"/>
      <c r="M160" s="11"/>
      <c r="N160" s="11"/>
      <c r="O160" s="11"/>
      <c r="P160" s="11"/>
      <c r="Q160" s="11"/>
      <c r="R160" s="11"/>
    </row>
    <row r="161" spans="1:18">
      <c r="A161" s="11"/>
      <c r="B161" s="11"/>
      <c r="C161" s="11"/>
      <c r="D161" s="11"/>
      <c r="E161" s="11"/>
      <c r="F161" s="11"/>
      <c r="G161" s="11"/>
      <c r="H161" s="11"/>
      <c r="I161" s="11"/>
      <c r="J161" s="11"/>
      <c r="K161" s="11"/>
      <c r="L161" s="11"/>
      <c r="M161" s="11"/>
      <c r="N161" s="11"/>
      <c r="O161" s="11"/>
      <c r="P161" s="11"/>
      <c r="Q161" s="11"/>
      <c r="R161" s="11"/>
    </row>
    <row r="162" spans="1:18">
      <c r="A162" s="11"/>
      <c r="B162" s="11"/>
      <c r="C162" s="11"/>
      <c r="D162" s="11"/>
      <c r="E162" s="11"/>
      <c r="F162" s="11"/>
      <c r="G162" s="11"/>
      <c r="H162" s="11"/>
      <c r="I162" s="11"/>
      <c r="J162" s="11"/>
      <c r="K162" s="11"/>
      <c r="L162" s="11"/>
      <c r="M162" s="11"/>
      <c r="N162" s="11"/>
      <c r="O162" s="11"/>
      <c r="P162" s="11"/>
      <c r="Q162" s="11"/>
      <c r="R162" s="11"/>
    </row>
    <row r="163" spans="1:18">
      <c r="A163" s="11"/>
      <c r="B163" s="11"/>
      <c r="C163" s="11"/>
      <c r="D163" s="11"/>
      <c r="E163" s="11"/>
      <c r="F163" s="11"/>
      <c r="G163" s="11"/>
      <c r="H163" s="11"/>
      <c r="I163" s="11"/>
      <c r="J163" s="11"/>
      <c r="K163" s="11"/>
      <c r="L163" s="11"/>
      <c r="M163" s="11"/>
      <c r="N163" s="11"/>
      <c r="O163" s="11"/>
      <c r="P163" s="11"/>
      <c r="Q163" s="11"/>
      <c r="R163" s="11"/>
    </row>
    <row r="164" spans="1:18">
      <c r="A164" s="11"/>
      <c r="B164" s="11"/>
      <c r="C164" s="11"/>
      <c r="D164" s="11"/>
      <c r="E164" s="11"/>
      <c r="F164" s="11"/>
      <c r="G164" s="11"/>
      <c r="H164" s="11"/>
      <c r="I164" s="11"/>
      <c r="J164" s="11"/>
      <c r="K164" s="11"/>
      <c r="L164" s="11"/>
      <c r="M164" s="11"/>
      <c r="N164" s="11"/>
      <c r="O164" s="11"/>
      <c r="P164" s="11"/>
      <c r="Q164" s="11"/>
      <c r="R164" s="11"/>
    </row>
    <row r="165" spans="1:18">
      <c r="A165" s="11"/>
      <c r="B165" s="11"/>
      <c r="C165" s="11"/>
      <c r="D165" s="11"/>
      <c r="E165" s="11"/>
      <c r="F165" s="11"/>
      <c r="G165" s="11"/>
      <c r="H165" s="11"/>
      <c r="I165" s="11"/>
      <c r="J165" s="11"/>
      <c r="K165" s="11"/>
      <c r="L165" s="11"/>
      <c r="M165" s="11"/>
      <c r="N165" s="11"/>
      <c r="O165" s="11"/>
      <c r="P165" s="11"/>
      <c r="Q165" s="11"/>
      <c r="R165" s="11"/>
    </row>
    <row r="166" spans="1:18">
      <c r="A166" s="11"/>
      <c r="B166" s="11"/>
      <c r="C166" s="11"/>
      <c r="D166" s="11"/>
      <c r="E166" s="11"/>
      <c r="F166" s="11"/>
      <c r="G166" s="11"/>
      <c r="H166" s="11"/>
      <c r="I166" s="11"/>
      <c r="J166" s="11"/>
      <c r="K166" s="11"/>
      <c r="L166" s="11"/>
      <c r="M166" s="11"/>
      <c r="N166" s="11"/>
      <c r="O166" s="11"/>
      <c r="P166" s="11"/>
      <c r="Q166" s="11"/>
      <c r="R166" s="11"/>
    </row>
    <row r="167" spans="1:18">
      <c r="A167" s="11"/>
      <c r="B167" s="11"/>
      <c r="C167" s="11"/>
      <c r="D167" s="11"/>
      <c r="E167" s="11"/>
      <c r="F167" s="11"/>
      <c r="G167" s="11"/>
      <c r="H167" s="11"/>
      <c r="I167" s="11"/>
      <c r="J167" s="11"/>
      <c r="K167" s="11"/>
      <c r="L167" s="11"/>
      <c r="M167" s="11"/>
      <c r="N167" s="11"/>
      <c r="O167" s="11"/>
      <c r="P167" s="11"/>
      <c r="Q167" s="11"/>
      <c r="R167" s="11"/>
    </row>
    <row r="168" spans="1:18">
      <c r="A168" s="11"/>
      <c r="B168" s="11"/>
      <c r="C168" s="11"/>
      <c r="D168" s="11"/>
      <c r="E168" s="11"/>
      <c r="F168" s="11"/>
      <c r="G168" s="11"/>
      <c r="H168" s="11"/>
      <c r="I168" s="11"/>
      <c r="J168" s="11"/>
      <c r="K168" s="11"/>
      <c r="L168" s="11"/>
      <c r="M168" s="11"/>
      <c r="N168" s="11"/>
      <c r="O168" s="11"/>
      <c r="P168" s="11"/>
      <c r="Q168" s="11"/>
      <c r="R168" s="11"/>
    </row>
    <row r="169" spans="1:18">
      <c r="A169" s="11"/>
      <c r="B169" s="11"/>
      <c r="C169" s="11"/>
      <c r="D169" s="11"/>
      <c r="E169" s="11"/>
      <c r="F169" s="11"/>
      <c r="G169" s="11"/>
      <c r="H169" s="11"/>
      <c r="I169" s="11"/>
      <c r="J169" s="11"/>
      <c r="K169" s="11"/>
      <c r="L169" s="11"/>
      <c r="M169" s="11"/>
      <c r="N169" s="11"/>
      <c r="O169" s="11"/>
      <c r="P169" s="11"/>
      <c r="Q169" s="11"/>
      <c r="R169" s="11"/>
    </row>
    <row r="170" spans="1:18">
      <c r="A170" s="11"/>
      <c r="B170" s="11"/>
      <c r="C170" s="11"/>
      <c r="D170" s="11"/>
      <c r="E170" s="11"/>
      <c r="F170" s="11"/>
      <c r="G170" s="11"/>
      <c r="H170" s="11"/>
      <c r="I170" s="11"/>
      <c r="J170" s="11"/>
      <c r="K170" s="11"/>
      <c r="L170" s="11"/>
      <c r="M170" s="11"/>
      <c r="N170" s="11"/>
      <c r="O170" s="11"/>
      <c r="P170" s="11"/>
      <c r="Q170" s="11"/>
      <c r="R170" s="11"/>
    </row>
    <row r="171" spans="1:18">
      <c r="A171" s="11"/>
      <c r="B171" s="11"/>
      <c r="C171" s="11"/>
      <c r="D171" s="11"/>
      <c r="E171" s="11"/>
      <c r="F171" s="11"/>
      <c r="G171" s="11"/>
      <c r="H171" s="11"/>
      <c r="I171" s="11"/>
      <c r="J171" s="11"/>
      <c r="K171" s="11"/>
      <c r="L171" s="11"/>
      <c r="M171" s="11"/>
      <c r="N171" s="11"/>
      <c r="O171" s="11"/>
      <c r="P171" s="11"/>
      <c r="Q171" s="11"/>
      <c r="R171" s="11"/>
    </row>
    <row r="172" spans="1:18">
      <c r="A172" s="11"/>
      <c r="B172" s="11"/>
      <c r="C172" s="11"/>
      <c r="D172" s="11"/>
      <c r="E172" s="11"/>
      <c r="F172" s="11"/>
      <c r="G172" s="11"/>
      <c r="H172" s="11"/>
      <c r="I172" s="11"/>
      <c r="J172" s="11"/>
      <c r="K172" s="11"/>
      <c r="L172" s="11"/>
      <c r="M172" s="11"/>
      <c r="N172" s="11"/>
      <c r="O172" s="11"/>
      <c r="P172" s="11"/>
      <c r="Q172" s="11"/>
      <c r="R172" s="11"/>
    </row>
    <row r="173" spans="1:18">
      <c r="A173" s="11"/>
      <c r="B173" s="11"/>
      <c r="C173" s="11"/>
      <c r="D173" s="11"/>
      <c r="E173" s="11"/>
      <c r="F173" s="11"/>
      <c r="G173" s="11"/>
      <c r="H173" s="11"/>
      <c r="I173" s="11"/>
      <c r="J173" s="11"/>
      <c r="K173" s="11"/>
      <c r="L173" s="11"/>
      <c r="M173" s="11"/>
      <c r="N173" s="11"/>
      <c r="O173" s="11"/>
      <c r="P173" s="11"/>
      <c r="Q173" s="11"/>
      <c r="R173" s="11"/>
    </row>
    <row r="174" spans="1:18">
      <c r="A174" s="11"/>
      <c r="B174" s="11"/>
      <c r="C174" s="11"/>
      <c r="D174" s="11"/>
      <c r="E174" s="11"/>
      <c r="F174" s="11"/>
      <c r="G174" s="11"/>
      <c r="H174" s="11"/>
      <c r="I174" s="11"/>
      <c r="J174" s="11"/>
      <c r="K174" s="11"/>
      <c r="L174" s="11"/>
      <c r="M174" s="11"/>
      <c r="N174" s="11"/>
      <c r="O174" s="11"/>
      <c r="P174" s="11"/>
      <c r="Q174" s="11"/>
      <c r="R174" s="11"/>
    </row>
    <row r="175" spans="1:18">
      <c r="A175" s="11"/>
      <c r="B175" s="11"/>
      <c r="C175" s="11"/>
      <c r="D175" s="11"/>
      <c r="E175" s="11"/>
      <c r="F175" s="11"/>
      <c r="G175" s="11"/>
      <c r="H175" s="11"/>
      <c r="I175" s="11"/>
      <c r="J175" s="11"/>
      <c r="K175" s="11"/>
      <c r="L175" s="11"/>
      <c r="M175" s="11"/>
      <c r="N175" s="11"/>
      <c r="O175" s="11"/>
      <c r="P175" s="11"/>
      <c r="Q175" s="11"/>
      <c r="R175" s="11"/>
    </row>
    <row r="176" spans="1:18">
      <c r="A176" s="11"/>
      <c r="B176" s="11"/>
      <c r="C176" s="11"/>
      <c r="D176" s="11"/>
      <c r="E176" s="11"/>
      <c r="F176" s="11"/>
      <c r="G176" s="11"/>
      <c r="H176" s="11"/>
      <c r="I176" s="11"/>
      <c r="J176" s="11"/>
      <c r="K176" s="11"/>
      <c r="L176" s="11"/>
      <c r="M176" s="11"/>
      <c r="N176" s="11"/>
      <c r="O176" s="11"/>
      <c r="P176" s="11"/>
      <c r="Q176" s="11"/>
      <c r="R176" s="11"/>
    </row>
    <row r="177" spans="1:18">
      <c r="A177" s="11"/>
      <c r="B177" s="11"/>
      <c r="C177" s="11"/>
      <c r="D177" s="11"/>
      <c r="E177" s="11"/>
      <c r="F177" s="11"/>
      <c r="G177" s="11"/>
      <c r="H177" s="11"/>
      <c r="I177" s="11"/>
      <c r="J177" s="11"/>
      <c r="K177" s="11"/>
      <c r="L177" s="11"/>
      <c r="M177" s="11"/>
      <c r="N177" s="11"/>
      <c r="O177" s="11"/>
      <c r="P177" s="11"/>
      <c r="Q177" s="11"/>
      <c r="R177" s="11"/>
    </row>
    <row r="178" spans="1:18">
      <c r="A178" s="11"/>
      <c r="B178" s="11"/>
      <c r="C178" s="11"/>
      <c r="D178" s="11"/>
      <c r="E178" s="11"/>
      <c r="F178" s="11"/>
      <c r="G178" s="11"/>
      <c r="H178" s="11"/>
      <c r="I178" s="11"/>
      <c r="J178" s="11"/>
      <c r="K178" s="11"/>
      <c r="L178" s="11"/>
      <c r="M178" s="11"/>
      <c r="N178" s="11"/>
      <c r="O178" s="11"/>
      <c r="P178" s="11"/>
      <c r="Q178" s="11"/>
      <c r="R178" s="11"/>
    </row>
    <row r="179" spans="1:18">
      <c r="A179" s="11"/>
      <c r="B179" s="11"/>
      <c r="C179" s="11"/>
      <c r="D179" s="11"/>
      <c r="E179" s="11"/>
      <c r="F179" s="11"/>
      <c r="G179" s="11"/>
      <c r="H179" s="11"/>
      <c r="I179" s="11"/>
      <c r="J179" s="11"/>
      <c r="K179" s="11"/>
      <c r="L179" s="11"/>
      <c r="M179" s="11"/>
      <c r="N179" s="11"/>
      <c r="O179" s="11"/>
      <c r="P179" s="11"/>
      <c r="Q179" s="11"/>
      <c r="R179" s="11"/>
    </row>
    <row r="180" spans="1:18">
      <c r="A180" s="11"/>
      <c r="B180" s="11"/>
      <c r="C180" s="11"/>
      <c r="D180" s="11"/>
      <c r="E180" s="11"/>
      <c r="F180" s="11"/>
      <c r="G180" s="11"/>
      <c r="H180" s="11"/>
      <c r="I180" s="11"/>
      <c r="J180" s="11"/>
      <c r="K180" s="11"/>
      <c r="L180" s="11"/>
      <c r="M180" s="11"/>
      <c r="N180" s="11"/>
      <c r="O180" s="11"/>
      <c r="P180" s="11"/>
      <c r="Q180" s="11"/>
      <c r="R180" s="11"/>
    </row>
    <row r="181" spans="1:18">
      <c r="A181" s="11"/>
      <c r="B181" s="11"/>
      <c r="C181" s="11"/>
      <c r="D181" s="11"/>
      <c r="E181" s="11"/>
      <c r="F181" s="11"/>
      <c r="G181" s="11"/>
      <c r="H181" s="11"/>
      <c r="I181" s="11"/>
      <c r="J181" s="11"/>
      <c r="K181" s="11"/>
      <c r="L181" s="11"/>
      <c r="M181" s="11"/>
      <c r="N181" s="11"/>
      <c r="O181" s="11"/>
      <c r="P181" s="11"/>
      <c r="Q181" s="11"/>
      <c r="R181" s="11"/>
    </row>
    <row r="182" spans="1:18">
      <c r="A182" s="11"/>
      <c r="B182" s="11"/>
      <c r="C182" s="11"/>
      <c r="D182" s="11"/>
      <c r="E182" s="11"/>
      <c r="F182" s="11"/>
      <c r="G182" s="11"/>
      <c r="H182" s="11"/>
      <c r="I182" s="11"/>
      <c r="J182" s="11"/>
      <c r="K182" s="11"/>
      <c r="L182" s="11"/>
      <c r="M182" s="11"/>
      <c r="N182" s="11"/>
      <c r="O182" s="11"/>
      <c r="P182" s="11"/>
      <c r="Q182" s="11"/>
      <c r="R182" s="11"/>
    </row>
    <row r="183" spans="1:18">
      <c r="A183" s="11"/>
      <c r="B183" s="11"/>
      <c r="C183" s="11"/>
      <c r="D183" s="11"/>
      <c r="E183" s="11"/>
      <c r="F183" s="11"/>
      <c r="G183" s="11"/>
      <c r="H183" s="11"/>
      <c r="I183" s="11"/>
      <c r="J183" s="11"/>
      <c r="K183" s="11"/>
      <c r="L183" s="11"/>
      <c r="M183" s="11"/>
      <c r="N183" s="11"/>
      <c r="O183" s="11"/>
      <c r="P183" s="11"/>
      <c r="Q183" s="11"/>
      <c r="R183" s="11"/>
    </row>
    <row r="184" spans="1:18">
      <c r="A184" s="11"/>
      <c r="B184" s="11"/>
      <c r="C184" s="11"/>
      <c r="D184" s="11"/>
      <c r="E184" s="11"/>
      <c r="F184" s="11"/>
      <c r="G184" s="11"/>
      <c r="H184" s="11"/>
      <c r="I184" s="11"/>
      <c r="J184" s="11"/>
      <c r="K184" s="11"/>
      <c r="L184" s="11"/>
      <c r="M184" s="11"/>
      <c r="N184" s="11"/>
      <c r="O184" s="11"/>
      <c r="P184" s="11"/>
      <c r="Q184" s="11"/>
      <c r="R184" s="11"/>
    </row>
    <row r="185" spans="1:18">
      <c r="A185" s="11"/>
      <c r="B185" s="11"/>
      <c r="C185" s="11"/>
      <c r="D185" s="11"/>
      <c r="E185" s="11"/>
      <c r="F185" s="11"/>
      <c r="G185" s="11"/>
      <c r="H185" s="11"/>
      <c r="I185" s="11"/>
      <c r="J185" s="11"/>
      <c r="K185" s="11"/>
      <c r="L185" s="11"/>
      <c r="M185" s="11"/>
      <c r="N185" s="11"/>
      <c r="O185" s="11"/>
      <c r="P185" s="11"/>
      <c r="Q185" s="11"/>
      <c r="R185" s="11"/>
    </row>
    <row r="186" spans="1:18">
      <c r="A186" s="11"/>
      <c r="B186" s="11"/>
      <c r="C186" s="11"/>
      <c r="D186" s="11"/>
      <c r="E186" s="11"/>
      <c r="F186" s="11"/>
      <c r="G186" s="11"/>
      <c r="H186" s="11"/>
      <c r="I186" s="11"/>
      <c r="J186" s="11"/>
      <c r="K186" s="11"/>
      <c r="L186" s="11"/>
      <c r="M186" s="11"/>
      <c r="N186" s="11"/>
      <c r="O186" s="11"/>
      <c r="P186" s="11"/>
      <c r="Q186" s="11"/>
      <c r="R186" s="11"/>
    </row>
    <row r="187" spans="1:18">
      <c r="A187" s="11"/>
      <c r="B187" s="11"/>
      <c r="C187" s="11"/>
      <c r="D187" s="11"/>
      <c r="E187" s="11"/>
      <c r="F187" s="11"/>
      <c r="G187" s="11"/>
      <c r="H187" s="11"/>
      <c r="I187" s="11"/>
      <c r="J187" s="11"/>
      <c r="K187" s="11"/>
      <c r="L187" s="11"/>
      <c r="M187" s="11"/>
      <c r="N187" s="11"/>
      <c r="O187" s="11"/>
      <c r="P187" s="11"/>
      <c r="Q187" s="11"/>
      <c r="R187" s="11"/>
    </row>
    <row r="188" spans="1:18">
      <c r="A188" s="11"/>
      <c r="B188" s="11"/>
      <c r="C188" s="11"/>
      <c r="D188" s="11"/>
      <c r="E188" s="11"/>
      <c r="F188" s="11"/>
      <c r="G188" s="11"/>
      <c r="H188" s="11"/>
      <c r="I188" s="11"/>
      <c r="J188" s="11"/>
      <c r="K188" s="11"/>
      <c r="L188" s="11"/>
      <c r="M188" s="11"/>
      <c r="N188" s="11"/>
      <c r="O188" s="11"/>
      <c r="P188" s="11"/>
      <c r="Q188" s="11"/>
      <c r="R188" s="11"/>
    </row>
    <row r="189" spans="1:18">
      <c r="A189" s="11"/>
      <c r="B189" s="11"/>
      <c r="C189" s="11"/>
      <c r="D189" s="11"/>
      <c r="E189" s="11"/>
      <c r="F189" s="11"/>
      <c r="G189" s="11"/>
      <c r="H189" s="11"/>
      <c r="I189" s="11"/>
      <c r="J189" s="11"/>
      <c r="K189" s="11"/>
      <c r="L189" s="11"/>
      <c r="M189" s="11"/>
      <c r="N189" s="11"/>
      <c r="O189" s="11"/>
      <c r="P189" s="11"/>
      <c r="Q189" s="11"/>
      <c r="R189" s="11"/>
    </row>
    <row r="190" spans="1:18">
      <c r="A190" s="11"/>
      <c r="B190" s="11"/>
      <c r="C190" s="11"/>
      <c r="D190" s="11"/>
      <c r="E190" s="11"/>
      <c r="F190" s="11"/>
      <c r="G190" s="11"/>
      <c r="H190" s="11"/>
      <c r="I190" s="11"/>
      <c r="J190" s="11"/>
      <c r="K190" s="11"/>
      <c r="L190" s="11"/>
      <c r="M190" s="11"/>
      <c r="N190" s="11"/>
      <c r="O190" s="11"/>
      <c r="P190" s="11"/>
      <c r="Q190" s="11"/>
      <c r="R190" s="11"/>
    </row>
    <row r="191" spans="1:18">
      <c r="A191" s="11"/>
      <c r="B191" s="11"/>
      <c r="C191" s="11"/>
      <c r="D191" s="11"/>
      <c r="E191" s="11"/>
      <c r="F191" s="11"/>
      <c r="G191" s="11"/>
      <c r="H191" s="11"/>
      <c r="I191" s="11"/>
      <c r="J191" s="11"/>
      <c r="K191" s="11"/>
      <c r="L191" s="11"/>
      <c r="M191" s="11"/>
      <c r="N191" s="11"/>
      <c r="O191" s="11"/>
      <c r="P191" s="11"/>
      <c r="Q191" s="11"/>
      <c r="R191" s="11"/>
    </row>
    <row r="192" spans="1:18">
      <c r="A192" s="11"/>
      <c r="B192" s="11"/>
      <c r="C192" s="11"/>
      <c r="D192" s="11"/>
      <c r="E192" s="11"/>
      <c r="F192" s="11"/>
      <c r="G192" s="11"/>
      <c r="H192" s="11"/>
      <c r="I192" s="11"/>
      <c r="J192" s="11"/>
      <c r="K192" s="11"/>
      <c r="L192" s="11"/>
      <c r="M192" s="11"/>
      <c r="N192" s="11"/>
      <c r="O192" s="11"/>
      <c r="P192" s="11"/>
      <c r="Q192" s="11"/>
      <c r="R192" s="11"/>
    </row>
    <row r="193" spans="1:18">
      <c r="A193" s="11"/>
      <c r="B193" s="11"/>
      <c r="C193" s="11"/>
      <c r="D193" s="11"/>
      <c r="E193" s="11"/>
      <c r="F193" s="11"/>
      <c r="G193" s="11"/>
      <c r="H193" s="11"/>
      <c r="I193" s="11"/>
      <c r="J193" s="11"/>
      <c r="K193" s="11"/>
      <c r="L193" s="11"/>
      <c r="M193" s="11"/>
      <c r="N193" s="11"/>
      <c r="O193" s="11"/>
      <c r="P193" s="11"/>
      <c r="Q193" s="11"/>
      <c r="R193" s="11"/>
    </row>
    <row r="194" spans="1:18">
      <c r="A194" s="11"/>
      <c r="B194" s="11"/>
      <c r="C194" s="11"/>
      <c r="D194" s="11"/>
      <c r="E194" s="11"/>
      <c r="F194" s="11"/>
      <c r="G194" s="11"/>
      <c r="H194" s="11"/>
      <c r="I194" s="11"/>
      <c r="J194" s="11"/>
      <c r="K194" s="11"/>
      <c r="L194" s="11"/>
      <c r="M194" s="11"/>
      <c r="N194" s="11"/>
      <c r="O194" s="11"/>
      <c r="P194" s="11"/>
      <c r="Q194" s="11"/>
      <c r="R194" s="11"/>
    </row>
    <row r="195" spans="1:18">
      <c r="A195" s="11"/>
      <c r="B195" s="11"/>
      <c r="C195" s="11"/>
      <c r="D195" s="11"/>
      <c r="E195" s="11"/>
      <c r="F195" s="11"/>
      <c r="G195" s="11"/>
      <c r="H195" s="11"/>
      <c r="I195" s="11"/>
      <c r="J195" s="11"/>
      <c r="K195" s="11"/>
      <c r="L195" s="11"/>
      <c r="M195" s="11"/>
      <c r="N195" s="11"/>
      <c r="O195" s="11"/>
      <c r="P195" s="11"/>
      <c r="Q195" s="11"/>
      <c r="R195" s="11"/>
    </row>
    <row r="196" spans="1:18">
      <c r="A196" s="11"/>
      <c r="B196" s="11"/>
      <c r="C196" s="11"/>
      <c r="D196" s="11"/>
      <c r="E196" s="11"/>
      <c r="F196" s="11"/>
      <c r="G196" s="11"/>
      <c r="H196" s="11"/>
      <c r="I196" s="11"/>
      <c r="J196" s="11"/>
      <c r="K196" s="11"/>
      <c r="L196" s="11"/>
      <c r="M196" s="11"/>
      <c r="N196" s="11"/>
      <c r="O196" s="11"/>
      <c r="P196" s="11"/>
      <c r="Q196" s="11"/>
      <c r="R196" s="11"/>
    </row>
    <row r="197" spans="1:18">
      <c r="A197" s="11"/>
      <c r="B197" s="11"/>
      <c r="C197" s="11"/>
      <c r="D197" s="11"/>
      <c r="E197" s="11"/>
      <c r="F197" s="11"/>
      <c r="G197" s="11"/>
      <c r="H197" s="11"/>
      <c r="I197" s="11"/>
      <c r="J197" s="11"/>
      <c r="K197" s="11"/>
      <c r="L197" s="11"/>
      <c r="M197" s="11"/>
      <c r="N197" s="11"/>
      <c r="O197" s="11"/>
      <c r="P197" s="11"/>
      <c r="Q197" s="11"/>
      <c r="R197" s="11"/>
    </row>
    <row r="198" spans="1:18">
      <c r="A198" s="11"/>
      <c r="B198" s="11"/>
      <c r="C198" s="11"/>
      <c r="D198" s="11"/>
      <c r="E198" s="11"/>
      <c r="F198" s="11"/>
      <c r="G198" s="11"/>
      <c r="H198" s="11"/>
      <c r="I198" s="11"/>
      <c r="J198" s="11"/>
      <c r="K198" s="11"/>
      <c r="L198" s="11"/>
      <c r="M198" s="11"/>
      <c r="N198" s="11"/>
      <c r="O198" s="11"/>
      <c r="P198" s="11"/>
      <c r="Q198" s="11"/>
      <c r="R198" s="11"/>
    </row>
    <row r="199" spans="1:18">
      <c r="A199" s="11"/>
      <c r="B199" s="11"/>
      <c r="C199" s="11"/>
      <c r="D199" s="11"/>
      <c r="E199" s="11"/>
      <c r="F199" s="11"/>
      <c r="G199" s="11"/>
      <c r="H199" s="11"/>
      <c r="I199" s="11"/>
      <c r="J199" s="11"/>
      <c r="K199" s="11"/>
      <c r="L199" s="11"/>
      <c r="M199" s="11"/>
      <c r="N199" s="11"/>
      <c r="O199" s="11"/>
      <c r="P199" s="11"/>
      <c r="Q199" s="11"/>
      <c r="R199" s="11"/>
    </row>
    <row r="200" spans="1:18">
      <c r="A200" s="11"/>
      <c r="B200" s="11"/>
      <c r="C200" s="11"/>
      <c r="D200" s="11"/>
      <c r="E200" s="11"/>
      <c r="F200" s="11"/>
      <c r="G200" s="11"/>
      <c r="H200" s="11"/>
      <c r="I200" s="11"/>
      <c r="J200" s="11"/>
      <c r="K200" s="11"/>
      <c r="L200" s="11"/>
      <c r="M200" s="11"/>
      <c r="N200" s="11"/>
      <c r="O200" s="11"/>
      <c r="P200" s="11"/>
      <c r="Q200" s="11"/>
      <c r="R200" s="11"/>
    </row>
    <row r="201" spans="1:18">
      <c r="A201" s="11"/>
      <c r="B201" s="11"/>
      <c r="C201" s="11"/>
      <c r="D201" s="11"/>
      <c r="E201" s="11"/>
      <c r="F201" s="11"/>
      <c r="G201" s="11"/>
      <c r="H201" s="11"/>
      <c r="I201" s="11"/>
      <c r="J201" s="11"/>
      <c r="K201" s="11"/>
      <c r="L201" s="11"/>
      <c r="M201" s="11"/>
      <c r="N201" s="11"/>
      <c r="O201" s="11"/>
      <c r="P201" s="11"/>
      <c r="Q201" s="11"/>
      <c r="R201" s="11"/>
    </row>
    <row r="202" spans="1:18">
      <c r="A202" s="11"/>
      <c r="B202" s="11"/>
      <c r="C202" s="11"/>
      <c r="D202" s="11"/>
      <c r="E202" s="11"/>
      <c r="F202" s="11"/>
      <c r="G202" s="11"/>
      <c r="H202" s="11"/>
      <c r="I202" s="11"/>
      <c r="J202" s="11"/>
      <c r="K202" s="11"/>
      <c r="L202" s="11"/>
      <c r="M202" s="11"/>
      <c r="N202" s="11"/>
      <c r="O202" s="11"/>
      <c r="P202" s="11"/>
      <c r="Q202" s="11"/>
      <c r="R202" s="11"/>
    </row>
    <row r="203" spans="1:18">
      <c r="A203" s="11"/>
      <c r="B203" s="11"/>
      <c r="C203" s="11"/>
      <c r="D203" s="11"/>
      <c r="E203" s="11"/>
      <c r="F203" s="11"/>
      <c r="G203" s="11"/>
      <c r="H203" s="11"/>
      <c r="I203" s="11"/>
      <c r="J203" s="11"/>
      <c r="K203" s="11"/>
      <c r="L203" s="11"/>
      <c r="M203" s="11"/>
      <c r="N203" s="11"/>
      <c r="O203" s="11"/>
      <c r="P203" s="11"/>
      <c r="Q203" s="11"/>
      <c r="R203" s="11"/>
    </row>
    <row r="204" spans="1:18">
      <c r="A204" s="11"/>
      <c r="B204" s="11"/>
      <c r="C204" s="11"/>
      <c r="D204" s="11"/>
      <c r="E204" s="11"/>
      <c r="F204" s="11"/>
      <c r="G204" s="11"/>
      <c r="H204" s="11"/>
      <c r="I204" s="11"/>
      <c r="J204" s="11"/>
      <c r="K204" s="11"/>
      <c r="L204" s="11"/>
      <c r="M204" s="11"/>
      <c r="N204" s="11"/>
      <c r="O204" s="11"/>
      <c r="P204" s="11"/>
      <c r="Q204" s="11"/>
      <c r="R204" s="11"/>
    </row>
    <row r="205" spans="1:18">
      <c r="A205" s="11"/>
      <c r="B205" s="11"/>
      <c r="C205" s="11"/>
      <c r="D205" s="11"/>
      <c r="E205" s="11"/>
      <c r="F205" s="11"/>
      <c r="G205" s="11"/>
      <c r="H205" s="11"/>
      <c r="I205" s="11"/>
      <c r="J205" s="11"/>
      <c r="K205" s="11"/>
      <c r="L205" s="11"/>
      <c r="M205" s="11"/>
      <c r="N205" s="11"/>
      <c r="O205" s="11"/>
      <c r="P205" s="11"/>
      <c r="Q205" s="11"/>
      <c r="R205" s="11"/>
    </row>
    <row r="206" spans="1:18">
      <c r="A206" s="11"/>
      <c r="B206" s="11"/>
      <c r="C206" s="11"/>
      <c r="D206" s="11"/>
      <c r="E206" s="11"/>
      <c r="F206" s="11"/>
      <c r="G206" s="11"/>
      <c r="H206" s="11"/>
      <c r="I206" s="11"/>
      <c r="J206" s="11"/>
      <c r="K206" s="11"/>
      <c r="L206" s="11"/>
      <c r="M206" s="11"/>
      <c r="N206" s="11"/>
      <c r="O206" s="11"/>
      <c r="P206" s="11"/>
      <c r="Q206" s="11"/>
      <c r="R206" s="11"/>
    </row>
    <row r="207" spans="1:18">
      <c r="A207" s="11"/>
      <c r="B207" s="11"/>
      <c r="C207" s="11"/>
      <c r="D207" s="11"/>
      <c r="E207" s="11"/>
      <c r="F207" s="11"/>
      <c r="G207" s="11"/>
      <c r="H207" s="11"/>
      <c r="I207" s="11"/>
      <c r="J207" s="11"/>
      <c r="K207" s="11"/>
      <c r="L207" s="11"/>
      <c r="M207" s="11"/>
      <c r="N207" s="11"/>
      <c r="O207" s="11"/>
      <c r="P207" s="11"/>
      <c r="Q207" s="11"/>
      <c r="R207" s="11"/>
    </row>
    <row r="208" spans="1:18">
      <c r="A208" s="11"/>
      <c r="B208" s="11"/>
      <c r="C208" s="11"/>
      <c r="D208" s="11"/>
      <c r="E208" s="11"/>
      <c r="F208" s="11"/>
      <c r="G208" s="11"/>
      <c r="H208" s="11"/>
      <c r="I208" s="11"/>
      <c r="J208" s="11"/>
      <c r="K208" s="11"/>
      <c r="L208" s="11"/>
      <c r="M208" s="11"/>
      <c r="N208" s="11"/>
      <c r="O208" s="11"/>
      <c r="P208" s="11"/>
      <c r="Q208" s="11"/>
      <c r="R208" s="11"/>
    </row>
    <row r="209" spans="1:18">
      <c r="A209" s="11"/>
      <c r="B209" s="11"/>
      <c r="C209" s="11"/>
      <c r="D209" s="11"/>
      <c r="E209" s="11"/>
      <c r="F209" s="11"/>
      <c r="G209" s="11"/>
      <c r="H209" s="11"/>
      <c r="I209" s="11"/>
      <c r="J209" s="11"/>
      <c r="K209" s="11"/>
      <c r="L209" s="11"/>
      <c r="M209" s="11"/>
      <c r="N209" s="11"/>
      <c r="O209" s="11"/>
      <c r="P209" s="11"/>
      <c r="Q209" s="11"/>
      <c r="R209" s="11"/>
    </row>
    <row r="210" spans="1:18">
      <c r="A210" s="11"/>
      <c r="B210" s="11"/>
      <c r="C210" s="11"/>
      <c r="D210" s="11"/>
      <c r="E210" s="11"/>
      <c r="F210" s="11"/>
      <c r="G210" s="11"/>
      <c r="H210" s="11"/>
      <c r="I210" s="11"/>
      <c r="J210" s="11"/>
      <c r="K210" s="11"/>
      <c r="L210" s="11"/>
      <c r="M210" s="11"/>
      <c r="N210" s="11"/>
      <c r="O210" s="11"/>
      <c r="P210" s="11"/>
      <c r="Q210" s="11"/>
      <c r="R210" s="11"/>
    </row>
    <row r="211" spans="1:18">
      <c r="A211" s="11"/>
      <c r="B211" s="11"/>
      <c r="C211" s="11"/>
      <c r="D211" s="11"/>
      <c r="E211" s="11"/>
      <c r="F211" s="11"/>
      <c r="G211" s="11"/>
      <c r="H211" s="11"/>
      <c r="I211" s="11"/>
      <c r="J211" s="11"/>
      <c r="K211" s="11"/>
      <c r="L211" s="11"/>
      <c r="M211" s="11"/>
      <c r="N211" s="11"/>
      <c r="O211" s="11"/>
      <c r="P211" s="11"/>
      <c r="Q211" s="11"/>
      <c r="R211" s="11"/>
    </row>
    <row r="212" spans="1:18">
      <c r="A212" s="11"/>
      <c r="B212" s="11"/>
      <c r="C212" s="11"/>
      <c r="D212" s="11"/>
      <c r="E212" s="11"/>
      <c r="F212" s="11"/>
      <c r="G212" s="11"/>
      <c r="H212" s="11"/>
      <c r="I212" s="11"/>
      <c r="J212" s="11"/>
      <c r="K212" s="11"/>
      <c r="L212" s="11"/>
      <c r="M212" s="11"/>
      <c r="N212" s="11"/>
      <c r="O212" s="11"/>
      <c r="P212" s="11"/>
      <c r="Q212" s="11"/>
      <c r="R212" s="11"/>
    </row>
    <row r="213" spans="1:18">
      <c r="A213" s="11"/>
      <c r="B213" s="11"/>
      <c r="C213" s="11"/>
      <c r="D213" s="11"/>
      <c r="E213" s="11"/>
      <c r="F213" s="11"/>
      <c r="G213" s="11"/>
      <c r="H213" s="11"/>
      <c r="I213" s="11"/>
      <c r="J213" s="11"/>
      <c r="K213" s="11"/>
      <c r="L213" s="11"/>
      <c r="M213" s="11"/>
      <c r="N213" s="11"/>
      <c r="O213" s="11"/>
      <c r="P213" s="11"/>
      <c r="Q213" s="11"/>
      <c r="R213" s="11"/>
    </row>
    <row r="214" spans="1:18">
      <c r="A214" s="11"/>
      <c r="B214" s="11"/>
      <c r="C214" s="11"/>
      <c r="D214" s="11"/>
      <c r="E214" s="11"/>
      <c r="F214" s="11"/>
      <c r="G214" s="11"/>
      <c r="H214" s="11"/>
      <c r="I214" s="11"/>
      <c r="J214" s="11"/>
      <c r="K214" s="11"/>
      <c r="L214" s="11"/>
      <c r="M214" s="11"/>
      <c r="N214" s="11"/>
      <c r="O214" s="11"/>
      <c r="P214" s="11"/>
      <c r="Q214" s="11"/>
      <c r="R214" s="11"/>
    </row>
    <row r="215" spans="1:18">
      <c r="A215" s="11"/>
      <c r="B215" s="11"/>
      <c r="C215" s="11"/>
      <c r="D215" s="11"/>
      <c r="E215" s="11"/>
      <c r="F215" s="11"/>
      <c r="G215" s="11"/>
      <c r="H215" s="11"/>
      <c r="I215" s="11"/>
      <c r="J215" s="11"/>
      <c r="K215" s="11"/>
      <c r="L215" s="11"/>
      <c r="M215" s="11"/>
      <c r="N215" s="11"/>
      <c r="O215" s="11"/>
      <c r="P215" s="11"/>
      <c r="Q215" s="11"/>
      <c r="R215" s="11"/>
    </row>
    <row r="216" spans="1:18">
      <c r="A216" s="11"/>
      <c r="B216" s="11"/>
      <c r="C216" s="11"/>
      <c r="D216" s="11"/>
      <c r="E216" s="11"/>
      <c r="F216" s="11"/>
      <c r="G216" s="11"/>
      <c r="H216" s="11"/>
      <c r="I216" s="11"/>
      <c r="J216" s="11"/>
      <c r="K216" s="11"/>
      <c r="L216" s="11"/>
      <c r="M216" s="11"/>
      <c r="N216" s="11"/>
      <c r="O216" s="11"/>
      <c r="P216" s="11"/>
      <c r="Q216" s="11"/>
      <c r="R216" s="11"/>
    </row>
    <row r="217" spans="1:18">
      <c r="A217" s="11"/>
      <c r="B217" s="11"/>
      <c r="C217" s="11"/>
      <c r="D217" s="11"/>
      <c r="E217" s="11"/>
      <c r="F217" s="11"/>
      <c r="G217" s="11"/>
      <c r="H217" s="11"/>
      <c r="I217" s="11"/>
      <c r="J217" s="11"/>
      <c r="K217" s="11"/>
      <c r="L217" s="11"/>
      <c r="M217" s="11"/>
      <c r="N217" s="11"/>
      <c r="O217" s="11"/>
      <c r="P217" s="11"/>
      <c r="Q217" s="11"/>
      <c r="R217" s="11"/>
    </row>
    <row r="218" spans="1:18">
      <c r="A218" s="11"/>
      <c r="B218" s="11"/>
      <c r="C218" s="11"/>
      <c r="D218" s="11"/>
      <c r="E218" s="11"/>
      <c r="F218" s="11"/>
      <c r="G218" s="11"/>
      <c r="H218" s="11"/>
      <c r="I218" s="11"/>
      <c r="J218" s="11"/>
      <c r="K218" s="11"/>
      <c r="L218" s="11"/>
      <c r="M218" s="11"/>
      <c r="N218" s="11"/>
      <c r="O218" s="11"/>
      <c r="P218" s="11"/>
      <c r="Q218" s="11"/>
      <c r="R218" s="11"/>
    </row>
    <row r="219" spans="1:18">
      <c r="A219" s="11"/>
      <c r="B219" s="11"/>
      <c r="C219" s="11"/>
      <c r="D219" s="11"/>
      <c r="E219" s="11"/>
      <c r="F219" s="11"/>
      <c r="G219" s="11"/>
      <c r="H219" s="11"/>
      <c r="I219" s="11"/>
      <c r="J219" s="11"/>
      <c r="K219" s="11"/>
      <c r="L219" s="11"/>
      <c r="M219" s="11"/>
      <c r="N219" s="11"/>
      <c r="O219" s="11"/>
      <c r="P219" s="11"/>
      <c r="Q219" s="11"/>
      <c r="R219" s="11"/>
    </row>
    <row r="220" spans="1:18">
      <c r="A220" s="11"/>
      <c r="B220" s="11"/>
      <c r="C220" s="11"/>
      <c r="D220" s="11"/>
      <c r="E220" s="11"/>
      <c r="F220" s="11"/>
      <c r="G220" s="11"/>
      <c r="H220" s="11"/>
      <c r="I220" s="11"/>
      <c r="J220" s="11"/>
      <c r="K220" s="11"/>
      <c r="L220" s="11"/>
      <c r="M220" s="11"/>
      <c r="N220" s="11"/>
      <c r="O220" s="11"/>
      <c r="P220" s="11"/>
      <c r="Q220" s="11"/>
      <c r="R220" s="11"/>
    </row>
    <row r="221" spans="1:18">
      <c r="A221" s="11"/>
      <c r="B221" s="11"/>
      <c r="C221" s="11"/>
      <c r="D221" s="11"/>
      <c r="E221" s="11"/>
      <c r="F221" s="11"/>
      <c r="G221" s="11"/>
      <c r="H221" s="11"/>
      <c r="I221" s="11"/>
      <c r="J221" s="11"/>
      <c r="K221" s="11"/>
      <c r="L221" s="11"/>
      <c r="M221" s="11"/>
      <c r="N221" s="11"/>
      <c r="O221" s="11"/>
      <c r="P221" s="11"/>
      <c r="Q221" s="11"/>
      <c r="R221" s="11"/>
    </row>
    <row r="222" spans="1:18">
      <c r="A222" s="11"/>
      <c r="B222" s="11"/>
      <c r="C222" s="11"/>
      <c r="D222" s="11"/>
      <c r="E222" s="11"/>
      <c r="F222" s="11"/>
      <c r="G222" s="11"/>
      <c r="H222" s="11"/>
      <c r="I222" s="11"/>
      <c r="J222" s="11"/>
      <c r="K222" s="11"/>
      <c r="L222" s="11"/>
      <c r="M222" s="11"/>
      <c r="N222" s="11"/>
      <c r="O222" s="11"/>
      <c r="P222" s="11"/>
      <c r="Q222" s="11"/>
      <c r="R222" s="11"/>
    </row>
    <row r="223" spans="1:18">
      <c r="A223" s="11"/>
      <c r="B223" s="11"/>
      <c r="C223" s="11"/>
      <c r="D223" s="11"/>
      <c r="E223" s="11"/>
      <c r="F223" s="11"/>
      <c r="G223" s="11"/>
      <c r="H223" s="11"/>
      <c r="I223" s="11"/>
      <c r="J223" s="11"/>
      <c r="K223" s="11"/>
      <c r="L223" s="11"/>
      <c r="M223" s="11"/>
      <c r="N223" s="11"/>
      <c r="O223" s="11"/>
      <c r="P223" s="11"/>
      <c r="Q223" s="11"/>
      <c r="R223" s="11"/>
    </row>
    <row r="224" spans="1:18">
      <c r="A224" s="11"/>
      <c r="B224" s="11"/>
      <c r="C224" s="11"/>
      <c r="D224" s="11"/>
      <c r="E224" s="11"/>
      <c r="F224" s="11"/>
      <c r="G224" s="11"/>
      <c r="H224" s="11"/>
      <c r="I224" s="11"/>
      <c r="J224" s="11"/>
      <c r="K224" s="11"/>
      <c r="L224" s="11"/>
      <c r="M224" s="11"/>
      <c r="N224" s="11"/>
      <c r="O224" s="11"/>
      <c r="P224" s="11"/>
      <c r="Q224" s="11"/>
      <c r="R224" s="11"/>
    </row>
    <row r="225" spans="1:18">
      <c r="A225" s="11"/>
      <c r="B225" s="11"/>
      <c r="C225" s="11"/>
      <c r="D225" s="11"/>
      <c r="E225" s="11"/>
      <c r="F225" s="11"/>
      <c r="G225" s="11"/>
      <c r="H225" s="11"/>
      <c r="I225" s="11"/>
      <c r="J225" s="11"/>
      <c r="K225" s="11"/>
      <c r="L225" s="11"/>
      <c r="M225" s="11"/>
      <c r="N225" s="11"/>
      <c r="O225" s="11"/>
      <c r="P225" s="11"/>
      <c r="Q225" s="11"/>
      <c r="R225" s="11"/>
    </row>
    <row r="226" spans="1:18">
      <c r="A226" s="11"/>
      <c r="B226" s="11"/>
      <c r="C226" s="11"/>
      <c r="D226" s="11"/>
      <c r="E226" s="11"/>
      <c r="F226" s="11"/>
      <c r="G226" s="11"/>
      <c r="H226" s="11"/>
      <c r="I226" s="11"/>
      <c r="J226" s="11"/>
      <c r="K226" s="11"/>
      <c r="L226" s="11"/>
      <c r="M226" s="11"/>
      <c r="N226" s="11"/>
      <c r="O226" s="11"/>
      <c r="P226" s="11"/>
      <c r="Q226" s="11"/>
      <c r="R226" s="11"/>
    </row>
    <row r="227" spans="1:18">
      <c r="A227" s="11"/>
      <c r="B227" s="11"/>
      <c r="C227" s="11"/>
      <c r="D227" s="11"/>
      <c r="E227" s="11"/>
      <c r="F227" s="11"/>
      <c r="G227" s="11"/>
      <c r="H227" s="11"/>
      <c r="I227" s="11"/>
      <c r="J227" s="11"/>
      <c r="K227" s="11"/>
      <c r="L227" s="11"/>
      <c r="M227" s="11"/>
      <c r="N227" s="11"/>
      <c r="O227" s="11"/>
      <c r="P227" s="11"/>
      <c r="Q227" s="11"/>
      <c r="R227" s="11"/>
    </row>
    <row r="228" spans="1:18">
      <c r="A228" s="11"/>
      <c r="B228" s="11"/>
      <c r="C228" s="11"/>
      <c r="D228" s="11"/>
      <c r="E228" s="11"/>
      <c r="F228" s="11"/>
      <c r="G228" s="11"/>
      <c r="H228" s="11"/>
      <c r="I228" s="11"/>
      <c r="J228" s="11"/>
      <c r="K228" s="11"/>
      <c r="L228" s="11"/>
      <c r="M228" s="11"/>
      <c r="N228" s="11"/>
      <c r="O228" s="11"/>
      <c r="P228" s="11"/>
      <c r="Q228" s="11"/>
      <c r="R228" s="11"/>
    </row>
    <row r="229" spans="1:18">
      <c r="A229" s="11"/>
      <c r="B229" s="11"/>
      <c r="C229" s="11"/>
      <c r="D229" s="11"/>
      <c r="E229" s="11"/>
      <c r="F229" s="11"/>
      <c r="G229" s="11"/>
      <c r="H229" s="11"/>
      <c r="I229" s="11"/>
      <c r="J229" s="11"/>
      <c r="K229" s="11"/>
      <c r="L229" s="11"/>
      <c r="M229" s="11"/>
      <c r="N229" s="11"/>
      <c r="O229" s="11"/>
      <c r="P229" s="11"/>
      <c r="Q229" s="11"/>
      <c r="R229" s="11"/>
    </row>
    <row r="230" spans="1:18">
      <c r="A230" s="11"/>
      <c r="B230" s="11"/>
      <c r="C230" s="11"/>
      <c r="D230" s="11"/>
      <c r="E230" s="11"/>
      <c r="F230" s="11"/>
      <c r="G230" s="11"/>
      <c r="H230" s="11"/>
      <c r="I230" s="11"/>
      <c r="J230" s="11"/>
      <c r="K230" s="11"/>
      <c r="L230" s="11"/>
      <c r="M230" s="11"/>
      <c r="N230" s="11"/>
      <c r="O230" s="11"/>
      <c r="P230" s="11"/>
      <c r="Q230" s="11"/>
      <c r="R230" s="11"/>
    </row>
    <row r="231" spans="1:18">
      <c r="A231" s="11"/>
      <c r="B231" s="11"/>
      <c r="C231" s="11"/>
      <c r="D231" s="11"/>
      <c r="E231" s="11"/>
      <c r="F231" s="11"/>
      <c r="G231" s="11"/>
      <c r="H231" s="11"/>
      <c r="I231" s="11"/>
      <c r="J231" s="11"/>
      <c r="K231" s="11"/>
      <c r="L231" s="11"/>
      <c r="M231" s="11"/>
      <c r="N231" s="11"/>
      <c r="O231" s="11"/>
      <c r="P231" s="11"/>
      <c r="Q231" s="11"/>
      <c r="R231" s="11"/>
    </row>
    <row r="232" spans="1:18">
      <c r="A232" s="11"/>
      <c r="B232" s="11"/>
      <c r="C232" s="11"/>
      <c r="D232" s="11"/>
      <c r="E232" s="11"/>
      <c r="F232" s="11"/>
      <c r="G232" s="11"/>
      <c r="H232" s="11"/>
      <c r="I232" s="11"/>
      <c r="J232" s="11"/>
      <c r="K232" s="11"/>
      <c r="L232" s="11"/>
      <c r="M232" s="11"/>
      <c r="N232" s="11"/>
      <c r="O232" s="11"/>
      <c r="P232" s="11"/>
      <c r="Q232" s="11"/>
      <c r="R232" s="11"/>
    </row>
    <row r="233" spans="1:18">
      <c r="A233" s="11"/>
      <c r="B233" s="11"/>
      <c r="C233" s="11"/>
      <c r="D233" s="11"/>
      <c r="E233" s="11"/>
      <c r="F233" s="11"/>
      <c r="G233" s="11"/>
      <c r="H233" s="11"/>
      <c r="I233" s="11"/>
      <c r="J233" s="11"/>
      <c r="K233" s="11"/>
      <c r="L233" s="11"/>
      <c r="M233" s="11"/>
      <c r="N233" s="11"/>
      <c r="O233" s="11"/>
      <c r="P233" s="11"/>
      <c r="Q233" s="11"/>
      <c r="R233" s="11"/>
    </row>
    <row r="234" spans="1:18">
      <c r="A234" s="11"/>
      <c r="B234" s="11"/>
      <c r="C234" s="11"/>
      <c r="D234" s="11"/>
      <c r="E234" s="11"/>
      <c r="F234" s="11"/>
      <c r="G234" s="11"/>
      <c r="H234" s="11"/>
      <c r="I234" s="11"/>
      <c r="J234" s="11"/>
      <c r="K234" s="11"/>
      <c r="L234" s="11"/>
      <c r="M234" s="11"/>
      <c r="N234" s="11"/>
      <c r="O234" s="11"/>
      <c r="P234" s="11"/>
      <c r="Q234" s="11"/>
      <c r="R234" s="11"/>
    </row>
    <row r="235" spans="1:18">
      <c r="A235" s="11"/>
      <c r="B235" s="11"/>
      <c r="C235" s="11"/>
      <c r="D235" s="11"/>
      <c r="E235" s="11"/>
      <c r="F235" s="11"/>
      <c r="G235" s="11"/>
      <c r="H235" s="11"/>
      <c r="I235" s="11"/>
      <c r="J235" s="11"/>
      <c r="K235" s="11"/>
      <c r="L235" s="11"/>
      <c r="M235" s="11"/>
      <c r="N235" s="11"/>
      <c r="O235" s="11"/>
      <c r="P235" s="11"/>
      <c r="Q235" s="11"/>
      <c r="R235" s="11"/>
    </row>
    <row r="236" spans="1:18">
      <c r="A236" s="11"/>
      <c r="B236" s="11"/>
      <c r="C236" s="11"/>
      <c r="D236" s="11"/>
      <c r="E236" s="11"/>
      <c r="F236" s="11"/>
      <c r="G236" s="11"/>
      <c r="H236" s="11"/>
      <c r="I236" s="11"/>
      <c r="J236" s="11"/>
      <c r="K236" s="11"/>
      <c r="L236" s="11"/>
      <c r="M236" s="11"/>
      <c r="N236" s="11"/>
      <c r="O236" s="11"/>
      <c r="P236" s="11"/>
      <c r="Q236" s="11"/>
      <c r="R236" s="11"/>
    </row>
    <row r="237" spans="1:18">
      <c r="A237" s="11"/>
      <c r="B237" s="11"/>
      <c r="C237" s="11"/>
      <c r="D237" s="11"/>
      <c r="E237" s="11"/>
      <c r="F237" s="11"/>
      <c r="G237" s="11"/>
      <c r="H237" s="11"/>
      <c r="I237" s="11"/>
      <c r="J237" s="11"/>
      <c r="K237" s="11"/>
      <c r="L237" s="11"/>
      <c r="M237" s="11"/>
      <c r="N237" s="11"/>
      <c r="O237" s="11"/>
      <c r="P237" s="11"/>
      <c r="Q237" s="11"/>
      <c r="R237" s="11"/>
    </row>
    <row r="238" spans="1:18">
      <c r="A238" s="11"/>
      <c r="B238" s="11"/>
      <c r="C238" s="11"/>
      <c r="D238" s="11"/>
      <c r="E238" s="11"/>
      <c r="F238" s="11"/>
      <c r="G238" s="11"/>
      <c r="H238" s="11"/>
      <c r="I238" s="11"/>
      <c r="J238" s="11"/>
      <c r="K238" s="11"/>
      <c r="L238" s="11"/>
      <c r="M238" s="11"/>
      <c r="N238" s="11"/>
      <c r="O238" s="11"/>
      <c r="P238" s="11"/>
      <c r="Q238" s="11"/>
      <c r="R238" s="11"/>
    </row>
    <row r="239" spans="1:18">
      <c r="A239" s="11"/>
      <c r="B239" s="11"/>
      <c r="C239" s="11"/>
      <c r="D239" s="11"/>
      <c r="E239" s="11"/>
      <c r="F239" s="11"/>
      <c r="G239" s="11"/>
      <c r="H239" s="11"/>
      <c r="I239" s="11"/>
      <c r="J239" s="11"/>
      <c r="K239" s="11"/>
      <c r="L239" s="11"/>
      <c r="M239" s="11"/>
      <c r="N239" s="11"/>
      <c r="O239" s="11"/>
      <c r="P239" s="11"/>
      <c r="Q239" s="11"/>
      <c r="R239" s="11"/>
    </row>
    <row r="240" spans="1:18">
      <c r="A240" s="11"/>
      <c r="B240" s="11"/>
      <c r="C240" s="11"/>
      <c r="D240" s="11"/>
      <c r="E240" s="11"/>
      <c r="F240" s="11"/>
      <c r="G240" s="11"/>
      <c r="H240" s="11"/>
      <c r="I240" s="11"/>
      <c r="J240" s="11"/>
      <c r="K240" s="11"/>
      <c r="L240" s="11"/>
      <c r="M240" s="11"/>
      <c r="N240" s="11"/>
      <c r="O240" s="11"/>
      <c r="P240" s="11"/>
      <c r="Q240" s="11"/>
      <c r="R240" s="11"/>
    </row>
    <row r="241" spans="1:18">
      <c r="A241" s="11"/>
      <c r="B241" s="11"/>
      <c r="C241" s="11"/>
      <c r="D241" s="11"/>
      <c r="E241" s="11"/>
      <c r="F241" s="11"/>
      <c r="G241" s="11"/>
      <c r="H241" s="11"/>
      <c r="I241" s="11"/>
      <c r="J241" s="11"/>
      <c r="K241" s="11"/>
      <c r="L241" s="11"/>
      <c r="M241" s="11"/>
      <c r="N241" s="11"/>
      <c r="O241" s="11"/>
      <c r="P241" s="11"/>
      <c r="Q241" s="11"/>
      <c r="R241" s="11"/>
    </row>
    <row r="242" spans="1:18">
      <c r="A242" s="11"/>
      <c r="B242" s="11"/>
      <c r="C242" s="11"/>
      <c r="D242" s="11"/>
      <c r="E242" s="11"/>
      <c r="F242" s="11"/>
      <c r="G242" s="11"/>
      <c r="H242" s="11"/>
      <c r="I242" s="11"/>
      <c r="J242" s="11"/>
      <c r="K242" s="11"/>
      <c r="L242" s="11"/>
      <c r="M242" s="11"/>
      <c r="N242" s="11"/>
      <c r="O242" s="11"/>
      <c r="P242" s="11"/>
      <c r="Q242" s="11"/>
      <c r="R242" s="11"/>
    </row>
    <row r="243" spans="1:18">
      <c r="A243" s="11"/>
      <c r="B243" s="11"/>
      <c r="C243" s="11"/>
      <c r="D243" s="11"/>
      <c r="E243" s="11"/>
      <c r="F243" s="11"/>
      <c r="G243" s="11"/>
      <c r="H243" s="11"/>
      <c r="I243" s="11"/>
      <c r="J243" s="11"/>
      <c r="K243" s="11"/>
      <c r="L243" s="11"/>
      <c r="M243" s="11"/>
      <c r="N243" s="11"/>
      <c r="O243" s="11"/>
      <c r="P243" s="11"/>
      <c r="Q243" s="11"/>
      <c r="R243" s="11"/>
    </row>
    <row r="244" spans="1:18">
      <c r="A244" s="11"/>
      <c r="B244" s="11"/>
      <c r="C244" s="11"/>
      <c r="D244" s="11"/>
      <c r="E244" s="11"/>
      <c r="F244" s="11"/>
      <c r="G244" s="11"/>
      <c r="H244" s="11"/>
      <c r="I244" s="11"/>
      <c r="J244" s="11"/>
      <c r="K244" s="11"/>
      <c r="L244" s="11"/>
      <c r="M244" s="11"/>
      <c r="N244" s="11"/>
      <c r="O244" s="11"/>
      <c r="P244" s="11"/>
      <c r="Q244" s="11"/>
      <c r="R244" s="11"/>
    </row>
    <row r="245" spans="1:18">
      <c r="A245" s="11"/>
      <c r="B245" s="11"/>
      <c r="C245" s="11"/>
      <c r="D245" s="11"/>
      <c r="E245" s="11"/>
      <c r="F245" s="11"/>
      <c r="G245" s="11"/>
      <c r="H245" s="11"/>
      <c r="I245" s="11"/>
      <c r="J245" s="11"/>
      <c r="K245" s="11"/>
      <c r="L245" s="11"/>
      <c r="M245" s="11"/>
      <c r="N245" s="11"/>
      <c r="O245" s="11"/>
      <c r="P245" s="11"/>
      <c r="Q245" s="11"/>
      <c r="R245" s="11"/>
    </row>
    <row r="246" spans="1:18">
      <c r="A246" s="11"/>
      <c r="B246" s="11"/>
      <c r="C246" s="11"/>
      <c r="D246" s="11"/>
      <c r="E246" s="11"/>
      <c r="F246" s="11"/>
      <c r="G246" s="11"/>
      <c r="H246" s="11"/>
      <c r="I246" s="11"/>
      <c r="J246" s="11"/>
      <c r="K246" s="11"/>
      <c r="L246" s="11"/>
      <c r="M246" s="11"/>
      <c r="N246" s="11"/>
      <c r="O246" s="11"/>
      <c r="P246" s="11"/>
      <c r="Q246" s="11"/>
      <c r="R246" s="11"/>
    </row>
    <row r="247" spans="1:18">
      <c r="A247" s="11"/>
      <c r="B247" s="11"/>
      <c r="C247" s="11"/>
      <c r="D247" s="11"/>
      <c r="E247" s="11"/>
      <c r="F247" s="11"/>
      <c r="G247" s="11"/>
      <c r="H247" s="11"/>
      <c r="I247" s="11"/>
      <c r="J247" s="11"/>
      <c r="K247" s="11"/>
      <c r="L247" s="11"/>
      <c r="M247" s="11"/>
      <c r="N247" s="11"/>
      <c r="O247" s="11"/>
      <c r="P247" s="11"/>
      <c r="Q247" s="11"/>
      <c r="R247" s="11"/>
    </row>
    <row r="248" spans="1:18">
      <c r="A248" s="11"/>
      <c r="B248" s="11"/>
      <c r="C248" s="11"/>
      <c r="D248" s="11"/>
      <c r="E248" s="11"/>
      <c r="F248" s="11"/>
      <c r="G248" s="11"/>
      <c r="H248" s="11"/>
      <c r="I248" s="11"/>
      <c r="J248" s="11"/>
      <c r="K248" s="11"/>
      <c r="L248" s="11"/>
      <c r="M248" s="11"/>
      <c r="N248" s="11"/>
      <c r="O248" s="11"/>
      <c r="P248" s="11"/>
      <c r="Q248" s="11"/>
      <c r="R248" s="11"/>
    </row>
    <row r="249" spans="1:18">
      <c r="A249" s="11"/>
      <c r="B249" s="11"/>
      <c r="C249" s="11"/>
      <c r="D249" s="11"/>
      <c r="E249" s="11"/>
      <c r="F249" s="11"/>
      <c r="G249" s="11"/>
      <c r="H249" s="11"/>
      <c r="I249" s="11"/>
      <c r="J249" s="11"/>
      <c r="K249" s="11"/>
      <c r="L249" s="11"/>
      <c r="M249" s="11"/>
      <c r="N249" s="11"/>
      <c r="O249" s="11"/>
      <c r="P249" s="11"/>
      <c r="Q249" s="11"/>
      <c r="R249" s="11"/>
    </row>
    <row r="250" spans="1:18">
      <c r="A250" s="11"/>
      <c r="B250" s="11"/>
      <c r="C250" s="11"/>
      <c r="D250" s="11"/>
      <c r="E250" s="11"/>
      <c r="F250" s="11"/>
      <c r="G250" s="11"/>
      <c r="H250" s="11"/>
      <c r="I250" s="11"/>
      <c r="J250" s="11"/>
      <c r="K250" s="11"/>
      <c r="L250" s="11"/>
      <c r="M250" s="11"/>
      <c r="N250" s="11"/>
      <c r="O250" s="11"/>
      <c r="P250" s="11"/>
      <c r="Q250" s="11"/>
      <c r="R250" s="11"/>
    </row>
    <row r="251" spans="1:18">
      <c r="A251" s="11"/>
      <c r="B251" s="11"/>
      <c r="C251" s="11"/>
      <c r="D251" s="11"/>
      <c r="E251" s="11"/>
      <c r="F251" s="11"/>
      <c r="G251" s="11"/>
      <c r="H251" s="11"/>
      <c r="I251" s="11"/>
      <c r="J251" s="11"/>
      <c r="K251" s="11"/>
      <c r="L251" s="11"/>
      <c r="M251" s="11"/>
      <c r="N251" s="11"/>
      <c r="O251" s="11"/>
      <c r="P251" s="11"/>
      <c r="Q251" s="11"/>
      <c r="R251" s="11"/>
    </row>
    <row r="252" spans="1:18">
      <c r="A252" s="11"/>
      <c r="B252" s="11"/>
      <c r="C252" s="11"/>
      <c r="D252" s="11"/>
      <c r="E252" s="11"/>
      <c r="F252" s="11"/>
      <c r="G252" s="11"/>
      <c r="H252" s="11"/>
      <c r="I252" s="11"/>
      <c r="J252" s="11"/>
      <c r="K252" s="11"/>
      <c r="L252" s="11"/>
      <c r="M252" s="11"/>
      <c r="N252" s="11"/>
      <c r="O252" s="11"/>
      <c r="P252" s="11"/>
      <c r="Q252" s="11"/>
      <c r="R252" s="11"/>
    </row>
    <row r="253" spans="1:18">
      <c r="A253" s="11"/>
      <c r="B253" s="11"/>
      <c r="C253" s="11"/>
      <c r="D253" s="11"/>
      <c r="E253" s="11"/>
      <c r="F253" s="11"/>
      <c r="G253" s="11"/>
      <c r="H253" s="11"/>
      <c r="I253" s="11"/>
      <c r="J253" s="11"/>
      <c r="K253" s="11"/>
      <c r="L253" s="11"/>
      <c r="M253" s="11"/>
      <c r="N253" s="11"/>
      <c r="O253" s="11"/>
      <c r="P253" s="11"/>
      <c r="Q253" s="11"/>
      <c r="R253" s="11"/>
    </row>
    <row r="254" spans="1:18">
      <c r="A254" s="11"/>
      <c r="B254" s="11"/>
      <c r="C254" s="11"/>
      <c r="D254" s="11"/>
      <c r="E254" s="11"/>
      <c r="F254" s="11"/>
      <c r="G254" s="11"/>
      <c r="H254" s="11"/>
      <c r="I254" s="11"/>
      <c r="J254" s="11"/>
      <c r="K254" s="11"/>
      <c r="L254" s="11"/>
      <c r="M254" s="11"/>
      <c r="N254" s="11"/>
      <c r="O254" s="11"/>
      <c r="P254" s="11"/>
      <c r="Q254" s="11"/>
      <c r="R254" s="11"/>
    </row>
    <row r="255" spans="1:18">
      <c r="A255" s="11"/>
      <c r="B255" s="11"/>
      <c r="C255" s="11"/>
      <c r="D255" s="11"/>
      <c r="E255" s="11"/>
      <c r="F255" s="11"/>
      <c r="G255" s="11"/>
      <c r="H255" s="11"/>
      <c r="I255" s="11"/>
      <c r="J255" s="11"/>
      <c r="K255" s="11"/>
      <c r="L255" s="11"/>
      <c r="M255" s="11"/>
      <c r="N255" s="11"/>
      <c r="O255" s="11"/>
      <c r="P255" s="11"/>
      <c r="Q255" s="11"/>
      <c r="R255" s="11"/>
    </row>
    <row r="256" spans="1:18">
      <c r="A256" s="11"/>
      <c r="B256" s="11"/>
      <c r="C256" s="11"/>
      <c r="D256" s="11"/>
      <c r="E256" s="11"/>
      <c r="F256" s="11"/>
      <c r="G256" s="11"/>
      <c r="H256" s="11"/>
      <c r="I256" s="11"/>
      <c r="J256" s="11"/>
      <c r="K256" s="11"/>
      <c r="L256" s="11"/>
      <c r="M256" s="11"/>
      <c r="N256" s="11"/>
      <c r="O256" s="11"/>
      <c r="P256" s="11"/>
      <c r="Q256" s="11"/>
      <c r="R256" s="11"/>
    </row>
    <row r="257" spans="1:18">
      <c r="A257" s="11"/>
      <c r="B257" s="11"/>
      <c r="C257" s="11"/>
      <c r="D257" s="11"/>
      <c r="E257" s="11"/>
      <c r="F257" s="11"/>
      <c r="G257" s="11"/>
      <c r="H257" s="11"/>
      <c r="I257" s="11"/>
      <c r="J257" s="11"/>
      <c r="K257" s="11"/>
      <c r="L257" s="11"/>
      <c r="M257" s="11"/>
      <c r="N257" s="11"/>
      <c r="O257" s="11"/>
      <c r="P257" s="11"/>
      <c r="Q257" s="11"/>
      <c r="R257" s="11"/>
    </row>
    <row r="258" spans="1:18">
      <c r="A258" s="11"/>
      <c r="B258" s="11"/>
      <c r="C258" s="11"/>
      <c r="D258" s="11"/>
      <c r="E258" s="11"/>
      <c r="F258" s="11"/>
      <c r="G258" s="11"/>
      <c r="H258" s="11"/>
      <c r="I258" s="11"/>
      <c r="J258" s="11"/>
      <c r="K258" s="11"/>
      <c r="L258" s="11"/>
      <c r="M258" s="11"/>
      <c r="N258" s="11"/>
      <c r="O258" s="11"/>
      <c r="P258" s="11"/>
      <c r="Q258" s="11"/>
      <c r="R258" s="11"/>
    </row>
    <row r="259" spans="1:18">
      <c r="A259" s="11"/>
      <c r="B259" s="11"/>
      <c r="C259" s="11"/>
      <c r="D259" s="11"/>
      <c r="E259" s="11"/>
      <c r="F259" s="11"/>
      <c r="G259" s="11"/>
      <c r="H259" s="11"/>
      <c r="I259" s="11"/>
      <c r="J259" s="11"/>
      <c r="K259" s="11"/>
      <c r="L259" s="11"/>
      <c r="M259" s="11"/>
      <c r="N259" s="11"/>
      <c r="O259" s="11"/>
      <c r="P259" s="11"/>
      <c r="Q259" s="11"/>
      <c r="R259" s="11"/>
    </row>
    <row r="260" spans="1:18">
      <c r="A260" s="11"/>
      <c r="B260" s="11"/>
      <c r="C260" s="11"/>
      <c r="D260" s="11"/>
      <c r="E260" s="11"/>
      <c r="F260" s="11"/>
      <c r="G260" s="11"/>
      <c r="H260" s="11"/>
      <c r="I260" s="11"/>
      <c r="J260" s="11"/>
      <c r="K260" s="11"/>
      <c r="L260" s="11"/>
      <c r="M260" s="11"/>
      <c r="N260" s="11"/>
      <c r="O260" s="11"/>
      <c r="P260" s="11"/>
      <c r="Q260" s="11"/>
      <c r="R260" s="11"/>
    </row>
    <row r="261" spans="1:18">
      <c r="A261" s="11"/>
      <c r="B261" s="11"/>
      <c r="C261" s="11"/>
      <c r="D261" s="11"/>
      <c r="E261" s="11"/>
      <c r="F261" s="11"/>
      <c r="G261" s="11"/>
      <c r="H261" s="11"/>
      <c r="I261" s="11"/>
      <c r="J261" s="11"/>
      <c r="K261" s="11"/>
      <c r="L261" s="11"/>
      <c r="M261" s="11"/>
      <c r="N261" s="11"/>
      <c r="O261" s="11"/>
      <c r="P261" s="11"/>
      <c r="Q261" s="11"/>
      <c r="R261" s="11"/>
    </row>
    <row r="262" spans="1:18">
      <c r="A262" s="11"/>
      <c r="B262" s="11"/>
      <c r="C262" s="11"/>
      <c r="D262" s="11"/>
      <c r="E262" s="11"/>
      <c r="F262" s="11"/>
      <c r="G262" s="11"/>
      <c r="H262" s="11"/>
      <c r="I262" s="11"/>
      <c r="J262" s="11"/>
      <c r="K262" s="11"/>
      <c r="L262" s="11"/>
      <c r="M262" s="11"/>
      <c r="N262" s="11"/>
      <c r="O262" s="11"/>
      <c r="P262" s="11"/>
      <c r="Q262" s="11"/>
      <c r="R262" s="11"/>
    </row>
    <row r="263" spans="1:18">
      <c r="A263" s="11"/>
      <c r="B263" s="11"/>
      <c r="C263" s="11"/>
      <c r="D263" s="11"/>
      <c r="E263" s="11"/>
      <c r="F263" s="11"/>
      <c r="G263" s="11"/>
      <c r="H263" s="11"/>
      <c r="I263" s="11"/>
      <c r="J263" s="11"/>
      <c r="K263" s="11"/>
      <c r="L263" s="11"/>
      <c r="M263" s="11"/>
      <c r="N263" s="11"/>
      <c r="O263" s="11"/>
      <c r="P263" s="11"/>
      <c r="Q263" s="11"/>
      <c r="R263" s="11"/>
    </row>
    <row r="264" spans="1:18">
      <c r="A264" s="11"/>
      <c r="B264" s="11"/>
      <c r="C264" s="11"/>
      <c r="D264" s="11"/>
      <c r="E264" s="11"/>
      <c r="F264" s="11"/>
      <c r="G264" s="11"/>
      <c r="H264" s="11"/>
      <c r="I264" s="11"/>
      <c r="J264" s="11"/>
      <c r="K264" s="11"/>
      <c r="L264" s="11"/>
      <c r="M264" s="11"/>
      <c r="N264" s="11"/>
      <c r="O264" s="11"/>
      <c r="P264" s="11"/>
      <c r="Q264" s="11"/>
      <c r="R264" s="11"/>
    </row>
    <row r="265" spans="1:18">
      <c r="A265" s="11"/>
      <c r="B265" s="11"/>
      <c r="C265" s="11"/>
      <c r="D265" s="11"/>
      <c r="E265" s="11"/>
      <c r="F265" s="11"/>
      <c r="G265" s="11"/>
      <c r="H265" s="11"/>
      <c r="I265" s="11"/>
      <c r="J265" s="11"/>
      <c r="K265" s="11"/>
      <c r="L265" s="11"/>
      <c r="M265" s="11"/>
      <c r="N265" s="11"/>
      <c r="O265" s="11"/>
      <c r="P265" s="11"/>
      <c r="Q265" s="11"/>
      <c r="R265" s="11"/>
    </row>
    <row r="266" spans="1:18">
      <c r="A266" s="11"/>
      <c r="B266" s="11"/>
      <c r="C266" s="11"/>
      <c r="D266" s="11"/>
      <c r="E266" s="11"/>
      <c r="F266" s="11"/>
      <c r="G266" s="11"/>
      <c r="H266" s="11"/>
      <c r="I266" s="11"/>
      <c r="J266" s="11"/>
      <c r="K266" s="11"/>
      <c r="L266" s="11"/>
      <c r="M266" s="11"/>
      <c r="N266" s="11"/>
      <c r="O266" s="11"/>
      <c r="P266" s="11"/>
      <c r="Q266" s="11"/>
      <c r="R266" s="11"/>
    </row>
    <row r="267" spans="1:18">
      <c r="A267" s="11"/>
      <c r="B267" s="11"/>
      <c r="C267" s="11"/>
      <c r="D267" s="11"/>
      <c r="E267" s="11"/>
      <c r="F267" s="11"/>
      <c r="G267" s="11"/>
      <c r="H267" s="11"/>
      <c r="I267" s="11"/>
      <c r="J267" s="11"/>
      <c r="K267" s="11"/>
      <c r="L267" s="11"/>
      <c r="M267" s="11"/>
      <c r="N267" s="11"/>
      <c r="O267" s="11"/>
      <c r="P267" s="11"/>
      <c r="Q267" s="11"/>
      <c r="R267" s="11"/>
    </row>
    <row r="268" spans="1:18">
      <c r="A268" s="11"/>
      <c r="B268" s="11"/>
      <c r="C268" s="11"/>
      <c r="D268" s="11"/>
      <c r="E268" s="11"/>
      <c r="F268" s="11"/>
      <c r="G268" s="11"/>
      <c r="H268" s="11"/>
      <c r="I268" s="11"/>
      <c r="J268" s="11"/>
      <c r="K268" s="11"/>
      <c r="L268" s="11"/>
      <c r="M268" s="11"/>
      <c r="N268" s="11"/>
      <c r="O268" s="11"/>
      <c r="P268" s="11"/>
      <c r="Q268" s="11"/>
      <c r="R268" s="11"/>
    </row>
    <row r="269" spans="1:18">
      <c r="A269" s="11"/>
      <c r="B269" s="11"/>
      <c r="C269" s="11"/>
      <c r="D269" s="11"/>
      <c r="E269" s="11"/>
      <c r="F269" s="11"/>
      <c r="G269" s="11"/>
      <c r="H269" s="11"/>
      <c r="I269" s="11"/>
      <c r="J269" s="11"/>
      <c r="K269" s="11"/>
      <c r="L269" s="11"/>
      <c r="M269" s="11"/>
      <c r="N269" s="11"/>
      <c r="O269" s="11"/>
      <c r="P269" s="11"/>
      <c r="Q269" s="11"/>
      <c r="R269" s="11"/>
    </row>
    <row r="270" spans="1:18">
      <c r="A270" s="11"/>
      <c r="B270" s="11"/>
      <c r="C270" s="11"/>
      <c r="D270" s="11"/>
      <c r="E270" s="11"/>
      <c r="F270" s="11"/>
      <c r="G270" s="11"/>
      <c r="H270" s="11"/>
      <c r="I270" s="11"/>
      <c r="J270" s="11"/>
      <c r="K270" s="11"/>
      <c r="L270" s="11"/>
      <c r="M270" s="11"/>
      <c r="N270" s="11"/>
      <c r="O270" s="11"/>
      <c r="P270" s="11"/>
      <c r="Q270" s="11"/>
      <c r="R270" s="11"/>
    </row>
    <row r="271" spans="1:18">
      <c r="A271" s="11"/>
      <c r="B271" s="11"/>
      <c r="C271" s="11"/>
      <c r="D271" s="11"/>
      <c r="E271" s="11"/>
      <c r="F271" s="11"/>
      <c r="G271" s="11"/>
      <c r="H271" s="11"/>
      <c r="I271" s="11"/>
      <c r="J271" s="11"/>
      <c r="K271" s="11"/>
      <c r="L271" s="11"/>
      <c r="M271" s="11"/>
      <c r="N271" s="11"/>
      <c r="O271" s="11"/>
      <c r="P271" s="11"/>
      <c r="Q271" s="11"/>
      <c r="R271" s="11"/>
    </row>
    <row r="272" spans="1:18">
      <c r="A272" s="11"/>
      <c r="B272" s="11"/>
      <c r="C272" s="11"/>
      <c r="D272" s="11"/>
      <c r="E272" s="11"/>
      <c r="F272" s="11"/>
      <c r="G272" s="11"/>
      <c r="H272" s="11"/>
      <c r="I272" s="11"/>
      <c r="J272" s="11"/>
      <c r="K272" s="11"/>
      <c r="L272" s="11"/>
      <c r="M272" s="11"/>
      <c r="N272" s="11"/>
      <c r="O272" s="11"/>
      <c r="P272" s="11"/>
      <c r="Q272" s="11"/>
      <c r="R272" s="11"/>
    </row>
    <row r="273" spans="1:18">
      <c r="A273" s="11"/>
      <c r="B273" s="11"/>
      <c r="C273" s="11"/>
      <c r="D273" s="11"/>
      <c r="E273" s="11"/>
      <c r="F273" s="11"/>
      <c r="G273" s="11"/>
      <c r="H273" s="11"/>
      <c r="I273" s="11"/>
      <c r="J273" s="11"/>
      <c r="K273" s="11"/>
      <c r="L273" s="11"/>
      <c r="M273" s="11"/>
      <c r="N273" s="11"/>
      <c r="O273" s="11"/>
      <c r="P273" s="11"/>
      <c r="Q273" s="11"/>
      <c r="R273" s="11"/>
    </row>
    <row r="274" spans="1:18">
      <c r="A274" s="11"/>
      <c r="B274" s="11"/>
      <c r="C274" s="11"/>
      <c r="D274" s="11"/>
      <c r="E274" s="11"/>
      <c r="F274" s="11"/>
      <c r="G274" s="11"/>
      <c r="H274" s="11"/>
      <c r="I274" s="11"/>
      <c r="J274" s="11"/>
      <c r="K274" s="11"/>
      <c r="L274" s="11"/>
      <c r="M274" s="11"/>
      <c r="N274" s="11"/>
      <c r="O274" s="11"/>
      <c r="P274" s="11"/>
      <c r="Q274" s="11"/>
      <c r="R274" s="11"/>
    </row>
    <row r="275" spans="1:18">
      <c r="A275" s="11"/>
      <c r="B275" s="11"/>
      <c r="C275" s="11"/>
      <c r="D275" s="11"/>
      <c r="E275" s="11"/>
      <c r="F275" s="11"/>
      <c r="G275" s="11"/>
      <c r="H275" s="11"/>
      <c r="I275" s="11"/>
      <c r="J275" s="11"/>
      <c r="K275" s="11"/>
      <c r="L275" s="11"/>
      <c r="M275" s="11"/>
      <c r="N275" s="11"/>
      <c r="O275" s="11"/>
      <c r="P275" s="11"/>
      <c r="Q275" s="11"/>
      <c r="R275" s="11"/>
    </row>
    <row r="276" spans="1:18">
      <c r="A276" s="11"/>
      <c r="B276" s="11"/>
      <c r="C276" s="11"/>
      <c r="D276" s="11"/>
      <c r="E276" s="11"/>
      <c r="F276" s="11"/>
      <c r="G276" s="11"/>
      <c r="H276" s="11"/>
      <c r="I276" s="11"/>
      <c r="J276" s="11"/>
      <c r="K276" s="11"/>
      <c r="L276" s="11"/>
      <c r="M276" s="11"/>
      <c r="N276" s="11"/>
      <c r="O276" s="11"/>
      <c r="P276" s="11"/>
      <c r="Q276" s="11"/>
      <c r="R276" s="11"/>
    </row>
    <row r="277" spans="1:18">
      <c r="A277" s="11"/>
      <c r="B277" s="11"/>
      <c r="C277" s="11"/>
      <c r="D277" s="11"/>
      <c r="E277" s="11"/>
      <c r="F277" s="11"/>
      <c r="G277" s="11"/>
      <c r="H277" s="11"/>
      <c r="I277" s="11"/>
      <c r="J277" s="11"/>
      <c r="K277" s="11"/>
      <c r="L277" s="11"/>
      <c r="M277" s="11"/>
      <c r="N277" s="11"/>
      <c r="O277" s="11"/>
      <c r="P277" s="11"/>
      <c r="Q277" s="11"/>
      <c r="R277" s="11"/>
    </row>
    <row r="278" spans="1:18">
      <c r="A278" s="11"/>
      <c r="B278" s="11"/>
      <c r="C278" s="11"/>
      <c r="D278" s="11"/>
      <c r="E278" s="11"/>
      <c r="F278" s="11"/>
      <c r="G278" s="11"/>
      <c r="H278" s="11"/>
      <c r="I278" s="11"/>
      <c r="J278" s="11"/>
      <c r="K278" s="11"/>
      <c r="L278" s="11"/>
      <c r="M278" s="11"/>
      <c r="N278" s="11"/>
      <c r="O278" s="11"/>
      <c r="P278" s="11"/>
      <c r="Q278" s="11"/>
      <c r="R278" s="11"/>
    </row>
    <row r="279" spans="1:18">
      <c r="A279" s="11"/>
      <c r="B279" s="11"/>
      <c r="C279" s="11"/>
      <c r="D279" s="11"/>
      <c r="E279" s="11"/>
      <c r="F279" s="11"/>
      <c r="G279" s="11"/>
      <c r="H279" s="11"/>
      <c r="I279" s="11"/>
      <c r="J279" s="11"/>
      <c r="K279" s="11"/>
      <c r="L279" s="11"/>
      <c r="M279" s="11"/>
      <c r="N279" s="11"/>
      <c r="O279" s="11"/>
      <c r="P279" s="11"/>
      <c r="Q279" s="11"/>
      <c r="R279" s="11"/>
    </row>
    <row r="280" spans="1:18">
      <c r="A280" s="11"/>
      <c r="B280" s="11"/>
      <c r="C280" s="11"/>
      <c r="D280" s="11"/>
      <c r="E280" s="11"/>
      <c r="F280" s="11"/>
      <c r="G280" s="11"/>
      <c r="H280" s="11"/>
      <c r="I280" s="11"/>
      <c r="J280" s="11"/>
      <c r="K280" s="11"/>
      <c r="L280" s="11"/>
      <c r="M280" s="11"/>
      <c r="N280" s="11"/>
      <c r="O280" s="11"/>
      <c r="P280" s="11"/>
      <c r="Q280" s="11"/>
      <c r="R280" s="11"/>
    </row>
    <row r="281" spans="1:18">
      <c r="A281" s="11"/>
      <c r="B281" s="11"/>
      <c r="C281" s="11"/>
      <c r="D281" s="11"/>
      <c r="E281" s="11"/>
      <c r="F281" s="11"/>
      <c r="G281" s="11"/>
      <c r="H281" s="11"/>
      <c r="I281" s="11"/>
      <c r="J281" s="11"/>
      <c r="K281" s="11"/>
      <c r="L281" s="11"/>
      <c r="M281" s="11"/>
      <c r="N281" s="11"/>
      <c r="O281" s="11"/>
      <c r="P281" s="11"/>
      <c r="Q281" s="11"/>
      <c r="R281" s="11"/>
    </row>
    <row r="282" spans="1:18">
      <c r="A282" s="11"/>
      <c r="B282" s="11"/>
      <c r="C282" s="11"/>
      <c r="D282" s="11"/>
      <c r="E282" s="11"/>
      <c r="F282" s="11"/>
      <c r="G282" s="11"/>
      <c r="H282" s="11"/>
      <c r="I282" s="11"/>
      <c r="J282" s="11"/>
      <c r="K282" s="11"/>
      <c r="L282" s="11"/>
      <c r="M282" s="11"/>
      <c r="N282" s="11"/>
      <c r="O282" s="11"/>
      <c r="P282" s="11"/>
      <c r="Q282" s="11"/>
      <c r="R282" s="11"/>
    </row>
    <row r="283" spans="1:18">
      <c r="A283" s="11"/>
      <c r="B283" s="11"/>
      <c r="C283" s="11"/>
      <c r="D283" s="11"/>
      <c r="E283" s="11"/>
      <c r="F283" s="11"/>
      <c r="G283" s="11"/>
      <c r="H283" s="11"/>
      <c r="I283" s="11"/>
      <c r="J283" s="11"/>
      <c r="K283" s="11"/>
      <c r="L283" s="11"/>
      <c r="M283" s="11"/>
      <c r="N283" s="11"/>
      <c r="O283" s="11"/>
      <c r="P283" s="11"/>
      <c r="Q283" s="11"/>
      <c r="R283" s="11"/>
    </row>
    <row r="284" spans="1:18">
      <c r="A284" s="11"/>
      <c r="B284" s="11"/>
      <c r="C284" s="11"/>
      <c r="D284" s="11"/>
      <c r="E284" s="11"/>
      <c r="F284" s="11"/>
      <c r="G284" s="11"/>
      <c r="H284" s="11"/>
      <c r="I284" s="11"/>
      <c r="J284" s="11"/>
      <c r="K284" s="11"/>
      <c r="L284" s="11"/>
      <c r="M284" s="11"/>
      <c r="N284" s="11"/>
      <c r="O284" s="11"/>
      <c r="P284" s="11"/>
      <c r="Q284" s="11"/>
      <c r="R284" s="11"/>
    </row>
    <row r="285" spans="1:18">
      <c r="A285" s="11"/>
      <c r="B285" s="11"/>
      <c r="C285" s="11"/>
      <c r="D285" s="11"/>
      <c r="E285" s="11"/>
      <c r="F285" s="11"/>
      <c r="G285" s="11"/>
      <c r="H285" s="11"/>
      <c r="I285" s="11"/>
      <c r="J285" s="11"/>
      <c r="K285" s="11"/>
      <c r="L285" s="11"/>
      <c r="M285" s="11"/>
      <c r="N285" s="11"/>
      <c r="O285" s="11"/>
      <c r="P285" s="11"/>
      <c r="Q285" s="11"/>
      <c r="R285" s="11"/>
    </row>
    <row r="286" spans="1:18">
      <c r="A286" s="11"/>
      <c r="B286" s="11"/>
      <c r="C286" s="11"/>
      <c r="D286" s="11"/>
      <c r="E286" s="11"/>
      <c r="F286" s="11"/>
      <c r="G286" s="11"/>
      <c r="H286" s="11"/>
      <c r="I286" s="11"/>
      <c r="J286" s="11"/>
      <c r="K286" s="11"/>
      <c r="L286" s="11"/>
      <c r="M286" s="11"/>
      <c r="N286" s="11"/>
      <c r="O286" s="11"/>
      <c r="P286" s="11"/>
      <c r="Q286" s="11"/>
      <c r="R286" s="11"/>
    </row>
    <row r="287" spans="1:18">
      <c r="A287" s="11"/>
      <c r="B287" s="11"/>
      <c r="C287" s="11"/>
      <c r="D287" s="11"/>
      <c r="E287" s="11"/>
      <c r="F287" s="11"/>
      <c r="G287" s="11"/>
      <c r="H287" s="11"/>
      <c r="I287" s="11"/>
      <c r="J287" s="11"/>
      <c r="K287" s="11"/>
      <c r="L287" s="11"/>
      <c r="M287" s="11"/>
      <c r="N287" s="11"/>
      <c r="O287" s="11"/>
      <c r="P287" s="11"/>
      <c r="Q287" s="11"/>
      <c r="R287" s="11"/>
    </row>
    <row r="288" spans="1:18">
      <c r="A288" s="11"/>
      <c r="B288" s="11"/>
      <c r="C288" s="11"/>
      <c r="D288" s="11"/>
      <c r="E288" s="11"/>
      <c r="F288" s="11"/>
      <c r="G288" s="11"/>
      <c r="H288" s="11"/>
      <c r="I288" s="11"/>
      <c r="J288" s="11"/>
      <c r="K288" s="11"/>
      <c r="L288" s="11"/>
      <c r="M288" s="11"/>
      <c r="N288" s="11"/>
      <c r="O288" s="11"/>
      <c r="P288" s="11"/>
      <c r="Q288" s="11"/>
      <c r="R288" s="11"/>
    </row>
    <row r="289" spans="1:18">
      <c r="A289" s="11"/>
      <c r="B289" s="11"/>
      <c r="C289" s="11"/>
      <c r="D289" s="11"/>
      <c r="E289" s="11"/>
      <c r="F289" s="11"/>
      <c r="G289" s="11"/>
      <c r="H289" s="11"/>
      <c r="I289" s="11"/>
      <c r="J289" s="11"/>
      <c r="K289" s="11"/>
      <c r="L289" s="11"/>
      <c r="M289" s="11"/>
      <c r="N289" s="11"/>
      <c r="O289" s="11"/>
      <c r="P289" s="11"/>
      <c r="Q289" s="11"/>
      <c r="R289" s="11"/>
    </row>
    <row r="290" spans="1:18">
      <c r="A290" s="11"/>
      <c r="B290" s="11"/>
      <c r="C290" s="11"/>
      <c r="D290" s="11"/>
      <c r="E290" s="11"/>
      <c r="F290" s="11"/>
      <c r="G290" s="11"/>
      <c r="H290" s="11"/>
      <c r="I290" s="11"/>
      <c r="J290" s="11"/>
      <c r="K290" s="11"/>
      <c r="L290" s="11"/>
      <c r="M290" s="11"/>
      <c r="N290" s="11"/>
      <c r="O290" s="11"/>
      <c r="P290" s="11"/>
      <c r="Q290" s="11"/>
      <c r="R290" s="11"/>
    </row>
    <row r="291" spans="1:18">
      <c r="A291" s="11"/>
      <c r="B291" s="11"/>
      <c r="C291" s="11"/>
      <c r="D291" s="11"/>
      <c r="E291" s="11"/>
      <c r="F291" s="11"/>
      <c r="G291" s="11"/>
      <c r="H291" s="11"/>
      <c r="I291" s="11"/>
      <c r="J291" s="11"/>
      <c r="K291" s="11"/>
      <c r="L291" s="11"/>
      <c r="M291" s="11"/>
      <c r="N291" s="11"/>
      <c r="O291" s="11"/>
      <c r="P291" s="11"/>
      <c r="Q291" s="11"/>
      <c r="R291" s="11"/>
    </row>
    <row r="292" spans="1:18">
      <c r="A292" s="11"/>
      <c r="B292" s="11"/>
      <c r="C292" s="11"/>
      <c r="D292" s="11"/>
      <c r="E292" s="11"/>
      <c r="F292" s="11"/>
      <c r="G292" s="11"/>
      <c r="H292" s="11"/>
      <c r="I292" s="11"/>
      <c r="J292" s="11"/>
      <c r="K292" s="11"/>
      <c r="L292" s="11"/>
      <c r="M292" s="11"/>
      <c r="N292" s="11"/>
      <c r="O292" s="11"/>
      <c r="P292" s="11"/>
      <c r="Q292" s="11"/>
      <c r="R292" s="11"/>
    </row>
    <row r="293" spans="1:18">
      <c r="A293" s="11"/>
      <c r="B293" s="11"/>
      <c r="C293" s="11"/>
      <c r="D293" s="11"/>
      <c r="E293" s="11"/>
      <c r="F293" s="11"/>
      <c r="G293" s="11"/>
      <c r="H293" s="11"/>
      <c r="I293" s="11"/>
      <c r="J293" s="11"/>
      <c r="K293" s="11"/>
      <c r="L293" s="11"/>
      <c r="M293" s="11"/>
      <c r="N293" s="11"/>
      <c r="O293" s="11"/>
      <c r="P293" s="11"/>
      <c r="Q293" s="11"/>
      <c r="R293" s="11"/>
    </row>
    <row r="294" spans="1:18">
      <c r="A294" s="11"/>
      <c r="B294" s="11"/>
      <c r="C294" s="11"/>
      <c r="D294" s="11"/>
      <c r="E294" s="11"/>
      <c r="F294" s="11"/>
      <c r="G294" s="11"/>
      <c r="H294" s="11"/>
      <c r="I294" s="11"/>
      <c r="J294" s="11"/>
      <c r="K294" s="11"/>
      <c r="L294" s="11"/>
      <c r="M294" s="11"/>
      <c r="N294" s="11"/>
      <c r="O294" s="11"/>
      <c r="P294" s="11"/>
      <c r="Q294" s="11"/>
      <c r="R294" s="11"/>
    </row>
    <row r="295" spans="1:18">
      <c r="A295" s="11"/>
      <c r="B295" s="11"/>
      <c r="C295" s="11"/>
      <c r="D295" s="11"/>
      <c r="E295" s="11"/>
      <c r="F295" s="11"/>
      <c r="G295" s="11"/>
      <c r="H295" s="11"/>
      <c r="I295" s="11"/>
      <c r="J295" s="11"/>
      <c r="K295" s="11"/>
      <c r="L295" s="11"/>
      <c r="M295" s="11"/>
      <c r="N295" s="11"/>
      <c r="O295" s="11"/>
      <c r="P295" s="11"/>
      <c r="Q295" s="11"/>
      <c r="R295" s="11"/>
    </row>
    <row r="296" spans="1:18">
      <c r="A296" s="11"/>
      <c r="B296" s="11"/>
      <c r="C296" s="11"/>
      <c r="D296" s="11"/>
      <c r="E296" s="11"/>
      <c r="F296" s="11"/>
      <c r="G296" s="11"/>
      <c r="H296" s="11"/>
      <c r="I296" s="11"/>
      <c r="J296" s="11"/>
      <c r="K296" s="11"/>
      <c r="L296" s="11"/>
      <c r="M296" s="11"/>
      <c r="N296" s="11"/>
      <c r="O296" s="11"/>
      <c r="P296" s="11"/>
      <c r="Q296" s="11"/>
      <c r="R296" s="11"/>
    </row>
    <row r="297" spans="1:18">
      <c r="A297" s="11"/>
      <c r="B297" s="11"/>
      <c r="C297" s="11"/>
      <c r="D297" s="11"/>
      <c r="E297" s="11"/>
      <c r="F297" s="11"/>
      <c r="G297" s="11"/>
      <c r="H297" s="11"/>
      <c r="I297" s="11"/>
      <c r="J297" s="11"/>
      <c r="K297" s="11"/>
      <c r="L297" s="11"/>
      <c r="M297" s="11"/>
      <c r="N297" s="11"/>
      <c r="O297" s="11"/>
      <c r="P297" s="11"/>
      <c r="Q297" s="11"/>
      <c r="R297" s="11"/>
    </row>
    <row r="298" spans="1:18">
      <c r="A298" s="11"/>
      <c r="B298" s="11"/>
      <c r="C298" s="11"/>
      <c r="D298" s="11"/>
      <c r="E298" s="11"/>
      <c r="F298" s="11"/>
      <c r="G298" s="11"/>
      <c r="H298" s="11"/>
      <c r="I298" s="11"/>
      <c r="J298" s="11"/>
      <c r="K298" s="11"/>
      <c r="L298" s="11"/>
      <c r="M298" s="11"/>
      <c r="N298" s="11"/>
      <c r="O298" s="11"/>
      <c r="P298" s="11"/>
      <c r="Q298" s="11"/>
      <c r="R298" s="11"/>
    </row>
    <row r="299" spans="1:18">
      <c r="A299" s="11"/>
      <c r="B299" s="11"/>
      <c r="C299" s="11"/>
      <c r="D299" s="11"/>
      <c r="E299" s="11"/>
      <c r="F299" s="11"/>
      <c r="G299" s="11"/>
      <c r="H299" s="11"/>
      <c r="I299" s="11"/>
      <c r="J299" s="11"/>
      <c r="K299" s="11"/>
      <c r="L299" s="11"/>
      <c r="M299" s="11"/>
      <c r="N299" s="11"/>
      <c r="O299" s="11"/>
      <c r="P299" s="11"/>
      <c r="Q299" s="11"/>
      <c r="R299" s="11"/>
    </row>
    <row r="300" spans="1:18">
      <c r="A300" s="11"/>
      <c r="B300" s="11"/>
      <c r="C300" s="11"/>
      <c r="D300" s="11"/>
      <c r="E300" s="11"/>
      <c r="F300" s="11"/>
      <c r="G300" s="11"/>
      <c r="H300" s="11"/>
      <c r="I300" s="11"/>
      <c r="J300" s="11"/>
      <c r="K300" s="11"/>
      <c r="L300" s="11"/>
      <c r="M300" s="11"/>
      <c r="N300" s="11"/>
      <c r="O300" s="11"/>
      <c r="P300" s="11"/>
      <c r="Q300" s="11"/>
      <c r="R300" s="11"/>
    </row>
    <row r="301" spans="1:18">
      <c r="A301" s="11"/>
      <c r="B301" s="11"/>
      <c r="C301" s="11"/>
      <c r="D301" s="11"/>
      <c r="E301" s="11"/>
      <c r="F301" s="11"/>
      <c r="G301" s="11"/>
      <c r="H301" s="11"/>
      <c r="I301" s="11"/>
      <c r="J301" s="11"/>
      <c r="K301" s="11"/>
      <c r="L301" s="11"/>
      <c r="M301" s="11"/>
      <c r="N301" s="11"/>
      <c r="O301" s="11"/>
      <c r="P301" s="11"/>
      <c r="Q301" s="11"/>
      <c r="R301" s="11"/>
    </row>
    <row r="302" spans="1:18">
      <c r="A302" s="11"/>
      <c r="B302" s="11"/>
      <c r="C302" s="11"/>
      <c r="D302" s="11"/>
      <c r="E302" s="11"/>
      <c r="F302" s="11"/>
      <c r="G302" s="11"/>
      <c r="H302" s="11"/>
      <c r="I302" s="11"/>
      <c r="J302" s="11"/>
      <c r="K302" s="11"/>
      <c r="L302" s="11"/>
      <c r="M302" s="11"/>
      <c r="N302" s="11"/>
      <c r="O302" s="11"/>
      <c r="P302" s="11"/>
      <c r="Q302" s="11"/>
      <c r="R302" s="11"/>
    </row>
    <row r="303" spans="1:18">
      <c r="A303" s="11"/>
      <c r="B303" s="11"/>
      <c r="C303" s="11"/>
      <c r="D303" s="11"/>
      <c r="E303" s="11"/>
      <c r="F303" s="11"/>
      <c r="G303" s="11"/>
      <c r="H303" s="11"/>
      <c r="I303" s="11"/>
      <c r="J303" s="11"/>
      <c r="K303" s="11"/>
      <c r="L303" s="11"/>
      <c r="M303" s="11"/>
      <c r="N303" s="11"/>
      <c r="O303" s="11"/>
      <c r="P303" s="11"/>
      <c r="Q303" s="11"/>
      <c r="R303" s="11"/>
    </row>
    <row r="304" spans="1:18">
      <c r="A304" s="11"/>
      <c r="B304" s="11"/>
      <c r="C304" s="11"/>
      <c r="D304" s="11"/>
      <c r="E304" s="11"/>
      <c r="F304" s="11"/>
      <c r="G304" s="11"/>
      <c r="H304" s="11"/>
      <c r="I304" s="11"/>
      <c r="J304" s="11"/>
      <c r="K304" s="11"/>
      <c r="L304" s="11"/>
      <c r="M304" s="11"/>
      <c r="N304" s="11"/>
      <c r="O304" s="11"/>
      <c r="P304" s="11"/>
      <c r="Q304" s="11"/>
      <c r="R304" s="11"/>
    </row>
    <row r="305" spans="1:18">
      <c r="A305" s="11"/>
      <c r="B305" s="11"/>
      <c r="C305" s="11"/>
      <c r="D305" s="11"/>
      <c r="E305" s="11"/>
      <c r="F305" s="11"/>
      <c r="G305" s="11"/>
      <c r="H305" s="11"/>
      <c r="I305" s="11"/>
      <c r="J305" s="11"/>
      <c r="K305" s="11"/>
      <c r="L305" s="11"/>
      <c r="M305" s="11"/>
      <c r="N305" s="11"/>
      <c r="O305" s="11"/>
      <c r="P305" s="11"/>
      <c r="Q305" s="11"/>
      <c r="R305" s="11"/>
    </row>
    <row r="306" spans="1:18">
      <c r="A306" s="11"/>
      <c r="B306" s="11"/>
      <c r="C306" s="11"/>
      <c r="D306" s="11"/>
      <c r="E306" s="11"/>
      <c r="F306" s="11"/>
      <c r="G306" s="11"/>
      <c r="H306" s="11"/>
      <c r="I306" s="11"/>
      <c r="J306" s="11"/>
      <c r="K306" s="11"/>
      <c r="L306" s="11"/>
      <c r="M306" s="11"/>
      <c r="N306" s="11"/>
      <c r="O306" s="11"/>
      <c r="P306" s="11"/>
      <c r="Q306" s="11"/>
      <c r="R306" s="11"/>
    </row>
    <row r="307" spans="1:18">
      <c r="A307" s="11"/>
      <c r="B307" s="11"/>
      <c r="C307" s="11"/>
      <c r="D307" s="11"/>
      <c r="E307" s="11"/>
      <c r="F307" s="11"/>
      <c r="G307" s="11"/>
      <c r="H307" s="11"/>
      <c r="I307" s="11"/>
      <c r="J307" s="11"/>
      <c r="K307" s="11"/>
      <c r="L307" s="11"/>
      <c r="M307" s="11"/>
      <c r="N307" s="11"/>
      <c r="O307" s="11"/>
      <c r="P307" s="11"/>
      <c r="Q307" s="11"/>
      <c r="R307" s="11"/>
    </row>
    <row r="308" spans="1:18">
      <c r="A308" s="11"/>
      <c r="B308" s="11"/>
      <c r="C308" s="11"/>
      <c r="D308" s="11"/>
      <c r="E308" s="11"/>
      <c r="F308" s="11"/>
      <c r="G308" s="11"/>
      <c r="H308" s="11"/>
      <c r="I308" s="11"/>
      <c r="J308" s="11"/>
      <c r="K308" s="11"/>
      <c r="L308" s="11"/>
      <c r="M308" s="11"/>
      <c r="N308" s="11"/>
      <c r="O308" s="11"/>
      <c r="P308" s="11"/>
      <c r="Q308" s="11"/>
      <c r="R308" s="11"/>
    </row>
    <row r="309" spans="1:18">
      <c r="A309" s="11"/>
      <c r="B309" s="11"/>
      <c r="C309" s="11"/>
      <c r="D309" s="11"/>
      <c r="E309" s="11"/>
      <c r="F309" s="11"/>
      <c r="G309" s="11"/>
      <c r="H309" s="11"/>
      <c r="I309" s="11"/>
      <c r="J309" s="11"/>
      <c r="K309" s="11"/>
      <c r="L309" s="11"/>
      <c r="M309" s="11"/>
      <c r="N309" s="11"/>
      <c r="O309" s="11"/>
      <c r="P309" s="11"/>
      <c r="Q309" s="11"/>
      <c r="R309" s="11"/>
    </row>
    <row r="310" spans="1:18">
      <c r="A310" s="11"/>
      <c r="B310" s="11"/>
      <c r="C310" s="11"/>
      <c r="D310" s="11"/>
      <c r="E310" s="11"/>
      <c r="F310" s="11"/>
      <c r="G310" s="11"/>
      <c r="H310" s="11"/>
      <c r="I310" s="11"/>
      <c r="J310" s="11"/>
      <c r="K310" s="11"/>
      <c r="L310" s="11"/>
      <c r="M310" s="11"/>
      <c r="N310" s="11"/>
      <c r="O310" s="11"/>
      <c r="P310" s="11"/>
      <c r="Q310" s="11"/>
      <c r="R310" s="11"/>
    </row>
    <row r="311" spans="1:18">
      <c r="A311" s="11"/>
      <c r="B311" s="11"/>
      <c r="C311" s="11"/>
      <c r="D311" s="11"/>
      <c r="E311" s="11"/>
      <c r="F311" s="11"/>
      <c r="G311" s="11"/>
      <c r="H311" s="11"/>
      <c r="I311" s="11"/>
      <c r="J311" s="11"/>
      <c r="K311" s="11"/>
      <c r="L311" s="11"/>
      <c r="M311" s="11"/>
      <c r="N311" s="11"/>
      <c r="O311" s="11"/>
      <c r="P311" s="11"/>
      <c r="Q311" s="11"/>
      <c r="R311" s="11"/>
    </row>
    <row r="312" spans="1:18">
      <c r="A312" s="11"/>
      <c r="B312" s="11"/>
      <c r="C312" s="11"/>
      <c r="D312" s="11"/>
      <c r="E312" s="11"/>
      <c r="F312" s="11"/>
      <c r="G312" s="11"/>
      <c r="H312" s="11"/>
      <c r="I312" s="11"/>
      <c r="J312" s="11"/>
      <c r="K312" s="11"/>
      <c r="L312" s="11"/>
      <c r="M312" s="11"/>
      <c r="N312" s="11"/>
      <c r="O312" s="11"/>
      <c r="P312" s="11"/>
      <c r="Q312" s="11"/>
      <c r="R312" s="11"/>
    </row>
    <row r="313" spans="1:18">
      <c r="A313" s="11"/>
      <c r="B313" s="11"/>
      <c r="C313" s="11"/>
      <c r="D313" s="11"/>
      <c r="E313" s="11"/>
      <c r="F313" s="11"/>
      <c r="G313" s="11"/>
      <c r="H313" s="11"/>
      <c r="I313" s="11"/>
      <c r="J313" s="11"/>
      <c r="K313" s="11"/>
      <c r="L313" s="11"/>
      <c r="M313" s="11"/>
      <c r="N313" s="11"/>
      <c r="O313" s="11"/>
      <c r="P313" s="11"/>
      <c r="Q313" s="11"/>
      <c r="R313" s="11"/>
    </row>
    <row r="314" spans="1:18">
      <c r="A314" s="11"/>
      <c r="B314" s="11"/>
      <c r="C314" s="11"/>
      <c r="D314" s="11"/>
      <c r="E314" s="11"/>
      <c r="F314" s="11"/>
      <c r="G314" s="11"/>
      <c r="H314" s="11"/>
      <c r="I314" s="11"/>
      <c r="J314" s="11"/>
      <c r="K314" s="11"/>
      <c r="L314" s="11"/>
      <c r="M314" s="11"/>
      <c r="N314" s="11"/>
      <c r="O314" s="11"/>
      <c r="P314" s="11"/>
      <c r="Q314" s="11"/>
      <c r="R314" s="11"/>
    </row>
    <row r="315" spans="1:18">
      <c r="A315" s="11"/>
      <c r="B315" s="11"/>
      <c r="C315" s="11"/>
      <c r="D315" s="11"/>
      <c r="E315" s="11"/>
      <c r="F315" s="11"/>
      <c r="G315" s="11"/>
      <c r="H315" s="11"/>
      <c r="I315" s="11"/>
      <c r="J315" s="11"/>
      <c r="K315" s="11"/>
      <c r="L315" s="11"/>
      <c r="M315" s="11"/>
      <c r="N315" s="11"/>
      <c r="O315" s="11"/>
      <c r="P315" s="11"/>
      <c r="Q315" s="11"/>
      <c r="R315" s="11"/>
    </row>
    <row r="316" spans="1:18">
      <c r="A316" s="11"/>
      <c r="B316" s="11"/>
      <c r="C316" s="11"/>
      <c r="D316" s="11"/>
      <c r="E316" s="11"/>
      <c r="F316" s="11"/>
      <c r="G316" s="11"/>
      <c r="H316" s="11"/>
      <c r="I316" s="11"/>
      <c r="J316" s="11"/>
      <c r="K316" s="11"/>
      <c r="L316" s="11"/>
      <c r="M316" s="11"/>
      <c r="N316" s="11"/>
      <c r="O316" s="11"/>
      <c r="P316" s="11"/>
      <c r="Q316" s="11"/>
      <c r="R316" s="11"/>
    </row>
    <row r="317" spans="1:18">
      <c r="A317" s="11"/>
      <c r="B317" s="11"/>
      <c r="C317" s="11"/>
      <c r="D317" s="11"/>
      <c r="E317" s="11"/>
      <c r="F317" s="11"/>
      <c r="G317" s="11"/>
      <c r="H317" s="11"/>
      <c r="I317" s="11"/>
      <c r="J317" s="11"/>
      <c r="K317" s="11"/>
      <c r="L317" s="11"/>
      <c r="M317" s="11"/>
      <c r="N317" s="11"/>
      <c r="O317" s="11"/>
      <c r="P317" s="11"/>
      <c r="Q317" s="11"/>
      <c r="R317" s="11"/>
    </row>
    <row r="318" spans="1:18">
      <c r="A318" s="11"/>
      <c r="B318" s="11"/>
      <c r="C318" s="11"/>
      <c r="D318" s="11"/>
      <c r="E318" s="11"/>
      <c r="F318" s="11"/>
      <c r="G318" s="11"/>
      <c r="H318" s="11"/>
      <c r="I318" s="11"/>
      <c r="J318" s="11"/>
      <c r="K318" s="11"/>
      <c r="L318" s="11"/>
      <c r="M318" s="11"/>
      <c r="N318" s="11"/>
      <c r="O318" s="11"/>
      <c r="P318" s="11"/>
      <c r="Q318" s="11"/>
      <c r="R318" s="11"/>
    </row>
    <row r="319" spans="1:18">
      <c r="A319" s="11"/>
      <c r="B319" s="11"/>
      <c r="C319" s="11"/>
      <c r="D319" s="11"/>
      <c r="E319" s="11"/>
      <c r="F319" s="11"/>
      <c r="G319" s="11"/>
      <c r="H319" s="11"/>
      <c r="I319" s="11"/>
      <c r="J319" s="11"/>
      <c r="K319" s="11"/>
      <c r="L319" s="11"/>
      <c r="M319" s="11"/>
      <c r="N319" s="11"/>
      <c r="O319" s="11"/>
      <c r="P319" s="11"/>
      <c r="Q319" s="11"/>
      <c r="R319" s="11"/>
    </row>
    <row r="320" spans="1:18">
      <c r="A320" s="11"/>
      <c r="B320" s="11"/>
      <c r="C320" s="11"/>
      <c r="D320" s="11"/>
      <c r="E320" s="11"/>
      <c r="F320" s="11"/>
      <c r="G320" s="11"/>
      <c r="H320" s="11"/>
      <c r="I320" s="11"/>
      <c r="J320" s="11"/>
      <c r="K320" s="11"/>
      <c r="L320" s="11"/>
      <c r="M320" s="11"/>
      <c r="N320" s="11"/>
      <c r="O320" s="11"/>
      <c r="P320" s="11"/>
      <c r="Q320" s="11"/>
      <c r="R320" s="11"/>
    </row>
    <row r="321" spans="1:18">
      <c r="A321" s="11"/>
      <c r="B321" s="11"/>
      <c r="C321" s="11"/>
      <c r="D321" s="11"/>
      <c r="E321" s="11"/>
      <c r="F321" s="11"/>
      <c r="G321" s="11"/>
      <c r="H321" s="11"/>
      <c r="I321" s="11"/>
      <c r="J321" s="11"/>
      <c r="K321" s="11"/>
      <c r="L321" s="11"/>
      <c r="M321" s="11"/>
      <c r="N321" s="11"/>
      <c r="O321" s="11"/>
      <c r="P321" s="11"/>
      <c r="Q321" s="11"/>
      <c r="R321" s="11"/>
    </row>
    <row r="322" spans="1:18">
      <c r="A322" s="11"/>
      <c r="B322" s="11"/>
      <c r="C322" s="11"/>
      <c r="D322" s="11"/>
      <c r="E322" s="11"/>
      <c r="F322" s="11"/>
      <c r="G322" s="11"/>
      <c r="H322" s="11"/>
      <c r="I322" s="11"/>
      <c r="J322" s="11"/>
      <c r="K322" s="11"/>
      <c r="L322" s="11"/>
      <c r="M322" s="11"/>
      <c r="N322" s="11"/>
      <c r="O322" s="11"/>
      <c r="P322" s="11"/>
      <c r="Q322" s="11"/>
      <c r="R322" s="11"/>
    </row>
    <row r="323" spans="1:18">
      <c r="A323" s="11"/>
      <c r="B323" s="11"/>
      <c r="C323" s="11"/>
      <c r="D323" s="11"/>
      <c r="E323" s="11"/>
      <c r="F323" s="11"/>
      <c r="G323" s="11"/>
      <c r="H323" s="11"/>
      <c r="I323" s="11"/>
      <c r="J323" s="11"/>
      <c r="K323" s="11"/>
      <c r="L323" s="11"/>
      <c r="M323" s="11"/>
      <c r="N323" s="11"/>
      <c r="O323" s="11"/>
      <c r="P323" s="11"/>
      <c r="Q323" s="11"/>
      <c r="R323" s="11"/>
    </row>
    <row r="324" spans="1:18">
      <c r="A324" s="11"/>
      <c r="B324" s="11"/>
      <c r="C324" s="11"/>
      <c r="D324" s="11"/>
      <c r="E324" s="11"/>
      <c r="F324" s="11"/>
      <c r="G324" s="11"/>
      <c r="H324" s="11"/>
      <c r="I324" s="11"/>
      <c r="J324" s="11"/>
      <c r="K324" s="11"/>
      <c r="L324" s="11"/>
      <c r="M324" s="11"/>
      <c r="N324" s="11"/>
      <c r="O324" s="11"/>
      <c r="P324" s="11"/>
      <c r="Q324" s="11"/>
      <c r="R324" s="11"/>
    </row>
    <row r="325" spans="1:18">
      <c r="A325" s="11"/>
      <c r="B325" s="11"/>
      <c r="C325" s="11"/>
      <c r="D325" s="11"/>
      <c r="E325" s="11"/>
      <c r="F325" s="11"/>
      <c r="G325" s="11"/>
      <c r="H325" s="11"/>
      <c r="I325" s="11"/>
      <c r="J325" s="11"/>
      <c r="K325" s="11"/>
      <c r="L325" s="11"/>
      <c r="M325" s="11"/>
      <c r="N325" s="11"/>
      <c r="O325" s="11"/>
      <c r="P325" s="11"/>
      <c r="Q325" s="11"/>
      <c r="R325" s="11"/>
    </row>
    <row r="326" spans="1:18">
      <c r="A326" s="11"/>
      <c r="B326" s="11"/>
      <c r="C326" s="11"/>
      <c r="D326" s="11"/>
      <c r="E326" s="11"/>
      <c r="F326" s="11"/>
      <c r="G326" s="11"/>
      <c r="H326" s="11"/>
      <c r="I326" s="11"/>
      <c r="J326" s="11"/>
      <c r="K326" s="11"/>
      <c r="L326" s="11"/>
      <c r="M326" s="11"/>
      <c r="N326" s="11"/>
      <c r="O326" s="11"/>
      <c r="P326" s="11"/>
      <c r="Q326" s="11"/>
      <c r="R326" s="11"/>
    </row>
    <row r="327" spans="1:18">
      <c r="A327" s="11"/>
      <c r="B327" s="11"/>
      <c r="C327" s="11"/>
      <c r="D327" s="11"/>
      <c r="E327" s="11"/>
      <c r="F327" s="11"/>
      <c r="G327" s="11"/>
      <c r="H327" s="11"/>
      <c r="I327" s="11"/>
      <c r="J327" s="11"/>
      <c r="K327" s="11"/>
      <c r="L327" s="11"/>
      <c r="M327" s="11"/>
      <c r="N327" s="11"/>
      <c r="O327" s="11"/>
      <c r="P327" s="11"/>
      <c r="Q327" s="11"/>
      <c r="R327" s="11"/>
    </row>
    <row r="328" spans="1:18">
      <c r="A328" s="11"/>
      <c r="B328" s="11"/>
      <c r="C328" s="11"/>
      <c r="D328" s="11"/>
      <c r="E328" s="11"/>
      <c r="F328" s="11"/>
      <c r="G328" s="11"/>
      <c r="H328" s="11"/>
      <c r="I328" s="11"/>
      <c r="J328" s="11"/>
      <c r="K328" s="11"/>
      <c r="L328" s="11"/>
      <c r="M328" s="11"/>
      <c r="N328" s="11"/>
      <c r="O328" s="11"/>
      <c r="P328" s="11"/>
      <c r="Q328" s="11"/>
      <c r="R328" s="11"/>
    </row>
    <row r="329" spans="1:18">
      <c r="A329" s="11"/>
      <c r="B329" s="11"/>
      <c r="C329" s="11"/>
      <c r="D329" s="11"/>
      <c r="E329" s="11"/>
      <c r="F329" s="11"/>
      <c r="G329" s="11"/>
      <c r="H329" s="11"/>
      <c r="I329" s="11"/>
      <c r="J329" s="11"/>
      <c r="K329" s="11"/>
      <c r="L329" s="11"/>
      <c r="M329" s="11"/>
      <c r="N329" s="11"/>
      <c r="O329" s="11"/>
      <c r="P329" s="11"/>
      <c r="Q329" s="11"/>
      <c r="R329" s="11"/>
    </row>
    <row r="330" spans="1:18">
      <c r="A330" s="11"/>
      <c r="B330" s="11"/>
      <c r="C330" s="11"/>
      <c r="D330" s="11"/>
      <c r="E330" s="11"/>
      <c r="F330" s="11"/>
      <c r="G330" s="11"/>
      <c r="H330" s="11"/>
      <c r="I330" s="11"/>
      <c r="J330" s="11"/>
      <c r="K330" s="11"/>
      <c r="L330" s="11"/>
      <c r="M330" s="11"/>
      <c r="N330" s="11"/>
      <c r="O330" s="11"/>
      <c r="P330" s="11"/>
      <c r="Q330" s="11"/>
      <c r="R330" s="11"/>
    </row>
    <row r="331" spans="1:18">
      <c r="A331" s="11"/>
      <c r="B331" s="11"/>
      <c r="C331" s="11"/>
      <c r="D331" s="11"/>
      <c r="E331" s="11"/>
      <c r="F331" s="11"/>
      <c r="G331" s="11"/>
      <c r="H331" s="11"/>
      <c r="I331" s="11"/>
      <c r="J331" s="11"/>
      <c r="K331" s="11"/>
      <c r="L331" s="11"/>
      <c r="M331" s="11"/>
      <c r="N331" s="11"/>
      <c r="O331" s="11"/>
      <c r="P331" s="11"/>
      <c r="Q331" s="11"/>
      <c r="R331" s="11"/>
    </row>
    <row r="332" spans="1:18">
      <c r="A332" s="11"/>
      <c r="B332" s="11"/>
      <c r="C332" s="11"/>
      <c r="D332" s="11"/>
      <c r="E332" s="11"/>
      <c r="F332" s="11"/>
      <c r="G332" s="11"/>
      <c r="H332" s="11"/>
      <c r="I332" s="11"/>
      <c r="J332" s="11"/>
      <c r="K332" s="11"/>
      <c r="L332" s="11"/>
      <c r="M332" s="11"/>
      <c r="N332" s="11"/>
      <c r="O332" s="11"/>
      <c r="P332" s="11"/>
      <c r="Q332" s="11"/>
      <c r="R332" s="11"/>
    </row>
    <row r="333" spans="1:18">
      <c r="A333" s="11"/>
      <c r="B333" s="11"/>
      <c r="C333" s="11"/>
      <c r="D333" s="11"/>
      <c r="E333" s="11"/>
      <c r="F333" s="11"/>
      <c r="G333" s="11"/>
      <c r="H333" s="11"/>
      <c r="I333" s="11"/>
      <c r="J333" s="11"/>
      <c r="K333" s="11"/>
      <c r="L333" s="11"/>
      <c r="M333" s="11"/>
      <c r="N333" s="11"/>
      <c r="O333" s="11"/>
      <c r="P333" s="11"/>
      <c r="Q333" s="11"/>
      <c r="R333" s="11"/>
    </row>
    <row r="334" spans="1:18">
      <c r="A334" s="11"/>
      <c r="B334" s="11"/>
      <c r="C334" s="11"/>
      <c r="D334" s="11"/>
      <c r="E334" s="11"/>
      <c r="F334" s="11"/>
      <c r="G334" s="11"/>
      <c r="H334" s="11"/>
      <c r="I334" s="11"/>
      <c r="J334" s="11"/>
      <c r="K334" s="11"/>
      <c r="L334" s="11"/>
      <c r="M334" s="11"/>
      <c r="N334" s="11"/>
      <c r="O334" s="11"/>
      <c r="P334" s="11"/>
      <c r="Q334" s="11"/>
      <c r="R334" s="11"/>
    </row>
    <row r="335" spans="1:18">
      <c r="A335" s="11"/>
      <c r="B335" s="11"/>
      <c r="C335" s="11"/>
      <c r="D335" s="11"/>
      <c r="E335" s="11"/>
      <c r="F335" s="11"/>
      <c r="G335" s="11"/>
      <c r="H335" s="11"/>
      <c r="I335" s="11"/>
      <c r="J335" s="11"/>
      <c r="K335" s="11"/>
      <c r="L335" s="11"/>
      <c r="M335" s="11"/>
      <c r="N335" s="11"/>
      <c r="O335" s="11"/>
      <c r="P335" s="11"/>
      <c r="Q335" s="11"/>
      <c r="R335" s="11"/>
    </row>
    <row r="336" spans="1:18">
      <c r="A336" s="11"/>
      <c r="B336" s="11"/>
      <c r="C336" s="11"/>
      <c r="D336" s="11"/>
      <c r="E336" s="11"/>
      <c r="F336" s="11"/>
      <c r="G336" s="11"/>
      <c r="H336" s="11"/>
      <c r="I336" s="11"/>
      <c r="J336" s="11"/>
      <c r="K336" s="11"/>
      <c r="L336" s="11"/>
      <c r="M336" s="11"/>
      <c r="N336" s="11"/>
      <c r="O336" s="11"/>
      <c r="P336" s="11"/>
      <c r="Q336" s="11"/>
      <c r="R336" s="11"/>
    </row>
    <row r="337" spans="1:18">
      <c r="A337" s="11"/>
      <c r="B337" s="11"/>
      <c r="C337" s="11"/>
      <c r="D337" s="11"/>
      <c r="E337" s="11"/>
      <c r="F337" s="11"/>
      <c r="G337" s="11"/>
      <c r="H337" s="11"/>
      <c r="I337" s="11"/>
      <c r="J337" s="11"/>
      <c r="K337" s="11"/>
      <c r="L337" s="11"/>
      <c r="M337" s="11"/>
      <c r="N337" s="11"/>
      <c r="O337" s="11"/>
      <c r="P337" s="11"/>
      <c r="Q337" s="11"/>
      <c r="R337" s="11"/>
    </row>
    <row r="338" spans="1:18">
      <c r="A338" s="11"/>
      <c r="B338" s="11"/>
      <c r="C338" s="11"/>
      <c r="D338" s="11"/>
      <c r="E338" s="11"/>
      <c r="F338" s="11"/>
      <c r="G338" s="11"/>
      <c r="H338" s="11"/>
      <c r="I338" s="11"/>
      <c r="J338" s="11"/>
      <c r="K338" s="11"/>
      <c r="L338" s="11"/>
      <c r="M338" s="11"/>
      <c r="N338" s="11"/>
      <c r="O338" s="11"/>
      <c r="P338" s="11"/>
      <c r="Q338" s="11"/>
      <c r="R338" s="11"/>
    </row>
    <row r="339" spans="1:18">
      <c r="A339" s="11"/>
      <c r="B339" s="11"/>
      <c r="C339" s="11"/>
      <c r="D339" s="11"/>
      <c r="E339" s="11"/>
      <c r="F339" s="11"/>
      <c r="G339" s="11"/>
      <c r="H339" s="11"/>
      <c r="I339" s="11"/>
      <c r="J339" s="11"/>
      <c r="K339" s="11"/>
      <c r="L339" s="11"/>
      <c r="M339" s="11"/>
      <c r="N339" s="11"/>
      <c r="O339" s="11"/>
      <c r="P339" s="11"/>
      <c r="Q339" s="11"/>
      <c r="R339" s="11"/>
    </row>
    <row r="340" spans="1:18">
      <c r="A340" s="11"/>
      <c r="B340" s="11"/>
      <c r="C340" s="11"/>
      <c r="D340" s="11"/>
      <c r="E340" s="11"/>
      <c r="F340" s="11"/>
      <c r="G340" s="11"/>
      <c r="H340" s="11"/>
      <c r="I340" s="11"/>
      <c r="J340" s="11"/>
      <c r="K340" s="11"/>
      <c r="L340" s="11"/>
      <c r="M340" s="11"/>
      <c r="N340" s="11"/>
      <c r="O340" s="11"/>
      <c r="P340" s="11"/>
      <c r="Q340" s="11"/>
      <c r="R340" s="11"/>
    </row>
    <row r="341" spans="1:18">
      <c r="A341" s="11"/>
      <c r="B341" s="11"/>
      <c r="C341" s="11"/>
      <c r="D341" s="11"/>
      <c r="E341" s="11"/>
      <c r="F341" s="11"/>
      <c r="G341" s="11"/>
      <c r="H341" s="11"/>
      <c r="I341" s="11"/>
      <c r="J341" s="11"/>
      <c r="K341" s="11"/>
      <c r="L341" s="11"/>
      <c r="M341" s="11"/>
      <c r="N341" s="11"/>
      <c r="O341" s="11"/>
      <c r="P341" s="11"/>
      <c r="Q341" s="11"/>
      <c r="R341" s="11"/>
    </row>
    <row r="342" spans="1:18">
      <c r="A342" s="11"/>
      <c r="B342" s="11"/>
      <c r="C342" s="11"/>
      <c r="D342" s="11"/>
      <c r="E342" s="11"/>
      <c r="F342" s="11"/>
      <c r="G342" s="11"/>
      <c r="H342" s="11"/>
      <c r="I342" s="11"/>
      <c r="J342" s="11"/>
      <c r="K342" s="11"/>
      <c r="L342" s="11"/>
      <c r="M342" s="11"/>
      <c r="N342" s="11"/>
      <c r="O342" s="11"/>
      <c r="P342" s="11"/>
      <c r="Q342" s="11"/>
      <c r="R342" s="11"/>
    </row>
    <row r="343" spans="1:18">
      <c r="A343" s="11"/>
      <c r="B343" s="11"/>
      <c r="C343" s="11"/>
      <c r="D343" s="11"/>
      <c r="E343" s="11"/>
      <c r="F343" s="11"/>
      <c r="G343" s="11"/>
      <c r="H343" s="11"/>
      <c r="I343" s="11"/>
      <c r="J343" s="11"/>
      <c r="K343" s="11"/>
      <c r="L343" s="11"/>
      <c r="M343" s="11"/>
      <c r="N343" s="11"/>
      <c r="O343" s="11"/>
      <c r="P343" s="11"/>
      <c r="Q343" s="11"/>
      <c r="R343" s="11"/>
    </row>
    <row r="344" spans="1:18">
      <c r="A344" s="11"/>
      <c r="B344" s="11"/>
      <c r="C344" s="11"/>
      <c r="D344" s="11"/>
      <c r="E344" s="11"/>
      <c r="F344" s="11"/>
      <c r="G344" s="11"/>
      <c r="H344" s="11"/>
      <c r="I344" s="11"/>
      <c r="J344" s="11"/>
      <c r="K344" s="11"/>
      <c r="L344" s="11"/>
      <c r="M344" s="11"/>
      <c r="N344" s="11"/>
      <c r="O344" s="11"/>
      <c r="P344" s="11"/>
      <c r="Q344" s="11"/>
      <c r="R344" s="11"/>
    </row>
    <row r="345" spans="1:18">
      <c r="A345" s="11"/>
      <c r="B345" s="11"/>
      <c r="C345" s="11"/>
      <c r="D345" s="11"/>
      <c r="E345" s="11"/>
      <c r="F345" s="11"/>
      <c r="G345" s="11"/>
      <c r="H345" s="11"/>
      <c r="I345" s="11"/>
      <c r="J345" s="11"/>
      <c r="K345" s="11"/>
      <c r="L345" s="11"/>
      <c r="M345" s="11"/>
      <c r="N345" s="11"/>
      <c r="O345" s="11"/>
      <c r="P345" s="11"/>
      <c r="Q345" s="11"/>
      <c r="R345" s="11"/>
    </row>
    <row r="346" spans="1:18">
      <c r="A346" s="11"/>
      <c r="B346" s="11"/>
      <c r="C346" s="11"/>
      <c r="D346" s="11"/>
      <c r="E346" s="11"/>
      <c r="F346" s="11"/>
      <c r="G346" s="11"/>
      <c r="H346" s="11"/>
      <c r="I346" s="11"/>
      <c r="J346" s="11"/>
      <c r="K346" s="11"/>
      <c r="L346" s="11"/>
      <c r="M346" s="11"/>
      <c r="N346" s="11"/>
      <c r="O346" s="11"/>
      <c r="P346" s="11"/>
      <c r="Q346" s="11"/>
      <c r="R346" s="11"/>
    </row>
    <row r="347" spans="1:18">
      <c r="A347" s="11"/>
      <c r="B347" s="11"/>
      <c r="C347" s="11"/>
      <c r="D347" s="11"/>
      <c r="E347" s="11"/>
      <c r="F347" s="11"/>
      <c r="G347" s="11"/>
      <c r="H347" s="11"/>
      <c r="I347" s="11"/>
      <c r="J347" s="11"/>
      <c r="K347" s="11"/>
      <c r="L347" s="11"/>
      <c r="M347" s="11"/>
      <c r="N347" s="11"/>
      <c r="O347" s="11"/>
      <c r="P347" s="11"/>
      <c r="Q347" s="11"/>
      <c r="R347" s="11"/>
    </row>
    <row r="348" spans="1:18">
      <c r="A348" s="11"/>
      <c r="B348" s="11"/>
      <c r="C348" s="11"/>
      <c r="D348" s="11"/>
      <c r="E348" s="11"/>
      <c r="F348" s="11"/>
      <c r="G348" s="11"/>
      <c r="H348" s="11"/>
      <c r="I348" s="11"/>
      <c r="J348" s="11"/>
      <c r="K348" s="11"/>
      <c r="L348" s="11"/>
      <c r="M348" s="11"/>
      <c r="N348" s="11"/>
      <c r="O348" s="11"/>
      <c r="P348" s="11"/>
      <c r="Q348" s="11"/>
      <c r="R348" s="11"/>
    </row>
    <row r="349" spans="1:18">
      <c r="A349" s="11"/>
      <c r="B349" s="11"/>
      <c r="C349" s="11"/>
      <c r="D349" s="11"/>
      <c r="E349" s="11"/>
      <c r="F349" s="11"/>
      <c r="G349" s="11"/>
      <c r="H349" s="11"/>
      <c r="I349" s="11"/>
      <c r="J349" s="11"/>
      <c r="K349" s="11"/>
      <c r="L349" s="11"/>
      <c r="M349" s="11"/>
      <c r="N349" s="11"/>
      <c r="O349" s="11"/>
      <c r="P349" s="11"/>
      <c r="Q349" s="11"/>
      <c r="R349" s="11"/>
    </row>
    <row r="350" spans="1:18">
      <c r="A350" s="11"/>
      <c r="B350" s="11"/>
      <c r="C350" s="11"/>
      <c r="D350" s="11"/>
      <c r="E350" s="11"/>
      <c r="F350" s="11"/>
      <c r="G350" s="11"/>
      <c r="H350" s="11"/>
      <c r="I350" s="11"/>
      <c r="J350" s="11"/>
      <c r="K350" s="11"/>
      <c r="L350" s="11"/>
      <c r="M350" s="11"/>
      <c r="N350" s="11"/>
      <c r="O350" s="11"/>
      <c r="P350" s="11"/>
      <c r="Q350" s="11"/>
      <c r="R350" s="11"/>
    </row>
    <row r="351" spans="1:18">
      <c r="A351" s="11"/>
      <c r="B351" s="11"/>
      <c r="C351" s="11"/>
      <c r="D351" s="11"/>
      <c r="E351" s="11"/>
      <c r="F351" s="11"/>
      <c r="G351" s="11"/>
      <c r="H351" s="11"/>
      <c r="I351" s="11"/>
      <c r="J351" s="11"/>
      <c r="K351" s="11"/>
      <c r="L351" s="11"/>
      <c r="M351" s="11"/>
      <c r="N351" s="11"/>
      <c r="O351" s="11"/>
      <c r="P351" s="11"/>
      <c r="Q351" s="11"/>
      <c r="R351" s="11"/>
    </row>
    <row r="352" spans="1:18">
      <c r="A352" s="11"/>
      <c r="B352" s="11"/>
      <c r="C352" s="11"/>
      <c r="D352" s="11"/>
      <c r="E352" s="11"/>
      <c r="F352" s="11"/>
      <c r="G352" s="11"/>
      <c r="H352" s="11"/>
      <c r="I352" s="11"/>
      <c r="J352" s="11"/>
      <c r="K352" s="11"/>
      <c r="L352" s="11"/>
      <c r="M352" s="11"/>
      <c r="N352" s="11"/>
      <c r="O352" s="11"/>
      <c r="P352" s="11"/>
      <c r="Q352" s="11"/>
      <c r="R352" s="11"/>
    </row>
    <row r="353" spans="1:18">
      <c r="A353" s="11"/>
      <c r="B353" s="11"/>
      <c r="C353" s="11"/>
      <c r="D353" s="11"/>
      <c r="E353" s="11"/>
      <c r="F353" s="11"/>
      <c r="G353" s="11"/>
      <c r="H353" s="11"/>
      <c r="I353" s="11"/>
      <c r="J353" s="11"/>
      <c r="K353" s="11"/>
      <c r="L353" s="11"/>
      <c r="M353" s="11"/>
      <c r="N353" s="11"/>
      <c r="O353" s="11"/>
      <c r="P353" s="11"/>
      <c r="Q353" s="11"/>
      <c r="R353" s="11"/>
    </row>
    <row r="354" spans="1:18">
      <c r="A354" s="11"/>
      <c r="B354" s="11"/>
      <c r="C354" s="11"/>
      <c r="D354" s="11"/>
      <c r="E354" s="11"/>
      <c r="F354" s="11"/>
      <c r="G354" s="11"/>
      <c r="H354" s="11"/>
      <c r="I354" s="11"/>
      <c r="J354" s="11"/>
      <c r="K354" s="11"/>
      <c r="L354" s="11"/>
      <c r="M354" s="11"/>
      <c r="N354" s="11"/>
      <c r="O354" s="11"/>
      <c r="P354" s="11"/>
      <c r="Q354" s="11"/>
      <c r="R354" s="11"/>
    </row>
    <row r="355" spans="1:18">
      <c r="A355" s="11"/>
      <c r="B355" s="11"/>
      <c r="C355" s="11"/>
      <c r="D355" s="11"/>
      <c r="E355" s="11"/>
      <c r="F355" s="11"/>
      <c r="G355" s="11"/>
      <c r="H355" s="11"/>
      <c r="I355" s="11"/>
      <c r="J355" s="11"/>
      <c r="K355" s="11"/>
      <c r="L355" s="11"/>
      <c r="M355" s="11"/>
      <c r="N355" s="11"/>
      <c r="O355" s="11"/>
      <c r="P355" s="11"/>
      <c r="Q355" s="11"/>
      <c r="R355" s="11"/>
    </row>
    <row r="356" spans="1:18">
      <c r="A356" s="11"/>
      <c r="B356" s="11"/>
      <c r="C356" s="11"/>
      <c r="D356" s="11"/>
      <c r="E356" s="11"/>
      <c r="F356" s="11"/>
      <c r="G356" s="11"/>
      <c r="H356" s="11"/>
      <c r="I356" s="11"/>
      <c r="J356" s="11"/>
      <c r="K356" s="11"/>
      <c r="L356" s="11"/>
      <c r="M356" s="11"/>
      <c r="N356" s="11"/>
      <c r="O356" s="11"/>
      <c r="P356" s="11"/>
      <c r="Q356" s="11"/>
      <c r="R356" s="11"/>
    </row>
    <row r="357" spans="1:18">
      <c r="A357" s="11"/>
      <c r="B357" s="11"/>
      <c r="C357" s="11"/>
      <c r="D357" s="11"/>
      <c r="E357" s="11"/>
      <c r="F357" s="11"/>
      <c r="G357" s="11"/>
      <c r="H357" s="11"/>
      <c r="I357" s="11"/>
      <c r="J357" s="11"/>
      <c r="K357" s="11"/>
      <c r="L357" s="11"/>
      <c r="M357" s="11"/>
      <c r="N357" s="11"/>
      <c r="O357" s="11"/>
      <c r="P357" s="11"/>
      <c r="Q357" s="11"/>
      <c r="R357" s="11"/>
    </row>
    <row r="358" spans="1:18">
      <c r="A358" s="11"/>
      <c r="B358" s="11"/>
      <c r="C358" s="11"/>
      <c r="D358" s="11"/>
      <c r="E358" s="11"/>
      <c r="F358" s="11"/>
      <c r="G358" s="11"/>
      <c r="H358" s="11"/>
      <c r="I358" s="11"/>
      <c r="J358" s="11"/>
      <c r="K358" s="11"/>
      <c r="L358" s="11"/>
      <c r="M358" s="11"/>
      <c r="N358" s="11"/>
      <c r="O358" s="11"/>
      <c r="P358" s="11"/>
      <c r="Q358" s="11"/>
      <c r="R358" s="11"/>
    </row>
    <row r="359" spans="1:18">
      <c r="A359" s="11"/>
      <c r="B359" s="11"/>
      <c r="C359" s="11"/>
      <c r="D359" s="11"/>
      <c r="E359" s="11"/>
      <c r="F359" s="11"/>
      <c r="G359" s="11"/>
      <c r="H359" s="11"/>
      <c r="I359" s="11"/>
      <c r="J359" s="11"/>
      <c r="K359" s="11"/>
      <c r="L359" s="11"/>
      <c r="M359" s="11"/>
      <c r="N359" s="11"/>
      <c r="O359" s="11"/>
      <c r="P359" s="11"/>
      <c r="Q359" s="11"/>
      <c r="R359" s="11"/>
    </row>
    <row r="360" spans="1:18">
      <c r="A360" s="11"/>
      <c r="B360" s="11"/>
      <c r="C360" s="11"/>
      <c r="D360" s="11"/>
      <c r="E360" s="11"/>
      <c r="F360" s="11"/>
      <c r="G360" s="11"/>
      <c r="H360" s="11"/>
      <c r="I360" s="11"/>
      <c r="J360" s="11"/>
      <c r="K360" s="11"/>
      <c r="L360" s="11"/>
      <c r="M360" s="11"/>
      <c r="N360" s="11"/>
      <c r="O360" s="11"/>
      <c r="P360" s="11"/>
      <c r="Q360" s="11"/>
      <c r="R360" s="11"/>
    </row>
    <row r="361" spans="1:18">
      <c r="A361" s="11"/>
      <c r="B361" s="11"/>
      <c r="C361" s="11"/>
      <c r="D361" s="11"/>
      <c r="E361" s="11"/>
      <c r="F361" s="11"/>
      <c r="G361" s="11"/>
      <c r="H361" s="11"/>
      <c r="I361" s="11"/>
      <c r="J361" s="11"/>
      <c r="K361" s="11"/>
      <c r="L361" s="11"/>
      <c r="M361" s="11"/>
      <c r="N361" s="11"/>
      <c r="O361" s="11"/>
      <c r="P361" s="11"/>
      <c r="Q361" s="11"/>
      <c r="R361" s="11"/>
    </row>
    <row r="362" spans="1:18">
      <c r="A362" s="11"/>
      <c r="B362" s="11"/>
      <c r="C362" s="11"/>
      <c r="D362" s="11"/>
      <c r="E362" s="11"/>
      <c r="F362" s="11"/>
      <c r="G362" s="11"/>
      <c r="H362" s="11"/>
      <c r="I362" s="11"/>
      <c r="J362" s="11"/>
      <c r="K362" s="11"/>
      <c r="L362" s="11"/>
      <c r="M362" s="11"/>
      <c r="N362" s="11"/>
      <c r="O362" s="11"/>
      <c r="P362" s="11"/>
      <c r="Q362" s="11"/>
      <c r="R362" s="11"/>
    </row>
    <row r="363" spans="1:18">
      <c r="A363" s="11"/>
      <c r="B363" s="11"/>
      <c r="C363" s="11"/>
      <c r="D363" s="11"/>
      <c r="E363" s="11"/>
      <c r="F363" s="11"/>
      <c r="G363" s="11"/>
      <c r="H363" s="11"/>
      <c r="I363" s="11"/>
      <c r="J363" s="11"/>
      <c r="K363" s="11"/>
      <c r="L363" s="11"/>
      <c r="M363" s="11"/>
      <c r="N363" s="11"/>
      <c r="O363" s="11"/>
      <c r="P363" s="11"/>
      <c r="Q363" s="11"/>
      <c r="R363" s="11"/>
    </row>
    <row r="364" spans="1:18">
      <c r="A364" s="11"/>
      <c r="B364" s="11"/>
      <c r="C364" s="11"/>
      <c r="D364" s="11"/>
      <c r="E364" s="11"/>
      <c r="F364" s="11"/>
      <c r="G364" s="11"/>
      <c r="H364" s="11"/>
      <c r="I364" s="11"/>
      <c r="J364" s="11"/>
      <c r="K364" s="11"/>
      <c r="L364" s="11"/>
      <c r="M364" s="11"/>
      <c r="N364" s="11"/>
      <c r="O364" s="11"/>
      <c r="P364" s="11"/>
      <c r="Q364" s="11"/>
      <c r="R364" s="11"/>
    </row>
    <row r="365" spans="1:18">
      <c r="A365" s="11"/>
      <c r="B365" s="11"/>
      <c r="C365" s="11"/>
      <c r="D365" s="11"/>
      <c r="E365" s="11"/>
      <c r="F365" s="11"/>
      <c r="G365" s="11"/>
      <c r="H365" s="11"/>
      <c r="I365" s="11"/>
      <c r="J365" s="11"/>
      <c r="K365" s="11"/>
      <c r="L365" s="11"/>
      <c r="M365" s="11"/>
      <c r="N365" s="11"/>
      <c r="O365" s="11"/>
      <c r="P365" s="11"/>
      <c r="Q365" s="11"/>
      <c r="R365" s="11"/>
    </row>
    <row r="366" spans="1:18">
      <c r="A366" s="11"/>
      <c r="B366" s="11"/>
      <c r="C366" s="11"/>
      <c r="D366" s="11"/>
      <c r="E366" s="11"/>
      <c r="F366" s="11"/>
      <c r="G366" s="11"/>
      <c r="H366" s="11"/>
      <c r="I366" s="11"/>
      <c r="J366" s="11"/>
      <c r="K366" s="11"/>
      <c r="L366" s="11"/>
      <c r="M366" s="11"/>
      <c r="N366" s="11"/>
      <c r="O366" s="11"/>
      <c r="P366" s="11"/>
      <c r="Q366" s="11"/>
      <c r="R366" s="11"/>
    </row>
    <row r="367" spans="1:18">
      <c r="A367" s="11"/>
      <c r="B367" s="11"/>
      <c r="C367" s="11"/>
      <c r="D367" s="11"/>
      <c r="E367" s="11"/>
      <c r="F367" s="11"/>
      <c r="G367" s="11"/>
      <c r="H367" s="11"/>
      <c r="I367" s="11"/>
      <c r="J367" s="11"/>
      <c r="K367" s="11"/>
      <c r="L367" s="11"/>
      <c r="M367" s="11"/>
      <c r="N367" s="11"/>
      <c r="O367" s="11"/>
      <c r="P367" s="11"/>
      <c r="Q367" s="11"/>
      <c r="R367" s="11"/>
    </row>
    <row r="368" spans="1:18">
      <c r="A368" s="11"/>
      <c r="B368" s="11"/>
      <c r="C368" s="11"/>
      <c r="D368" s="11"/>
      <c r="E368" s="11"/>
      <c r="F368" s="11"/>
      <c r="G368" s="11"/>
      <c r="H368" s="11"/>
      <c r="I368" s="11"/>
      <c r="J368" s="11"/>
      <c r="K368" s="11"/>
      <c r="L368" s="11"/>
      <c r="M368" s="11"/>
      <c r="N368" s="11"/>
      <c r="O368" s="11"/>
      <c r="P368" s="11"/>
      <c r="Q368" s="11"/>
      <c r="R368" s="11"/>
    </row>
    <row r="369" spans="1:18">
      <c r="A369" s="11"/>
      <c r="B369" s="11"/>
      <c r="C369" s="11"/>
      <c r="D369" s="11"/>
      <c r="E369" s="11"/>
      <c r="F369" s="11"/>
      <c r="G369" s="11"/>
      <c r="H369" s="11"/>
      <c r="I369" s="11"/>
      <c r="J369" s="11"/>
      <c r="K369" s="11"/>
      <c r="L369" s="11"/>
      <c r="M369" s="11"/>
      <c r="N369" s="11"/>
      <c r="O369" s="11"/>
      <c r="P369" s="11"/>
      <c r="Q369" s="11"/>
      <c r="R369" s="11"/>
    </row>
    <row r="370" spans="1:18">
      <c r="A370" s="11"/>
      <c r="B370" s="11"/>
      <c r="C370" s="11"/>
      <c r="D370" s="11"/>
      <c r="E370" s="11"/>
      <c r="F370" s="11"/>
      <c r="G370" s="11"/>
      <c r="H370" s="11"/>
      <c r="I370" s="11"/>
      <c r="J370" s="11"/>
      <c r="K370" s="11"/>
      <c r="L370" s="11"/>
      <c r="M370" s="11"/>
      <c r="N370" s="11"/>
      <c r="O370" s="11"/>
      <c r="P370" s="11"/>
      <c r="Q370" s="11"/>
      <c r="R370" s="11"/>
    </row>
    <row r="371" spans="1:18">
      <c r="A371" s="11"/>
      <c r="B371" s="11"/>
      <c r="C371" s="11"/>
      <c r="D371" s="11"/>
      <c r="E371" s="11"/>
      <c r="F371" s="11"/>
      <c r="G371" s="11"/>
      <c r="H371" s="11"/>
      <c r="I371" s="11"/>
      <c r="J371" s="11"/>
      <c r="K371" s="11"/>
      <c r="L371" s="11"/>
      <c r="M371" s="11"/>
      <c r="N371" s="11"/>
      <c r="O371" s="11"/>
      <c r="P371" s="11"/>
      <c r="Q371" s="11"/>
      <c r="R371" s="11"/>
    </row>
    <row r="372" spans="1:18">
      <c r="A372" s="11"/>
      <c r="B372" s="11"/>
      <c r="C372" s="11"/>
      <c r="D372" s="11"/>
      <c r="E372" s="11"/>
      <c r="F372" s="11"/>
      <c r="G372" s="11"/>
      <c r="H372" s="11"/>
      <c r="I372" s="11"/>
      <c r="J372" s="11"/>
      <c r="K372" s="11"/>
      <c r="L372" s="11"/>
      <c r="M372" s="11"/>
      <c r="N372" s="11"/>
      <c r="O372" s="11"/>
      <c r="P372" s="11"/>
      <c r="Q372" s="11"/>
      <c r="R372" s="11"/>
    </row>
    <row r="373" spans="1:18">
      <c r="A373" s="11"/>
      <c r="B373" s="11"/>
      <c r="C373" s="11"/>
      <c r="D373" s="11"/>
      <c r="E373" s="11"/>
      <c r="F373" s="11"/>
      <c r="G373" s="11"/>
      <c r="H373" s="11"/>
      <c r="I373" s="11"/>
      <c r="J373" s="11"/>
      <c r="K373" s="11"/>
      <c r="L373" s="11"/>
      <c r="M373" s="11"/>
      <c r="N373" s="11"/>
      <c r="O373" s="11"/>
      <c r="P373" s="11"/>
      <c r="Q373" s="11"/>
      <c r="R373" s="11"/>
    </row>
    <row r="374" spans="1:18">
      <c r="A374" s="11"/>
      <c r="B374" s="11"/>
      <c r="C374" s="11"/>
      <c r="D374" s="11"/>
      <c r="E374" s="11"/>
      <c r="F374" s="11"/>
      <c r="G374" s="11"/>
      <c r="H374" s="11"/>
      <c r="I374" s="11"/>
      <c r="J374" s="11"/>
      <c r="K374" s="11"/>
      <c r="L374" s="11"/>
      <c r="M374" s="11"/>
      <c r="N374" s="11"/>
      <c r="O374" s="11"/>
      <c r="P374" s="11"/>
      <c r="Q374" s="11"/>
      <c r="R374" s="11"/>
    </row>
    <row r="375" spans="1:18">
      <c r="A375" s="11"/>
      <c r="B375" s="11"/>
      <c r="C375" s="11"/>
      <c r="D375" s="11"/>
      <c r="E375" s="11"/>
      <c r="F375" s="11"/>
      <c r="G375" s="11"/>
      <c r="H375" s="11"/>
      <c r="I375" s="11"/>
      <c r="J375" s="11"/>
      <c r="K375" s="11"/>
      <c r="L375" s="11"/>
      <c r="M375" s="11"/>
      <c r="N375" s="11"/>
      <c r="O375" s="11"/>
      <c r="P375" s="11"/>
      <c r="Q375" s="11"/>
      <c r="R375" s="11"/>
    </row>
    <row r="376" spans="1:18">
      <c r="A376" s="11"/>
      <c r="B376" s="11"/>
      <c r="C376" s="11"/>
      <c r="D376" s="11"/>
      <c r="E376" s="11"/>
      <c r="F376" s="11"/>
      <c r="G376" s="11"/>
      <c r="H376" s="11"/>
      <c r="I376" s="11"/>
      <c r="J376" s="11"/>
      <c r="K376" s="11"/>
      <c r="L376" s="11"/>
      <c r="M376" s="11"/>
      <c r="N376" s="11"/>
      <c r="O376" s="11"/>
      <c r="P376" s="11"/>
      <c r="Q376" s="11"/>
      <c r="R376" s="11"/>
    </row>
    <row r="377" spans="1:18">
      <c r="A377" s="11"/>
      <c r="B377" s="11"/>
      <c r="C377" s="11"/>
      <c r="D377" s="11"/>
      <c r="E377" s="11"/>
      <c r="F377" s="11"/>
      <c r="G377" s="11"/>
      <c r="H377" s="11"/>
      <c r="I377" s="11"/>
      <c r="J377" s="11"/>
      <c r="K377" s="11"/>
      <c r="L377" s="11"/>
      <c r="M377" s="11"/>
      <c r="N377" s="11"/>
      <c r="O377" s="11"/>
      <c r="P377" s="11"/>
      <c r="Q377" s="11"/>
      <c r="R377" s="11"/>
    </row>
    <row r="378" spans="1:18">
      <c r="A378" s="11"/>
      <c r="B378" s="11"/>
      <c r="C378" s="11"/>
      <c r="D378" s="11"/>
      <c r="E378" s="11"/>
      <c r="F378" s="11"/>
      <c r="G378" s="11"/>
      <c r="H378" s="11"/>
      <c r="I378" s="11"/>
      <c r="J378" s="11"/>
      <c r="K378" s="11"/>
      <c r="L378" s="11"/>
      <c r="M378" s="11"/>
      <c r="N378" s="11"/>
      <c r="O378" s="11"/>
      <c r="P378" s="11"/>
      <c r="Q378" s="11"/>
      <c r="R378" s="11"/>
    </row>
    <row r="379" spans="1:18">
      <c r="A379" s="11"/>
      <c r="B379" s="11"/>
      <c r="C379" s="11"/>
      <c r="D379" s="11"/>
      <c r="E379" s="11"/>
      <c r="F379" s="11"/>
      <c r="G379" s="11"/>
      <c r="H379" s="11"/>
      <c r="I379" s="11"/>
      <c r="J379" s="11"/>
      <c r="K379" s="11"/>
      <c r="L379" s="11"/>
      <c r="M379" s="11"/>
      <c r="N379" s="11"/>
      <c r="O379" s="11"/>
      <c r="P379" s="11"/>
      <c r="Q379" s="11"/>
      <c r="R379" s="11"/>
    </row>
    <row r="380" spans="1:18">
      <c r="A380" s="11"/>
      <c r="B380" s="11"/>
      <c r="C380" s="11"/>
      <c r="D380" s="11"/>
      <c r="E380" s="11"/>
      <c r="F380" s="11"/>
      <c r="G380" s="11"/>
      <c r="H380" s="11"/>
      <c r="I380" s="11"/>
      <c r="J380" s="11"/>
      <c r="K380" s="11"/>
      <c r="L380" s="11"/>
      <c r="M380" s="11"/>
      <c r="N380" s="11"/>
      <c r="O380" s="11"/>
      <c r="P380" s="11"/>
      <c r="Q380" s="11"/>
      <c r="R380" s="11"/>
    </row>
    <row r="381" spans="1:18">
      <c r="A381" s="11"/>
      <c r="B381" s="11"/>
      <c r="C381" s="11"/>
      <c r="D381" s="11"/>
      <c r="E381" s="11"/>
      <c r="F381" s="11"/>
      <c r="G381" s="11"/>
      <c r="H381" s="11"/>
      <c r="I381" s="11"/>
      <c r="J381" s="11"/>
      <c r="K381" s="11"/>
      <c r="L381" s="11"/>
      <c r="M381" s="11"/>
      <c r="N381" s="11"/>
      <c r="O381" s="11"/>
      <c r="P381" s="11"/>
      <c r="Q381" s="11"/>
      <c r="R381" s="11"/>
    </row>
    <row r="382" spans="1:18">
      <c r="A382" s="11"/>
      <c r="B382" s="11"/>
      <c r="C382" s="11"/>
      <c r="D382" s="11"/>
      <c r="E382" s="11"/>
      <c r="F382" s="11"/>
      <c r="G382" s="11"/>
      <c r="H382" s="11"/>
      <c r="I382" s="11"/>
      <c r="J382" s="11"/>
      <c r="K382" s="11"/>
      <c r="L382" s="11"/>
      <c r="M382" s="11"/>
      <c r="N382" s="11"/>
      <c r="O382" s="11"/>
      <c r="P382" s="11"/>
      <c r="Q382" s="11"/>
      <c r="R382" s="11"/>
    </row>
    <row r="383" spans="1:18">
      <c r="A383" s="11"/>
      <c r="B383" s="11"/>
      <c r="C383" s="11"/>
      <c r="D383" s="11"/>
      <c r="E383" s="11"/>
      <c r="F383" s="11"/>
      <c r="G383" s="11"/>
      <c r="H383" s="11"/>
      <c r="I383" s="11"/>
      <c r="J383" s="11"/>
      <c r="K383" s="11"/>
      <c r="L383" s="11"/>
      <c r="M383" s="11"/>
      <c r="N383" s="11"/>
      <c r="O383" s="11"/>
      <c r="P383" s="11"/>
      <c r="Q383" s="11"/>
      <c r="R383" s="11"/>
    </row>
    <row r="384" spans="1:18">
      <c r="A384" s="11"/>
      <c r="B384" s="11"/>
      <c r="C384" s="11"/>
      <c r="D384" s="11"/>
      <c r="E384" s="11"/>
      <c r="F384" s="11"/>
      <c r="G384" s="11"/>
      <c r="H384" s="11"/>
      <c r="I384" s="11"/>
      <c r="J384" s="11"/>
      <c r="K384" s="11"/>
      <c r="L384" s="11"/>
      <c r="M384" s="11"/>
      <c r="N384" s="11"/>
      <c r="O384" s="11"/>
      <c r="P384" s="11"/>
      <c r="Q384" s="11"/>
      <c r="R384" s="11"/>
    </row>
    <row r="385" spans="1:18">
      <c r="A385" s="11"/>
      <c r="B385" s="11"/>
      <c r="C385" s="11"/>
      <c r="D385" s="11"/>
      <c r="E385" s="11"/>
      <c r="F385" s="11"/>
      <c r="G385" s="11"/>
      <c r="H385" s="11"/>
      <c r="I385" s="11"/>
      <c r="J385" s="11"/>
      <c r="K385" s="11"/>
      <c r="L385" s="11"/>
      <c r="M385" s="11"/>
      <c r="N385" s="11"/>
      <c r="O385" s="11"/>
      <c r="P385" s="11"/>
      <c r="Q385" s="11"/>
      <c r="R385" s="11"/>
    </row>
    <row r="386" spans="1:18">
      <c r="A386" s="11"/>
      <c r="B386" s="11"/>
      <c r="C386" s="11"/>
      <c r="D386" s="11"/>
      <c r="E386" s="11"/>
      <c r="F386" s="11"/>
      <c r="G386" s="11"/>
      <c r="H386" s="11"/>
      <c r="I386" s="11"/>
      <c r="J386" s="11"/>
      <c r="K386" s="11"/>
      <c r="L386" s="11"/>
      <c r="M386" s="11"/>
      <c r="N386" s="11"/>
      <c r="O386" s="11"/>
      <c r="P386" s="11"/>
      <c r="Q386" s="11"/>
      <c r="R386" s="11"/>
    </row>
    <row r="387" spans="1:18">
      <c r="A387" s="11"/>
      <c r="B387" s="11"/>
      <c r="C387" s="11"/>
      <c r="D387" s="11"/>
      <c r="E387" s="11"/>
      <c r="F387" s="11"/>
      <c r="G387" s="11"/>
      <c r="H387" s="11"/>
      <c r="I387" s="11"/>
      <c r="J387" s="11"/>
      <c r="K387" s="11"/>
      <c r="L387" s="11"/>
      <c r="M387" s="11"/>
      <c r="N387" s="11"/>
      <c r="O387" s="11"/>
      <c r="P387" s="11"/>
      <c r="Q387" s="11"/>
      <c r="R387" s="11"/>
    </row>
    <row r="388" spans="1:18">
      <c r="A388" s="11"/>
      <c r="B388" s="11"/>
      <c r="C388" s="11"/>
      <c r="D388" s="11"/>
      <c r="E388" s="11"/>
      <c r="F388" s="11"/>
      <c r="G388" s="11"/>
      <c r="H388" s="11"/>
      <c r="I388" s="11"/>
      <c r="J388" s="11"/>
      <c r="K388" s="11"/>
      <c r="L388" s="11"/>
      <c r="M388" s="11"/>
      <c r="N388" s="11"/>
      <c r="O388" s="11"/>
      <c r="P388" s="11"/>
      <c r="Q388" s="11"/>
      <c r="R388" s="11"/>
    </row>
    <row r="389" spans="1:18">
      <c r="A389" s="11"/>
      <c r="B389" s="11"/>
      <c r="C389" s="11"/>
      <c r="D389" s="11"/>
      <c r="E389" s="11"/>
      <c r="F389" s="11"/>
      <c r="G389" s="11"/>
      <c r="H389" s="11"/>
      <c r="I389" s="11"/>
      <c r="J389" s="11"/>
      <c r="K389" s="11"/>
      <c r="L389" s="11"/>
      <c r="M389" s="11"/>
      <c r="N389" s="11"/>
      <c r="O389" s="11"/>
      <c r="P389" s="11"/>
      <c r="Q389" s="11"/>
      <c r="R389" s="11"/>
    </row>
    <row r="390" spans="1:18">
      <c r="A390" s="11"/>
      <c r="B390" s="11"/>
      <c r="C390" s="11"/>
      <c r="D390" s="11"/>
      <c r="E390" s="11"/>
      <c r="F390" s="11"/>
      <c r="G390" s="11"/>
      <c r="H390" s="11"/>
      <c r="I390" s="11"/>
      <c r="J390" s="11"/>
      <c r="K390" s="11"/>
      <c r="L390" s="11"/>
      <c r="M390" s="11"/>
      <c r="N390" s="11"/>
      <c r="O390" s="11"/>
      <c r="P390" s="11"/>
      <c r="Q390" s="11"/>
      <c r="R390" s="11"/>
    </row>
    <row r="391" spans="1:18">
      <c r="A391" s="11"/>
      <c r="B391" s="11"/>
      <c r="C391" s="11"/>
      <c r="D391" s="11"/>
      <c r="E391" s="11"/>
      <c r="F391" s="11"/>
      <c r="G391" s="11"/>
      <c r="H391" s="11"/>
      <c r="I391" s="11"/>
      <c r="J391" s="11"/>
      <c r="K391" s="11"/>
      <c r="L391" s="11"/>
      <c r="M391" s="11"/>
      <c r="N391" s="11"/>
      <c r="O391" s="11"/>
      <c r="P391" s="11"/>
      <c r="Q391" s="11"/>
      <c r="R391" s="11"/>
    </row>
    <row r="392" spans="1:18">
      <c r="A392" s="11"/>
      <c r="B392" s="11"/>
      <c r="C392" s="11"/>
      <c r="D392" s="11"/>
      <c r="E392" s="11"/>
      <c r="F392" s="11"/>
      <c r="G392" s="11"/>
      <c r="H392" s="11"/>
      <c r="I392" s="11"/>
      <c r="J392" s="11"/>
      <c r="K392" s="11"/>
      <c r="L392" s="11"/>
      <c r="M392" s="11"/>
      <c r="N392" s="11"/>
      <c r="O392" s="11"/>
      <c r="P392" s="11"/>
      <c r="Q392" s="11"/>
      <c r="R392" s="11"/>
    </row>
    <row r="393" spans="1:18">
      <c r="A393" s="11"/>
      <c r="B393" s="11"/>
      <c r="C393" s="11"/>
      <c r="D393" s="11"/>
      <c r="E393" s="11"/>
      <c r="F393" s="11"/>
      <c r="G393" s="11"/>
      <c r="H393" s="11"/>
      <c r="I393" s="11"/>
      <c r="J393" s="11"/>
      <c r="K393" s="11"/>
      <c r="L393" s="11"/>
      <c r="M393" s="11"/>
      <c r="N393" s="11"/>
      <c r="O393" s="11"/>
      <c r="P393" s="11"/>
      <c r="Q393" s="11"/>
      <c r="R393" s="11"/>
    </row>
    <row r="394" spans="1:18">
      <c r="A394" s="11"/>
      <c r="B394" s="11"/>
      <c r="C394" s="11"/>
      <c r="D394" s="11"/>
      <c r="E394" s="11"/>
      <c r="F394" s="11"/>
      <c r="G394" s="11"/>
      <c r="H394" s="11"/>
      <c r="I394" s="11"/>
      <c r="J394" s="11"/>
      <c r="K394" s="11"/>
      <c r="L394" s="11"/>
      <c r="M394" s="11"/>
      <c r="N394" s="11"/>
      <c r="O394" s="11"/>
      <c r="P394" s="11"/>
      <c r="Q394" s="11"/>
      <c r="R394" s="11"/>
    </row>
    <row r="395" spans="1:18">
      <c r="A395" s="11"/>
      <c r="B395" s="11"/>
      <c r="C395" s="11"/>
      <c r="D395" s="11"/>
      <c r="E395" s="11"/>
      <c r="F395" s="11"/>
      <c r="G395" s="11"/>
      <c r="H395" s="11"/>
      <c r="I395" s="11"/>
      <c r="J395" s="11"/>
      <c r="K395" s="11"/>
      <c r="L395" s="11"/>
      <c r="M395" s="11"/>
      <c r="N395" s="11"/>
      <c r="O395" s="11"/>
      <c r="P395" s="11"/>
      <c r="Q395" s="11"/>
      <c r="R395" s="11"/>
    </row>
    <row r="396" spans="1:18">
      <c r="A396" s="11"/>
      <c r="B396" s="11"/>
      <c r="C396" s="11"/>
      <c r="D396" s="11"/>
      <c r="E396" s="11"/>
      <c r="F396" s="11"/>
      <c r="G396" s="11"/>
      <c r="H396" s="11"/>
      <c r="I396" s="11"/>
      <c r="J396" s="11"/>
      <c r="K396" s="11"/>
      <c r="L396" s="11"/>
      <c r="M396" s="11"/>
      <c r="N396" s="11"/>
      <c r="O396" s="11"/>
      <c r="P396" s="11"/>
      <c r="Q396" s="11"/>
      <c r="R396" s="11"/>
    </row>
    <row r="397" spans="1:18">
      <c r="A397" s="11"/>
      <c r="B397" s="11"/>
      <c r="C397" s="11"/>
      <c r="D397" s="11"/>
      <c r="E397" s="11"/>
      <c r="F397" s="11"/>
      <c r="G397" s="11"/>
      <c r="H397" s="11"/>
      <c r="I397" s="11"/>
      <c r="J397" s="11"/>
      <c r="K397" s="11"/>
      <c r="L397" s="11"/>
      <c r="M397" s="11"/>
      <c r="N397" s="11"/>
      <c r="O397" s="11"/>
      <c r="P397" s="11"/>
      <c r="Q397" s="11"/>
      <c r="R397" s="11"/>
    </row>
    <row r="398" spans="1:18">
      <c r="A398" s="11"/>
      <c r="B398" s="11"/>
      <c r="C398" s="11"/>
      <c r="D398" s="11"/>
      <c r="E398" s="11"/>
      <c r="F398" s="11"/>
      <c r="G398" s="11"/>
      <c r="H398" s="11"/>
      <c r="I398" s="11"/>
      <c r="J398" s="11"/>
      <c r="K398" s="11"/>
      <c r="L398" s="11"/>
      <c r="M398" s="11"/>
      <c r="N398" s="11"/>
      <c r="O398" s="11"/>
      <c r="P398" s="11"/>
      <c r="Q398" s="11"/>
      <c r="R398" s="11"/>
    </row>
    <row r="399" spans="1:18">
      <c r="A399" s="11"/>
      <c r="B399" s="11"/>
      <c r="C399" s="11"/>
      <c r="D399" s="11"/>
      <c r="E399" s="11"/>
      <c r="F399" s="11"/>
      <c r="G399" s="11"/>
      <c r="H399" s="11"/>
      <c r="I399" s="11"/>
      <c r="J399" s="11"/>
      <c r="K399" s="11"/>
      <c r="L399" s="11"/>
      <c r="M399" s="11"/>
      <c r="N399" s="11"/>
      <c r="O399" s="11"/>
      <c r="P399" s="11"/>
      <c r="Q399" s="11"/>
      <c r="R399" s="11"/>
    </row>
    <row r="400" spans="1:18">
      <c r="A400" s="11"/>
      <c r="B400" s="11"/>
      <c r="C400" s="11"/>
      <c r="D400" s="11"/>
      <c r="E400" s="11"/>
      <c r="F400" s="11"/>
      <c r="G400" s="11"/>
      <c r="H400" s="11"/>
      <c r="I400" s="11"/>
      <c r="J400" s="11"/>
      <c r="K400" s="11"/>
      <c r="L400" s="11"/>
      <c r="M400" s="11"/>
      <c r="N400" s="11"/>
      <c r="O400" s="11"/>
      <c r="P400" s="11"/>
      <c r="Q400" s="11"/>
      <c r="R400" s="11"/>
    </row>
    <row r="401" spans="1:18">
      <c r="A401" s="11"/>
      <c r="B401" s="11"/>
      <c r="C401" s="11"/>
      <c r="D401" s="11"/>
      <c r="E401" s="11"/>
      <c r="F401" s="11"/>
      <c r="G401" s="11"/>
      <c r="H401" s="11"/>
      <c r="I401" s="11"/>
      <c r="J401" s="11"/>
      <c r="K401" s="11"/>
      <c r="L401" s="11"/>
      <c r="M401" s="11"/>
      <c r="N401" s="11"/>
      <c r="O401" s="11"/>
      <c r="P401" s="11"/>
      <c r="Q401" s="11"/>
      <c r="R401" s="11"/>
    </row>
    <row r="402" spans="1:18">
      <c r="A402" s="11"/>
      <c r="B402" s="11"/>
      <c r="C402" s="11"/>
      <c r="D402" s="11"/>
      <c r="E402" s="11"/>
      <c r="F402" s="11"/>
      <c r="G402" s="11"/>
      <c r="H402" s="11"/>
      <c r="I402" s="11"/>
      <c r="J402" s="11"/>
      <c r="K402" s="11"/>
      <c r="L402" s="11"/>
      <c r="M402" s="11"/>
      <c r="N402" s="11"/>
      <c r="O402" s="11"/>
      <c r="P402" s="11"/>
      <c r="Q402" s="11"/>
      <c r="R402" s="11"/>
    </row>
    <row r="403" spans="1:18">
      <c r="A403" s="11"/>
      <c r="B403" s="11"/>
      <c r="C403" s="11"/>
      <c r="D403" s="11"/>
      <c r="E403" s="11"/>
      <c r="F403" s="11"/>
      <c r="G403" s="11"/>
      <c r="H403" s="11"/>
      <c r="I403" s="11"/>
      <c r="J403" s="11"/>
      <c r="K403" s="11"/>
      <c r="L403" s="11"/>
      <c r="M403" s="11"/>
      <c r="N403" s="11"/>
      <c r="O403" s="11"/>
      <c r="P403" s="11"/>
      <c r="Q403" s="11"/>
      <c r="R403" s="11"/>
    </row>
    <row r="404" spans="1:18">
      <c r="A404" s="11"/>
      <c r="B404" s="11"/>
      <c r="C404" s="11"/>
      <c r="D404" s="11"/>
      <c r="E404" s="11"/>
      <c r="F404" s="11"/>
      <c r="G404" s="11"/>
      <c r="H404" s="11"/>
      <c r="I404" s="11"/>
      <c r="J404" s="11"/>
      <c r="K404" s="11"/>
      <c r="L404" s="11"/>
      <c r="M404" s="11"/>
      <c r="N404" s="11"/>
      <c r="O404" s="11"/>
      <c r="P404" s="11"/>
      <c r="Q404" s="11"/>
      <c r="R404" s="11"/>
    </row>
    <row r="405" spans="1:18">
      <c r="A405" s="11"/>
      <c r="B405" s="11"/>
      <c r="C405" s="11"/>
      <c r="D405" s="11"/>
      <c r="E405" s="11"/>
      <c r="F405" s="11"/>
      <c r="G405" s="11"/>
      <c r="H405" s="11"/>
      <c r="I405" s="11"/>
      <c r="J405" s="11"/>
      <c r="K405" s="11"/>
      <c r="L405" s="11"/>
      <c r="M405" s="11"/>
      <c r="N405" s="11"/>
      <c r="O405" s="11"/>
      <c r="P405" s="11"/>
      <c r="Q405" s="11"/>
      <c r="R405" s="11"/>
    </row>
    <row r="406" spans="1:18">
      <c r="A406" s="11"/>
      <c r="B406" s="11"/>
      <c r="C406" s="11"/>
      <c r="D406" s="11"/>
      <c r="E406" s="11"/>
      <c r="F406" s="11"/>
      <c r="G406" s="11"/>
      <c r="H406" s="11"/>
      <c r="I406" s="11"/>
      <c r="J406" s="11"/>
      <c r="K406" s="11"/>
      <c r="L406" s="11"/>
      <c r="M406" s="11"/>
      <c r="N406" s="11"/>
      <c r="O406" s="11"/>
      <c r="P406" s="11"/>
      <c r="Q406" s="11"/>
      <c r="R406" s="11"/>
    </row>
    <row r="407" spans="1:18">
      <c r="A407" s="11"/>
      <c r="B407" s="11"/>
      <c r="C407" s="11"/>
      <c r="D407" s="11"/>
      <c r="E407" s="11"/>
      <c r="F407" s="11"/>
      <c r="G407" s="11"/>
      <c r="H407" s="11"/>
      <c r="I407" s="11"/>
      <c r="J407" s="11"/>
      <c r="K407" s="11"/>
      <c r="L407" s="11"/>
      <c r="M407" s="11"/>
      <c r="N407" s="11"/>
      <c r="O407" s="11"/>
      <c r="P407" s="11"/>
      <c r="Q407" s="11"/>
      <c r="R407" s="11"/>
    </row>
    <row r="408" spans="1:18">
      <c r="A408" s="11"/>
      <c r="B408" s="11"/>
      <c r="C408" s="11"/>
      <c r="D408" s="11"/>
      <c r="E408" s="11"/>
      <c r="F408" s="11"/>
      <c r="G408" s="11"/>
      <c r="H408" s="11"/>
      <c r="I408" s="11"/>
      <c r="J408" s="11"/>
      <c r="K408" s="11"/>
      <c r="L408" s="11"/>
      <c r="M408" s="11"/>
      <c r="N408" s="11"/>
      <c r="O408" s="11"/>
      <c r="P408" s="11"/>
      <c r="Q408" s="11"/>
      <c r="R408" s="11"/>
    </row>
    <row r="409" spans="1:18">
      <c r="A409" s="11"/>
      <c r="B409" s="11"/>
      <c r="C409" s="11"/>
      <c r="D409" s="11"/>
      <c r="E409" s="11"/>
      <c r="F409" s="11"/>
      <c r="G409" s="11"/>
      <c r="H409" s="11"/>
      <c r="I409" s="11"/>
      <c r="J409" s="11"/>
      <c r="K409" s="11"/>
      <c r="L409" s="11"/>
      <c r="M409" s="11"/>
      <c r="N409" s="11"/>
      <c r="O409" s="11"/>
      <c r="P409" s="11"/>
      <c r="Q409" s="11"/>
      <c r="R409" s="11"/>
    </row>
    <row r="410" spans="1:18">
      <c r="A410" s="11"/>
      <c r="B410" s="11"/>
      <c r="C410" s="11"/>
      <c r="D410" s="11"/>
      <c r="E410" s="11"/>
      <c r="F410" s="11"/>
      <c r="G410" s="11"/>
      <c r="H410" s="11"/>
      <c r="I410" s="11"/>
      <c r="J410" s="11"/>
      <c r="K410" s="11"/>
      <c r="L410" s="11"/>
      <c r="M410" s="11"/>
      <c r="N410" s="11"/>
      <c r="O410" s="11"/>
      <c r="P410" s="11"/>
      <c r="Q410" s="11"/>
      <c r="R410" s="11"/>
    </row>
    <row r="411" spans="1:18">
      <c r="A411" s="11"/>
      <c r="B411" s="11"/>
      <c r="C411" s="11"/>
      <c r="D411" s="11"/>
      <c r="E411" s="11"/>
      <c r="F411" s="11"/>
      <c r="G411" s="11"/>
      <c r="H411" s="11"/>
      <c r="I411" s="11"/>
      <c r="J411" s="11"/>
      <c r="K411" s="11"/>
      <c r="L411" s="11"/>
      <c r="M411" s="11"/>
      <c r="N411" s="11"/>
      <c r="O411" s="11"/>
      <c r="P411" s="11"/>
      <c r="Q411" s="11"/>
      <c r="R411" s="11"/>
    </row>
    <row r="412" spans="1:18">
      <c r="A412" s="11"/>
      <c r="B412" s="11"/>
      <c r="C412" s="11"/>
      <c r="D412" s="11"/>
      <c r="E412" s="11"/>
      <c r="F412" s="11"/>
      <c r="G412" s="11"/>
      <c r="H412" s="11"/>
      <c r="I412" s="11"/>
      <c r="J412" s="11"/>
      <c r="K412" s="11"/>
      <c r="L412" s="11"/>
      <c r="M412" s="11"/>
      <c r="N412" s="11"/>
      <c r="O412" s="11"/>
      <c r="P412" s="11"/>
      <c r="Q412" s="11"/>
      <c r="R412" s="11"/>
    </row>
    <row r="413" spans="1:18">
      <c r="A413" s="11"/>
      <c r="B413" s="11"/>
      <c r="C413" s="11"/>
      <c r="D413" s="11"/>
      <c r="E413" s="11"/>
      <c r="F413" s="11"/>
      <c r="G413" s="11"/>
      <c r="H413" s="11"/>
      <c r="I413" s="11"/>
      <c r="J413" s="11"/>
      <c r="K413" s="11"/>
      <c r="L413" s="11"/>
      <c r="M413" s="11"/>
      <c r="N413" s="11"/>
      <c r="O413" s="11"/>
      <c r="P413" s="11"/>
      <c r="Q413" s="11"/>
      <c r="R413" s="11"/>
    </row>
    <row r="414" spans="1:18">
      <c r="A414" s="11"/>
      <c r="B414" s="11"/>
      <c r="C414" s="11"/>
      <c r="D414" s="11"/>
      <c r="E414" s="11"/>
      <c r="F414" s="11"/>
      <c r="G414" s="11"/>
      <c r="H414" s="11"/>
      <c r="I414" s="11"/>
      <c r="J414" s="11"/>
      <c r="K414" s="11"/>
      <c r="L414" s="11"/>
      <c r="M414" s="11"/>
      <c r="N414" s="11"/>
      <c r="O414" s="11"/>
      <c r="P414" s="11"/>
      <c r="Q414" s="11"/>
      <c r="R414" s="11"/>
    </row>
    <row r="415" spans="1:18">
      <c r="A415" s="11"/>
      <c r="B415" s="11"/>
      <c r="C415" s="11"/>
      <c r="D415" s="11"/>
      <c r="E415" s="11"/>
      <c r="F415" s="11"/>
      <c r="G415" s="11"/>
      <c r="H415" s="11"/>
      <c r="I415" s="11"/>
      <c r="J415" s="11"/>
      <c r="K415" s="11"/>
      <c r="L415" s="11"/>
      <c r="M415" s="11"/>
      <c r="N415" s="11"/>
      <c r="O415" s="11"/>
      <c r="P415" s="11"/>
      <c r="Q415" s="11"/>
      <c r="R415" s="11"/>
    </row>
    <row r="416" spans="1:18">
      <c r="A416" s="11"/>
      <c r="B416" s="11"/>
      <c r="C416" s="11"/>
      <c r="D416" s="11"/>
      <c r="E416" s="11"/>
      <c r="F416" s="11"/>
      <c r="G416" s="11"/>
      <c r="H416" s="11"/>
      <c r="I416" s="11"/>
      <c r="J416" s="11"/>
      <c r="K416" s="11"/>
      <c r="L416" s="11"/>
      <c r="M416" s="11"/>
      <c r="N416" s="11"/>
      <c r="O416" s="11"/>
      <c r="P416" s="11"/>
      <c r="Q416" s="11"/>
      <c r="R416" s="11"/>
    </row>
    <row r="417" spans="1:18">
      <c r="A417" s="11"/>
      <c r="B417" s="11"/>
      <c r="C417" s="11"/>
      <c r="D417" s="11"/>
      <c r="E417" s="11"/>
      <c r="F417" s="11"/>
      <c r="G417" s="11"/>
      <c r="H417" s="11"/>
      <c r="I417" s="11"/>
      <c r="J417" s="11"/>
      <c r="K417" s="11"/>
      <c r="L417" s="11"/>
      <c r="M417" s="11"/>
      <c r="N417" s="11"/>
      <c r="O417" s="11"/>
      <c r="P417" s="11"/>
      <c r="Q417" s="11"/>
      <c r="R417" s="11"/>
    </row>
    <row r="418" spans="1:18">
      <c r="A418" s="11"/>
      <c r="B418" s="11"/>
      <c r="C418" s="11"/>
      <c r="D418" s="11"/>
      <c r="E418" s="11"/>
      <c r="F418" s="11"/>
      <c r="G418" s="11"/>
      <c r="H418" s="11"/>
      <c r="I418" s="11"/>
      <c r="J418" s="11"/>
      <c r="K418" s="11"/>
      <c r="L418" s="11"/>
      <c r="M418" s="11"/>
      <c r="N418" s="11"/>
      <c r="O418" s="11"/>
      <c r="P418" s="11"/>
      <c r="Q418" s="11"/>
      <c r="R418" s="11"/>
    </row>
    <row r="419" spans="1:18">
      <c r="A419" s="11"/>
      <c r="B419" s="11"/>
      <c r="C419" s="11"/>
      <c r="D419" s="11"/>
      <c r="E419" s="11"/>
      <c r="F419" s="11"/>
      <c r="G419" s="11"/>
      <c r="H419" s="11"/>
      <c r="I419" s="11"/>
      <c r="J419" s="11"/>
      <c r="K419" s="11"/>
      <c r="L419" s="11"/>
      <c r="M419" s="11"/>
      <c r="N419" s="11"/>
      <c r="O419" s="11"/>
      <c r="P419" s="11"/>
      <c r="Q419" s="11"/>
      <c r="R419" s="11"/>
    </row>
    <row r="420" spans="1:18">
      <c r="A420" s="11"/>
      <c r="B420" s="11"/>
      <c r="C420" s="11"/>
      <c r="D420" s="11"/>
      <c r="E420" s="11"/>
      <c r="F420" s="11"/>
      <c r="G420" s="11"/>
      <c r="H420" s="11"/>
      <c r="I420" s="11"/>
      <c r="J420" s="11"/>
      <c r="K420" s="11"/>
      <c r="L420" s="11"/>
      <c r="M420" s="11"/>
      <c r="N420" s="11"/>
      <c r="O420" s="11"/>
      <c r="P420" s="11"/>
      <c r="Q420" s="11"/>
      <c r="R420" s="11"/>
    </row>
    <row r="421" spans="1:18">
      <c r="A421" s="11"/>
      <c r="B421" s="11"/>
      <c r="C421" s="11"/>
      <c r="D421" s="11"/>
      <c r="E421" s="11"/>
      <c r="F421" s="11"/>
      <c r="G421" s="11"/>
      <c r="H421" s="11"/>
      <c r="I421" s="11"/>
      <c r="J421" s="11"/>
      <c r="K421" s="11"/>
      <c r="L421" s="11"/>
      <c r="M421" s="11"/>
      <c r="N421" s="11"/>
      <c r="O421" s="11"/>
      <c r="P421" s="11"/>
      <c r="Q421" s="11"/>
      <c r="R421" s="11"/>
    </row>
    <row r="422" spans="1:18">
      <c r="A422" s="11"/>
      <c r="B422" s="11"/>
      <c r="C422" s="11"/>
      <c r="D422" s="11"/>
      <c r="E422" s="11"/>
      <c r="F422" s="11"/>
      <c r="G422" s="11"/>
      <c r="H422" s="11"/>
      <c r="I422" s="11"/>
      <c r="J422" s="11"/>
      <c r="K422" s="11"/>
      <c r="L422" s="11"/>
      <c r="M422" s="11"/>
      <c r="N422" s="11"/>
      <c r="O422" s="11"/>
      <c r="P422" s="11"/>
      <c r="Q422" s="11"/>
      <c r="R422" s="11"/>
    </row>
    <row r="423" spans="1:18">
      <c r="A423" s="11"/>
      <c r="B423" s="11"/>
      <c r="C423" s="11"/>
      <c r="D423" s="11"/>
      <c r="E423" s="11"/>
      <c r="F423" s="11"/>
      <c r="G423" s="11"/>
      <c r="H423" s="11"/>
      <c r="I423" s="11"/>
      <c r="J423" s="11"/>
      <c r="K423" s="11"/>
      <c r="L423" s="11"/>
      <c r="M423" s="11"/>
      <c r="N423" s="11"/>
      <c r="O423" s="11"/>
      <c r="P423" s="11"/>
      <c r="Q423" s="11"/>
      <c r="R423" s="11"/>
    </row>
    <row r="424" spans="1:18">
      <c r="A424" s="11"/>
      <c r="B424" s="11"/>
      <c r="C424" s="11"/>
      <c r="D424" s="11"/>
      <c r="E424" s="11"/>
      <c r="F424" s="11"/>
      <c r="G424" s="11"/>
      <c r="H424" s="11"/>
      <c r="I424" s="11"/>
      <c r="J424" s="11"/>
      <c r="K424" s="11"/>
      <c r="L424" s="11"/>
      <c r="M424" s="11"/>
      <c r="N424" s="11"/>
      <c r="O424" s="11"/>
      <c r="P424" s="11"/>
      <c r="Q424" s="11"/>
      <c r="R424" s="11"/>
    </row>
    <row r="425" spans="1:18">
      <c r="A425" s="11"/>
      <c r="B425" s="11"/>
      <c r="C425" s="11"/>
      <c r="D425" s="11"/>
      <c r="E425" s="11"/>
      <c r="F425" s="11"/>
      <c r="G425" s="11"/>
      <c r="H425" s="11"/>
      <c r="I425" s="11"/>
      <c r="J425" s="11"/>
      <c r="K425" s="11"/>
      <c r="L425" s="11"/>
      <c r="M425" s="11"/>
      <c r="N425" s="11"/>
      <c r="O425" s="11"/>
      <c r="P425" s="11"/>
      <c r="Q425" s="11"/>
      <c r="R425" s="11"/>
    </row>
    <row r="426" spans="1:18">
      <c r="A426" s="11"/>
      <c r="B426" s="11"/>
      <c r="C426" s="11"/>
      <c r="D426" s="11"/>
      <c r="E426" s="11"/>
      <c r="F426" s="11"/>
      <c r="G426" s="11"/>
      <c r="H426" s="11"/>
      <c r="I426" s="11"/>
      <c r="J426" s="11"/>
      <c r="K426" s="11"/>
      <c r="L426" s="11"/>
      <c r="M426" s="11"/>
      <c r="N426" s="11"/>
      <c r="O426" s="11"/>
      <c r="P426" s="11"/>
      <c r="Q426" s="11"/>
      <c r="R426" s="11"/>
    </row>
    <row r="427" spans="1:18">
      <c r="A427" s="11"/>
      <c r="B427" s="11"/>
      <c r="C427" s="11"/>
      <c r="D427" s="11"/>
      <c r="E427" s="11"/>
      <c r="F427" s="11"/>
      <c r="G427" s="11"/>
      <c r="H427" s="11"/>
      <c r="I427" s="11"/>
      <c r="J427" s="11"/>
      <c r="K427" s="11"/>
      <c r="L427" s="11"/>
      <c r="M427" s="11"/>
      <c r="N427" s="11"/>
      <c r="O427" s="11"/>
      <c r="P427" s="11"/>
      <c r="Q427" s="11"/>
      <c r="R427" s="11"/>
    </row>
    <row r="428" spans="1:18">
      <c r="A428" s="11"/>
      <c r="B428" s="11"/>
      <c r="C428" s="11"/>
      <c r="D428" s="11"/>
      <c r="E428" s="11"/>
      <c r="F428" s="11"/>
      <c r="G428" s="11"/>
      <c r="H428" s="11"/>
      <c r="I428" s="11"/>
      <c r="J428" s="11"/>
      <c r="K428" s="11"/>
      <c r="L428" s="11"/>
      <c r="M428" s="11"/>
      <c r="N428" s="11"/>
      <c r="O428" s="11"/>
      <c r="P428" s="11"/>
      <c r="Q428" s="11"/>
      <c r="R428" s="11"/>
    </row>
    <row r="429" spans="1:18">
      <c r="A429" s="11"/>
      <c r="B429" s="11"/>
      <c r="C429" s="11"/>
      <c r="D429" s="11"/>
      <c r="E429" s="11"/>
      <c r="F429" s="11"/>
      <c r="G429" s="11"/>
      <c r="H429" s="11"/>
      <c r="I429" s="11"/>
      <c r="J429" s="11"/>
      <c r="K429" s="11"/>
      <c r="L429" s="11"/>
      <c r="M429" s="11"/>
      <c r="N429" s="11"/>
      <c r="O429" s="11"/>
      <c r="P429" s="11"/>
      <c r="Q429" s="11"/>
      <c r="R429" s="11"/>
    </row>
    <row r="430" spans="1:18">
      <c r="A430" s="11"/>
      <c r="B430" s="11"/>
      <c r="C430" s="11"/>
      <c r="D430" s="11"/>
      <c r="E430" s="11"/>
      <c r="F430" s="11"/>
      <c r="G430" s="11"/>
      <c r="H430" s="11"/>
      <c r="I430" s="11"/>
      <c r="J430" s="11"/>
      <c r="K430" s="11"/>
      <c r="L430" s="11"/>
      <c r="M430" s="11"/>
      <c r="N430" s="11"/>
      <c r="O430" s="11"/>
      <c r="P430" s="11"/>
      <c r="Q430" s="11"/>
      <c r="R430" s="11"/>
    </row>
    <row r="431" spans="1:18">
      <c r="A431" s="11"/>
      <c r="B431" s="11"/>
      <c r="C431" s="11"/>
      <c r="D431" s="11"/>
      <c r="E431" s="11"/>
      <c r="F431" s="11"/>
      <c r="G431" s="11"/>
      <c r="H431" s="11"/>
      <c r="I431" s="11"/>
      <c r="J431" s="11"/>
      <c r="K431" s="11"/>
      <c r="L431" s="11"/>
      <c r="M431" s="11"/>
      <c r="N431" s="11"/>
      <c r="O431" s="11"/>
      <c r="P431" s="11"/>
      <c r="Q431" s="11"/>
      <c r="R431" s="11"/>
    </row>
    <row r="432" spans="1:18">
      <c r="A432" s="11"/>
      <c r="B432" s="11"/>
      <c r="C432" s="11"/>
      <c r="D432" s="11"/>
      <c r="E432" s="11"/>
      <c r="F432" s="11"/>
      <c r="G432" s="11"/>
      <c r="H432" s="11"/>
      <c r="I432" s="11"/>
      <c r="J432" s="11"/>
      <c r="K432" s="11"/>
      <c r="L432" s="11"/>
      <c r="M432" s="11"/>
      <c r="N432" s="11"/>
      <c r="O432" s="11"/>
      <c r="P432" s="11"/>
      <c r="Q432" s="11"/>
      <c r="R432" s="11"/>
    </row>
    <row r="433" spans="1:18">
      <c r="A433" s="11"/>
      <c r="B433" s="11"/>
      <c r="C433" s="11"/>
      <c r="D433" s="11"/>
      <c r="E433" s="11"/>
      <c r="F433" s="11"/>
      <c r="G433" s="11"/>
      <c r="H433" s="11"/>
      <c r="I433" s="11"/>
      <c r="J433" s="11"/>
      <c r="K433" s="11"/>
      <c r="L433" s="11"/>
      <c r="M433" s="11"/>
      <c r="N433" s="11"/>
      <c r="O433" s="11"/>
      <c r="P433" s="11"/>
      <c r="Q433" s="11"/>
      <c r="R433" s="11"/>
    </row>
    <row r="434" spans="1:18">
      <c r="A434" s="11"/>
      <c r="B434" s="11"/>
      <c r="C434" s="11"/>
      <c r="D434" s="11"/>
      <c r="E434" s="11"/>
      <c r="F434" s="11"/>
      <c r="G434" s="11"/>
      <c r="H434" s="11"/>
      <c r="I434" s="11"/>
      <c r="J434" s="11"/>
      <c r="K434" s="11"/>
      <c r="L434" s="11"/>
      <c r="M434" s="11"/>
      <c r="N434" s="11"/>
      <c r="O434" s="11"/>
      <c r="P434" s="11"/>
      <c r="Q434" s="11"/>
      <c r="R434" s="11"/>
    </row>
    <row r="435" spans="1:18">
      <c r="A435" s="11"/>
      <c r="B435" s="11"/>
      <c r="C435" s="11"/>
      <c r="D435" s="11"/>
      <c r="E435" s="11"/>
      <c r="F435" s="11"/>
      <c r="G435" s="11"/>
      <c r="H435" s="11"/>
      <c r="I435" s="11"/>
      <c r="J435" s="11"/>
      <c r="K435" s="11"/>
      <c r="L435" s="11"/>
      <c r="M435" s="11"/>
      <c r="N435" s="11"/>
      <c r="O435" s="11"/>
      <c r="P435" s="11"/>
      <c r="Q435" s="11"/>
      <c r="R435" s="11"/>
    </row>
    <row r="436" spans="1:18">
      <c r="A436" s="11"/>
      <c r="B436" s="11"/>
      <c r="C436" s="11"/>
      <c r="D436" s="11"/>
      <c r="E436" s="11"/>
      <c r="F436" s="11"/>
      <c r="G436" s="11"/>
      <c r="H436" s="11"/>
      <c r="I436" s="11"/>
      <c r="J436" s="11"/>
      <c r="K436" s="11"/>
      <c r="L436" s="11"/>
      <c r="M436" s="11"/>
      <c r="N436" s="11"/>
      <c r="O436" s="11"/>
      <c r="P436" s="11"/>
      <c r="Q436" s="11"/>
      <c r="R436" s="11"/>
    </row>
    <row r="437" spans="1:18">
      <c r="A437" s="11"/>
      <c r="B437" s="11"/>
      <c r="C437" s="11"/>
      <c r="D437" s="11"/>
      <c r="E437" s="11"/>
      <c r="F437" s="11"/>
      <c r="G437" s="11"/>
      <c r="H437" s="11"/>
      <c r="I437" s="11"/>
      <c r="J437" s="11"/>
      <c r="K437" s="11"/>
      <c r="L437" s="11"/>
      <c r="M437" s="11"/>
      <c r="N437" s="11"/>
      <c r="O437" s="11"/>
      <c r="P437" s="11"/>
      <c r="Q437" s="11"/>
      <c r="R437" s="11"/>
    </row>
    <row r="438" spans="1:18">
      <c r="A438" s="11"/>
      <c r="B438" s="11"/>
      <c r="C438" s="11"/>
      <c r="D438" s="11"/>
      <c r="E438" s="11"/>
      <c r="F438" s="11"/>
      <c r="G438" s="11"/>
      <c r="H438" s="11"/>
      <c r="I438" s="11"/>
      <c r="J438" s="11"/>
      <c r="K438" s="11"/>
      <c r="L438" s="11"/>
      <c r="M438" s="11"/>
      <c r="N438" s="11"/>
      <c r="O438" s="11"/>
      <c r="P438" s="11"/>
      <c r="Q438" s="11"/>
      <c r="R438" s="11"/>
    </row>
    <row r="439" spans="1:18">
      <c r="A439" s="11"/>
      <c r="B439" s="11"/>
      <c r="C439" s="11"/>
      <c r="D439" s="11"/>
      <c r="E439" s="11"/>
      <c r="F439" s="11"/>
      <c r="G439" s="11"/>
      <c r="H439" s="11"/>
      <c r="I439" s="11"/>
      <c r="J439" s="11"/>
      <c r="K439" s="11"/>
      <c r="L439" s="11"/>
      <c r="M439" s="11"/>
      <c r="N439" s="11"/>
      <c r="O439" s="11"/>
      <c r="P439" s="11"/>
      <c r="Q439" s="11"/>
      <c r="R439" s="11"/>
    </row>
    <row r="440" spans="1:18">
      <c r="A440" s="11"/>
      <c r="B440" s="11"/>
      <c r="C440" s="11"/>
      <c r="D440" s="11"/>
      <c r="E440" s="11"/>
      <c r="F440" s="11"/>
      <c r="G440" s="11"/>
      <c r="H440" s="11"/>
      <c r="I440" s="11"/>
      <c r="J440" s="11"/>
      <c r="K440" s="11"/>
      <c r="L440" s="11"/>
      <c r="M440" s="11"/>
      <c r="N440" s="11"/>
      <c r="O440" s="11"/>
      <c r="P440" s="11"/>
      <c r="Q440" s="11"/>
      <c r="R440" s="11"/>
    </row>
    <row r="441" spans="1:18">
      <c r="A441" s="11"/>
      <c r="B441" s="11"/>
      <c r="C441" s="11"/>
      <c r="D441" s="11"/>
      <c r="E441" s="11"/>
      <c r="F441" s="11"/>
      <c r="G441" s="11"/>
      <c r="H441" s="11"/>
      <c r="I441" s="11"/>
      <c r="J441" s="11"/>
      <c r="K441" s="11"/>
      <c r="L441" s="11"/>
      <c r="M441" s="11"/>
      <c r="N441" s="11"/>
      <c r="O441" s="11"/>
      <c r="P441" s="11"/>
      <c r="Q441" s="11"/>
      <c r="R441" s="11"/>
    </row>
    <row r="442" spans="1:18">
      <c r="A442" s="11"/>
      <c r="B442" s="11"/>
      <c r="C442" s="11"/>
      <c r="D442" s="11"/>
      <c r="E442" s="11"/>
      <c r="F442" s="11"/>
      <c r="G442" s="11"/>
      <c r="H442" s="11"/>
      <c r="I442" s="11"/>
      <c r="J442" s="11"/>
      <c r="K442" s="11"/>
      <c r="L442" s="11"/>
      <c r="M442" s="11"/>
      <c r="N442" s="11"/>
      <c r="O442" s="11"/>
      <c r="P442" s="11"/>
      <c r="Q442" s="11"/>
      <c r="R442" s="11"/>
    </row>
    <row r="443" spans="1:18">
      <c r="A443" s="11"/>
      <c r="B443" s="11"/>
      <c r="C443" s="11"/>
      <c r="D443" s="11"/>
      <c r="E443" s="11"/>
      <c r="F443" s="11"/>
      <c r="G443" s="11"/>
      <c r="H443" s="11"/>
      <c r="I443" s="11"/>
      <c r="J443" s="11"/>
      <c r="K443" s="11"/>
      <c r="L443" s="11"/>
      <c r="M443" s="11"/>
      <c r="N443" s="11"/>
      <c r="O443" s="11"/>
      <c r="P443" s="11"/>
      <c r="Q443" s="11"/>
      <c r="R443" s="11"/>
    </row>
    <row r="444" spans="1:18">
      <c r="A444" s="11"/>
      <c r="B444" s="11"/>
      <c r="C444" s="11"/>
      <c r="D444" s="11"/>
      <c r="E444" s="11"/>
      <c r="F444" s="11"/>
      <c r="G444" s="11"/>
      <c r="H444" s="11"/>
      <c r="I444" s="11"/>
      <c r="J444" s="11"/>
      <c r="K444" s="11"/>
      <c r="L444" s="11"/>
      <c r="M444" s="11"/>
      <c r="N444" s="11"/>
      <c r="O444" s="11"/>
      <c r="P444" s="11"/>
      <c r="Q444" s="11"/>
      <c r="R444" s="11"/>
    </row>
    <row r="445" spans="1:18">
      <c r="A445" s="11"/>
      <c r="B445" s="11"/>
      <c r="C445" s="11"/>
      <c r="D445" s="11"/>
      <c r="E445" s="11"/>
      <c r="F445" s="11"/>
      <c r="G445" s="11"/>
      <c r="H445" s="11"/>
      <c r="I445" s="11"/>
      <c r="J445" s="11"/>
      <c r="K445" s="11"/>
      <c r="L445" s="11"/>
      <c r="M445" s="11"/>
      <c r="N445" s="11"/>
      <c r="O445" s="11"/>
      <c r="P445" s="11"/>
      <c r="Q445" s="11"/>
      <c r="R445" s="11"/>
    </row>
    <row r="446" spans="1:18">
      <c r="A446" s="11"/>
      <c r="B446" s="11"/>
      <c r="C446" s="11"/>
      <c r="D446" s="11"/>
      <c r="E446" s="11"/>
      <c r="F446" s="11"/>
      <c r="G446" s="11"/>
      <c r="H446" s="11"/>
      <c r="I446" s="11"/>
      <c r="J446" s="11"/>
      <c r="K446" s="11"/>
      <c r="L446" s="11"/>
      <c r="M446" s="11"/>
      <c r="N446" s="11"/>
      <c r="O446" s="11"/>
      <c r="P446" s="11"/>
      <c r="Q446" s="11"/>
      <c r="R446" s="11"/>
    </row>
    <row r="447" spans="1:18">
      <c r="A447" s="11"/>
      <c r="B447" s="11"/>
      <c r="C447" s="11"/>
      <c r="D447" s="11"/>
      <c r="E447" s="11"/>
      <c r="F447" s="11"/>
      <c r="G447" s="11"/>
      <c r="H447" s="11"/>
      <c r="I447" s="11"/>
      <c r="J447" s="11"/>
      <c r="K447" s="11"/>
      <c r="L447" s="11"/>
      <c r="M447" s="11"/>
      <c r="N447" s="11"/>
      <c r="O447" s="11"/>
      <c r="P447" s="11"/>
      <c r="Q447" s="11"/>
      <c r="R447" s="11"/>
    </row>
    <row r="448" spans="1:18">
      <c r="A448" s="11"/>
      <c r="B448" s="11"/>
      <c r="C448" s="11"/>
      <c r="D448" s="11"/>
      <c r="E448" s="11"/>
      <c r="F448" s="11"/>
      <c r="G448" s="11"/>
      <c r="H448" s="11"/>
      <c r="I448" s="11"/>
      <c r="J448" s="11"/>
      <c r="K448" s="11"/>
      <c r="L448" s="11"/>
      <c r="M448" s="11"/>
      <c r="N448" s="11"/>
      <c r="O448" s="11"/>
      <c r="P448" s="11"/>
      <c r="Q448" s="11"/>
      <c r="R448" s="11"/>
    </row>
    <row r="449" spans="1:18">
      <c r="A449" s="11"/>
      <c r="B449" s="11"/>
      <c r="C449" s="11"/>
      <c r="D449" s="11"/>
      <c r="E449" s="11"/>
      <c r="F449" s="11"/>
      <c r="G449" s="11"/>
      <c r="H449" s="11"/>
      <c r="I449" s="11"/>
      <c r="J449" s="11"/>
      <c r="K449" s="11"/>
      <c r="L449" s="11"/>
      <c r="M449" s="11"/>
      <c r="N449" s="11"/>
      <c r="O449" s="11"/>
      <c r="P449" s="11"/>
      <c r="Q449" s="11"/>
      <c r="R449" s="11"/>
    </row>
    <row r="450" spans="1:18">
      <c r="A450" s="11"/>
      <c r="B450" s="11"/>
      <c r="C450" s="11"/>
      <c r="D450" s="11"/>
      <c r="E450" s="11"/>
      <c r="F450" s="11"/>
      <c r="G450" s="11"/>
      <c r="H450" s="11"/>
      <c r="I450" s="11"/>
      <c r="J450" s="11"/>
      <c r="K450" s="11"/>
      <c r="L450" s="11"/>
      <c r="M450" s="11"/>
      <c r="N450" s="11"/>
      <c r="O450" s="11"/>
      <c r="P450" s="11"/>
      <c r="Q450" s="11"/>
      <c r="R450" s="11"/>
    </row>
    <row r="451" spans="1:18">
      <c r="A451" s="11"/>
      <c r="B451" s="11"/>
      <c r="C451" s="11"/>
      <c r="D451" s="11"/>
      <c r="E451" s="11"/>
      <c r="F451" s="11"/>
      <c r="G451" s="11"/>
      <c r="H451" s="11"/>
      <c r="I451" s="11"/>
      <c r="J451" s="11"/>
      <c r="K451" s="11"/>
      <c r="L451" s="11"/>
      <c r="M451" s="11"/>
      <c r="N451" s="11"/>
      <c r="O451" s="11"/>
      <c r="P451" s="11"/>
      <c r="Q451" s="11"/>
      <c r="R451" s="11"/>
    </row>
    <row r="452" spans="1:18">
      <c r="A452" s="11"/>
      <c r="B452" s="11"/>
      <c r="C452" s="11"/>
      <c r="D452" s="11"/>
      <c r="E452" s="11"/>
      <c r="F452" s="11"/>
      <c r="G452" s="11"/>
      <c r="H452" s="11"/>
      <c r="I452" s="11"/>
      <c r="J452" s="11"/>
      <c r="K452" s="11"/>
      <c r="L452" s="11"/>
      <c r="M452" s="11"/>
      <c r="N452" s="11"/>
      <c r="O452" s="11"/>
      <c r="P452" s="11"/>
      <c r="Q452" s="11"/>
      <c r="R452" s="11"/>
    </row>
    <row r="453" spans="1:18">
      <c r="A453" s="11"/>
      <c r="B453" s="11"/>
      <c r="C453" s="11"/>
      <c r="D453" s="11"/>
      <c r="E453" s="11"/>
      <c r="F453" s="11"/>
      <c r="G453" s="11"/>
      <c r="H453" s="11"/>
      <c r="I453" s="11"/>
      <c r="J453" s="11"/>
      <c r="K453" s="11"/>
      <c r="L453" s="11"/>
      <c r="M453" s="11"/>
      <c r="N453" s="11"/>
      <c r="O453" s="11"/>
      <c r="P453" s="11"/>
      <c r="Q453" s="11"/>
      <c r="R453" s="11"/>
    </row>
    <row r="454" spans="1:18">
      <c r="A454" s="11"/>
      <c r="B454" s="11"/>
      <c r="C454" s="11"/>
      <c r="D454" s="11"/>
      <c r="E454" s="11"/>
      <c r="F454" s="11"/>
      <c r="G454" s="11"/>
      <c r="H454" s="11"/>
      <c r="I454" s="11"/>
      <c r="J454" s="11"/>
      <c r="K454" s="11"/>
      <c r="L454" s="11"/>
      <c r="M454" s="11"/>
      <c r="N454" s="11"/>
      <c r="O454" s="11"/>
      <c r="P454" s="11"/>
      <c r="Q454" s="11"/>
      <c r="R454" s="11"/>
    </row>
    <row r="455" spans="1:18">
      <c r="A455" s="11"/>
      <c r="B455" s="11"/>
      <c r="C455" s="11"/>
      <c r="D455" s="11"/>
      <c r="E455" s="11"/>
      <c r="F455" s="11"/>
      <c r="G455" s="11"/>
      <c r="H455" s="11"/>
      <c r="I455" s="11"/>
      <c r="J455" s="11"/>
      <c r="K455" s="11"/>
      <c r="L455" s="11"/>
      <c r="M455" s="11"/>
      <c r="N455" s="11"/>
      <c r="O455" s="11"/>
      <c r="P455" s="11"/>
      <c r="Q455" s="11"/>
      <c r="R455" s="11"/>
    </row>
    <row r="456" spans="1:18">
      <c r="A456" s="11"/>
      <c r="B456" s="11"/>
      <c r="C456" s="11"/>
      <c r="D456" s="11"/>
      <c r="E456" s="11"/>
      <c r="F456" s="11"/>
      <c r="G456" s="11"/>
      <c r="H456" s="11"/>
      <c r="I456" s="11"/>
      <c r="J456" s="11"/>
      <c r="K456" s="11"/>
      <c r="L456" s="11"/>
      <c r="M456" s="11"/>
      <c r="N456" s="11"/>
      <c r="O456" s="11"/>
      <c r="P456" s="11"/>
      <c r="Q456" s="11"/>
      <c r="R456" s="11"/>
    </row>
    <row r="457" spans="1:18">
      <c r="A457" s="11"/>
      <c r="B457" s="11"/>
      <c r="C457" s="11"/>
      <c r="D457" s="11"/>
      <c r="E457" s="11"/>
      <c r="F457" s="11"/>
      <c r="G457" s="11"/>
      <c r="H457" s="11"/>
      <c r="I457" s="11"/>
      <c r="J457" s="11"/>
      <c r="K457" s="11"/>
      <c r="L457" s="11"/>
      <c r="M457" s="11"/>
      <c r="N457" s="11"/>
      <c r="O457" s="11"/>
      <c r="P457" s="11"/>
      <c r="Q457" s="11"/>
      <c r="R457" s="11"/>
    </row>
    <row r="458" spans="1:18">
      <c r="A458" s="11"/>
      <c r="B458" s="11"/>
      <c r="C458" s="11"/>
      <c r="D458" s="11"/>
      <c r="E458" s="11"/>
      <c r="F458" s="11"/>
      <c r="G458" s="11"/>
      <c r="H458" s="11"/>
      <c r="I458" s="11"/>
      <c r="J458" s="11"/>
      <c r="K458" s="11"/>
      <c r="L458" s="11"/>
      <c r="M458" s="11"/>
      <c r="N458" s="11"/>
      <c r="O458" s="11"/>
      <c r="P458" s="11"/>
      <c r="Q458" s="11"/>
      <c r="R458" s="11"/>
    </row>
    <row r="459" spans="1:18">
      <c r="A459" s="11"/>
      <c r="B459" s="11"/>
      <c r="C459" s="11"/>
      <c r="D459" s="11"/>
      <c r="E459" s="11"/>
      <c r="F459" s="11"/>
      <c r="G459" s="11"/>
      <c r="H459" s="11"/>
      <c r="I459" s="11"/>
      <c r="J459" s="11"/>
      <c r="K459" s="11"/>
      <c r="L459" s="11"/>
      <c r="M459" s="11"/>
      <c r="N459" s="11"/>
      <c r="O459" s="11"/>
      <c r="P459" s="11"/>
      <c r="Q459" s="11"/>
      <c r="R459" s="11"/>
    </row>
    <row r="460" spans="1:18">
      <c r="A460" s="11"/>
      <c r="B460" s="11"/>
      <c r="C460" s="11"/>
      <c r="D460" s="11"/>
      <c r="E460" s="11"/>
      <c r="F460" s="11"/>
      <c r="G460" s="11"/>
      <c r="H460" s="11"/>
      <c r="I460" s="11"/>
      <c r="J460" s="11"/>
      <c r="K460" s="11"/>
      <c r="L460" s="11"/>
      <c r="M460" s="11"/>
      <c r="N460" s="11"/>
      <c r="O460" s="11"/>
      <c r="P460" s="11"/>
      <c r="Q460" s="11"/>
      <c r="R460" s="11"/>
    </row>
    <row r="461" spans="1:18">
      <c r="A461" s="11"/>
      <c r="B461" s="11"/>
      <c r="C461" s="11"/>
      <c r="D461" s="11"/>
      <c r="E461" s="11"/>
      <c r="F461" s="11"/>
      <c r="G461" s="11"/>
      <c r="H461" s="11"/>
      <c r="I461" s="11"/>
      <c r="J461" s="11"/>
      <c r="K461" s="11"/>
      <c r="L461" s="11"/>
      <c r="M461" s="11"/>
      <c r="N461" s="11"/>
      <c r="O461" s="11"/>
      <c r="P461" s="11"/>
      <c r="Q461" s="11"/>
      <c r="R461" s="11"/>
    </row>
    <row r="462" spans="1:18">
      <c r="A462" s="11"/>
      <c r="B462" s="11"/>
      <c r="C462" s="11"/>
      <c r="D462" s="11"/>
      <c r="E462" s="11"/>
      <c r="F462" s="11"/>
      <c r="G462" s="11"/>
      <c r="H462" s="11"/>
      <c r="I462" s="11"/>
      <c r="J462" s="11"/>
      <c r="K462" s="11"/>
      <c r="L462" s="11"/>
      <c r="M462" s="11"/>
      <c r="N462" s="11"/>
      <c r="O462" s="11"/>
      <c r="P462" s="11"/>
      <c r="Q462" s="11"/>
      <c r="R462" s="11"/>
    </row>
    <row r="463" spans="1:18">
      <c r="A463" s="11"/>
      <c r="B463" s="11"/>
      <c r="C463" s="11"/>
      <c r="D463" s="11"/>
      <c r="E463" s="11"/>
      <c r="F463" s="11"/>
      <c r="G463" s="11"/>
      <c r="H463" s="11"/>
      <c r="I463" s="11"/>
      <c r="J463" s="11"/>
      <c r="K463" s="11"/>
      <c r="L463" s="11"/>
      <c r="M463" s="11"/>
      <c r="N463" s="11"/>
      <c r="O463" s="11"/>
      <c r="P463" s="11"/>
      <c r="Q463" s="11"/>
      <c r="R463" s="11"/>
    </row>
    <row r="464" spans="1:18">
      <c r="A464" s="11"/>
      <c r="B464" s="11"/>
      <c r="C464" s="11"/>
      <c r="D464" s="11"/>
      <c r="E464" s="11"/>
      <c r="F464" s="11"/>
      <c r="G464" s="11"/>
      <c r="H464" s="11"/>
      <c r="I464" s="11"/>
      <c r="J464" s="11"/>
      <c r="K464" s="11"/>
      <c r="L464" s="11"/>
      <c r="M464" s="11"/>
      <c r="N464" s="11"/>
      <c r="O464" s="11"/>
      <c r="P464" s="11"/>
      <c r="Q464" s="11"/>
      <c r="R464" s="11"/>
    </row>
    <row r="465" spans="1:18">
      <c r="A465" s="11"/>
      <c r="B465" s="11"/>
      <c r="C465" s="11"/>
      <c r="D465" s="11"/>
      <c r="E465" s="11"/>
      <c r="F465" s="11"/>
      <c r="G465" s="11"/>
      <c r="H465" s="11"/>
      <c r="I465" s="11"/>
      <c r="J465" s="11"/>
      <c r="K465" s="11"/>
      <c r="L465" s="11"/>
      <c r="M465" s="11"/>
      <c r="N465" s="11"/>
      <c r="O465" s="11"/>
      <c r="P465" s="11"/>
      <c r="Q465" s="11"/>
      <c r="R465" s="11"/>
    </row>
    <row r="466" spans="1:18">
      <c r="A466" s="11"/>
      <c r="B466" s="11"/>
      <c r="C466" s="11"/>
      <c r="D466" s="11"/>
      <c r="E466" s="11"/>
      <c r="F466" s="11"/>
      <c r="G466" s="11"/>
      <c r="H466" s="11"/>
      <c r="I466" s="11"/>
      <c r="J466" s="11"/>
      <c r="K466" s="11"/>
      <c r="L466" s="11"/>
      <c r="M466" s="11"/>
      <c r="N466" s="11"/>
      <c r="O466" s="11"/>
      <c r="P466" s="11"/>
      <c r="Q466" s="11"/>
      <c r="R466" s="11"/>
    </row>
    <row r="467" spans="1:18">
      <c r="A467" s="11"/>
      <c r="B467" s="11"/>
      <c r="C467" s="11"/>
      <c r="D467" s="11"/>
      <c r="E467" s="11"/>
      <c r="F467" s="11"/>
      <c r="G467" s="11"/>
      <c r="H467" s="11"/>
      <c r="I467" s="11"/>
      <c r="J467" s="11"/>
      <c r="K467" s="11"/>
      <c r="L467" s="11"/>
      <c r="M467" s="11"/>
      <c r="N467" s="11"/>
      <c r="O467" s="11"/>
      <c r="P467" s="11"/>
      <c r="Q467" s="11"/>
      <c r="R467" s="11"/>
    </row>
    <row r="468" spans="1:18">
      <c r="A468" s="11"/>
      <c r="B468" s="11"/>
      <c r="C468" s="11"/>
      <c r="D468" s="11"/>
      <c r="E468" s="11"/>
      <c r="F468" s="11"/>
      <c r="G468" s="11"/>
      <c r="H468" s="11"/>
      <c r="I468" s="11"/>
      <c r="J468" s="11"/>
      <c r="K468" s="11"/>
      <c r="L468" s="11"/>
      <c r="M468" s="11"/>
      <c r="N468" s="11"/>
      <c r="O468" s="11"/>
      <c r="P468" s="11"/>
      <c r="Q468" s="11"/>
      <c r="R468" s="11"/>
    </row>
    <row r="469" spans="1:18">
      <c r="A469" s="11"/>
      <c r="B469" s="11"/>
      <c r="C469" s="11"/>
      <c r="D469" s="11"/>
      <c r="E469" s="11"/>
      <c r="F469" s="11"/>
      <c r="G469" s="11"/>
      <c r="H469" s="11"/>
      <c r="I469" s="11"/>
      <c r="J469" s="11"/>
      <c r="K469" s="11"/>
      <c r="L469" s="11"/>
      <c r="M469" s="11"/>
      <c r="N469" s="11"/>
      <c r="O469" s="11"/>
      <c r="P469" s="11"/>
      <c r="Q469" s="11"/>
      <c r="R469" s="11"/>
    </row>
    <row r="470" spans="1:18">
      <c r="A470" s="11"/>
      <c r="B470" s="11"/>
      <c r="C470" s="11"/>
      <c r="D470" s="11"/>
      <c r="E470" s="11"/>
      <c r="F470" s="11"/>
      <c r="G470" s="11"/>
      <c r="H470" s="11"/>
      <c r="I470" s="11"/>
      <c r="J470" s="11"/>
      <c r="K470" s="11"/>
      <c r="L470" s="11"/>
      <c r="M470" s="11"/>
      <c r="N470" s="11"/>
      <c r="O470" s="11"/>
      <c r="P470" s="11"/>
      <c r="Q470" s="11"/>
      <c r="R470" s="11"/>
    </row>
    <row r="471" spans="1:18">
      <c r="A471" s="11"/>
      <c r="B471" s="11"/>
      <c r="C471" s="11"/>
      <c r="D471" s="11"/>
      <c r="E471" s="11"/>
      <c r="F471" s="11"/>
      <c r="G471" s="11"/>
      <c r="H471" s="11"/>
      <c r="I471" s="11"/>
      <c r="J471" s="11"/>
      <c r="K471" s="11"/>
      <c r="L471" s="11"/>
      <c r="M471" s="11"/>
      <c r="N471" s="11"/>
      <c r="O471" s="11"/>
      <c r="P471" s="11"/>
      <c r="Q471" s="11"/>
      <c r="R471" s="11"/>
    </row>
    <row r="472" spans="1:18">
      <c r="A472" s="11"/>
      <c r="B472" s="11"/>
      <c r="C472" s="11"/>
      <c r="D472" s="11"/>
      <c r="E472" s="11"/>
      <c r="F472" s="11"/>
      <c r="G472" s="11"/>
      <c r="H472" s="11"/>
      <c r="I472" s="11"/>
      <c r="J472" s="11"/>
      <c r="K472" s="11"/>
      <c r="L472" s="11"/>
      <c r="M472" s="11"/>
      <c r="N472" s="11"/>
      <c r="O472" s="11"/>
      <c r="P472" s="11"/>
      <c r="Q472" s="11"/>
      <c r="R472" s="11"/>
    </row>
    <row r="473" spans="1:18">
      <c r="A473" s="11"/>
      <c r="B473" s="11"/>
      <c r="C473" s="11"/>
      <c r="D473" s="11"/>
      <c r="E473" s="11"/>
      <c r="F473" s="11"/>
      <c r="G473" s="11"/>
      <c r="H473" s="11"/>
      <c r="I473" s="11"/>
      <c r="J473" s="11"/>
      <c r="K473" s="11"/>
      <c r="L473" s="11"/>
      <c r="M473" s="11"/>
      <c r="N473" s="11"/>
      <c r="O473" s="11"/>
      <c r="P473" s="11"/>
      <c r="Q473" s="11"/>
      <c r="R473" s="11"/>
    </row>
    <row r="474" spans="1:18">
      <c r="A474" s="11"/>
      <c r="B474" s="11"/>
      <c r="C474" s="11"/>
      <c r="D474" s="11"/>
      <c r="E474" s="11"/>
      <c r="F474" s="11"/>
      <c r="G474" s="11"/>
      <c r="H474" s="11"/>
      <c r="I474" s="11"/>
      <c r="J474" s="11"/>
      <c r="K474" s="11"/>
      <c r="L474" s="11"/>
      <c r="M474" s="11"/>
      <c r="N474" s="11"/>
      <c r="O474" s="11"/>
      <c r="P474" s="11"/>
      <c r="Q474" s="11"/>
      <c r="R474" s="11"/>
    </row>
    <row r="475" spans="1:18">
      <c r="A475" s="11"/>
      <c r="B475" s="11"/>
      <c r="C475" s="11"/>
      <c r="D475" s="11"/>
      <c r="E475" s="11"/>
      <c r="F475" s="11"/>
      <c r="G475" s="11"/>
      <c r="H475" s="11"/>
      <c r="I475" s="11"/>
      <c r="J475" s="11"/>
      <c r="K475" s="11"/>
      <c r="L475" s="11"/>
      <c r="M475" s="11"/>
      <c r="N475" s="11"/>
      <c r="O475" s="11"/>
      <c r="P475" s="11"/>
      <c r="Q475" s="11"/>
      <c r="R475" s="11"/>
    </row>
    <row r="476" spans="1:18">
      <c r="A476" s="11"/>
      <c r="B476" s="11"/>
      <c r="C476" s="11"/>
      <c r="D476" s="11"/>
      <c r="E476" s="11"/>
      <c r="F476" s="11"/>
      <c r="G476" s="11"/>
      <c r="H476" s="11"/>
      <c r="I476" s="11"/>
      <c r="J476" s="11"/>
      <c r="K476" s="11"/>
      <c r="L476" s="11"/>
      <c r="M476" s="11"/>
      <c r="N476" s="11"/>
      <c r="O476" s="11"/>
      <c r="P476" s="11"/>
      <c r="Q476" s="11"/>
      <c r="R476" s="11"/>
    </row>
    <row r="477" spans="1:18">
      <c r="A477" s="11"/>
      <c r="B477" s="11"/>
      <c r="C477" s="11"/>
      <c r="D477" s="11"/>
      <c r="E477" s="11"/>
      <c r="F477" s="11"/>
      <c r="G477" s="11"/>
      <c r="H477" s="11"/>
      <c r="I477" s="11"/>
      <c r="J477" s="11"/>
      <c r="K477" s="11"/>
      <c r="L477" s="11"/>
      <c r="M477" s="11"/>
      <c r="N477" s="11"/>
      <c r="O477" s="11"/>
      <c r="P477" s="11"/>
      <c r="Q477" s="11"/>
      <c r="R477" s="11"/>
    </row>
    <row r="478" spans="1:18">
      <c r="A478" s="11"/>
      <c r="B478" s="11"/>
      <c r="C478" s="11"/>
      <c r="D478" s="11"/>
      <c r="E478" s="11"/>
      <c r="F478" s="11"/>
      <c r="G478" s="11"/>
      <c r="H478" s="11"/>
      <c r="I478" s="11"/>
      <c r="J478" s="11"/>
      <c r="K478" s="11"/>
      <c r="L478" s="11"/>
      <c r="M478" s="11"/>
      <c r="N478" s="11"/>
      <c r="O478" s="11"/>
      <c r="P478" s="11"/>
      <c r="Q478" s="11"/>
      <c r="R478" s="11"/>
    </row>
    <row r="479" spans="1:18">
      <c r="A479" s="11"/>
      <c r="B479" s="11"/>
      <c r="C479" s="11"/>
      <c r="D479" s="11"/>
      <c r="E479" s="11"/>
      <c r="F479" s="11"/>
      <c r="G479" s="11"/>
      <c r="H479" s="11"/>
      <c r="I479" s="11"/>
      <c r="J479" s="11"/>
      <c r="K479" s="11"/>
      <c r="L479" s="11"/>
      <c r="M479" s="11"/>
      <c r="N479" s="11"/>
      <c r="O479" s="11"/>
      <c r="P479" s="11"/>
      <c r="Q479" s="11"/>
      <c r="R479" s="11"/>
    </row>
    <row r="480" spans="1:18">
      <c r="A480" s="11"/>
      <c r="B480" s="11"/>
      <c r="C480" s="11"/>
      <c r="D480" s="11"/>
      <c r="E480" s="11"/>
      <c r="F480" s="11"/>
      <c r="G480" s="11"/>
      <c r="H480" s="11"/>
      <c r="I480" s="11"/>
      <c r="J480" s="11"/>
      <c r="K480" s="11"/>
      <c r="L480" s="11"/>
      <c r="M480" s="11"/>
      <c r="N480" s="11"/>
      <c r="O480" s="11"/>
      <c r="P480" s="11"/>
      <c r="Q480" s="11"/>
      <c r="R480" s="11"/>
    </row>
    <row r="481" spans="1:18">
      <c r="A481" s="11"/>
      <c r="B481" s="11"/>
      <c r="C481" s="11"/>
      <c r="D481" s="11"/>
      <c r="E481" s="11"/>
      <c r="F481" s="11"/>
      <c r="G481" s="11"/>
      <c r="H481" s="11"/>
      <c r="I481" s="11"/>
      <c r="J481" s="11"/>
      <c r="K481" s="11"/>
      <c r="L481" s="11"/>
      <c r="M481" s="11"/>
      <c r="N481" s="11"/>
      <c r="O481" s="11"/>
      <c r="P481" s="11"/>
      <c r="Q481" s="11"/>
      <c r="R481" s="11"/>
    </row>
    <row r="482" spans="1:18">
      <c r="A482" s="11"/>
      <c r="B482" s="11"/>
      <c r="C482" s="11"/>
      <c r="D482" s="11"/>
      <c r="E482" s="11"/>
      <c r="F482" s="11"/>
      <c r="G482" s="11"/>
      <c r="H482" s="11"/>
      <c r="I482" s="11"/>
      <c r="J482" s="11"/>
      <c r="K482" s="11"/>
      <c r="L482" s="11"/>
      <c r="M482" s="11"/>
      <c r="N482" s="11"/>
      <c r="O482" s="11"/>
      <c r="P482" s="11"/>
      <c r="Q482" s="11"/>
      <c r="R482" s="11"/>
    </row>
    <row r="483" spans="1:18">
      <c r="A483" s="11"/>
      <c r="B483" s="11"/>
      <c r="C483" s="11"/>
      <c r="D483" s="11"/>
      <c r="E483" s="11"/>
      <c r="F483" s="11"/>
      <c r="G483" s="11"/>
      <c r="H483" s="11"/>
      <c r="I483" s="11"/>
      <c r="J483" s="11"/>
      <c r="K483" s="11"/>
      <c r="L483" s="11"/>
      <c r="M483" s="11"/>
      <c r="N483" s="11"/>
      <c r="O483" s="11"/>
      <c r="P483" s="11"/>
      <c r="Q483" s="11"/>
      <c r="R483" s="11"/>
    </row>
    <row r="484" spans="1:18">
      <c r="A484" s="11"/>
      <c r="B484" s="11"/>
      <c r="C484" s="11"/>
      <c r="D484" s="11"/>
      <c r="E484" s="11"/>
      <c r="F484" s="11"/>
      <c r="G484" s="11"/>
      <c r="H484" s="11"/>
      <c r="I484" s="11"/>
      <c r="J484" s="11"/>
      <c r="K484" s="11"/>
      <c r="L484" s="11"/>
      <c r="M484" s="11"/>
      <c r="N484" s="11"/>
      <c r="O484" s="11"/>
      <c r="P484" s="11"/>
      <c r="Q484" s="11"/>
      <c r="R484" s="11"/>
    </row>
    <row r="485" spans="1:18">
      <c r="A485" s="11"/>
      <c r="B485" s="11"/>
      <c r="C485" s="11"/>
      <c r="D485" s="11"/>
      <c r="E485" s="11"/>
      <c r="F485" s="11"/>
      <c r="G485" s="11"/>
      <c r="H485" s="11"/>
      <c r="I485" s="11"/>
      <c r="J485" s="11"/>
      <c r="K485" s="11"/>
      <c r="L485" s="11"/>
      <c r="M485" s="11"/>
      <c r="N485" s="11"/>
      <c r="O485" s="11"/>
      <c r="P485" s="11"/>
      <c r="Q485" s="11"/>
      <c r="R485" s="11"/>
    </row>
    <row r="486" spans="1:18">
      <c r="A486" s="11"/>
      <c r="B486" s="11"/>
      <c r="C486" s="11"/>
      <c r="D486" s="11"/>
      <c r="E486" s="11"/>
      <c r="F486" s="11"/>
      <c r="G486" s="11"/>
      <c r="H486" s="11"/>
      <c r="I486" s="11"/>
      <c r="J486" s="11"/>
      <c r="K486" s="11"/>
      <c r="L486" s="11"/>
      <c r="M486" s="11"/>
      <c r="N486" s="11"/>
      <c r="O486" s="11"/>
      <c r="P486" s="11"/>
      <c r="Q486" s="11"/>
      <c r="R486" s="11"/>
    </row>
    <row r="487" spans="1:18">
      <c r="A487" s="11"/>
      <c r="B487" s="11"/>
      <c r="C487" s="11"/>
      <c r="D487" s="11"/>
      <c r="E487" s="11"/>
      <c r="F487" s="11"/>
      <c r="G487" s="11"/>
      <c r="H487" s="11"/>
      <c r="I487" s="11"/>
      <c r="J487" s="11"/>
      <c r="K487" s="11"/>
      <c r="L487" s="11"/>
      <c r="M487" s="11"/>
      <c r="N487" s="11"/>
      <c r="O487" s="11"/>
      <c r="P487" s="11"/>
      <c r="Q487" s="11"/>
      <c r="R487" s="11"/>
    </row>
    <row r="488" spans="1:18">
      <c r="A488" s="11"/>
      <c r="B488" s="11"/>
      <c r="C488" s="11"/>
      <c r="D488" s="11"/>
      <c r="E488" s="11"/>
      <c r="F488" s="11"/>
      <c r="G488" s="11"/>
      <c r="H488" s="11"/>
      <c r="I488" s="11"/>
      <c r="J488" s="11"/>
      <c r="K488" s="11"/>
      <c r="L488" s="11"/>
      <c r="M488" s="11"/>
      <c r="N488" s="11"/>
      <c r="O488" s="11"/>
      <c r="P488" s="11"/>
      <c r="Q488" s="11"/>
      <c r="R488" s="11"/>
    </row>
    <row r="489" spans="1:18">
      <c r="A489" s="11"/>
      <c r="B489" s="11"/>
      <c r="C489" s="11"/>
      <c r="D489" s="11"/>
      <c r="E489" s="11"/>
      <c r="F489" s="11"/>
      <c r="G489" s="11"/>
      <c r="H489" s="11"/>
      <c r="I489" s="11"/>
      <c r="J489" s="11"/>
      <c r="K489" s="11"/>
      <c r="L489" s="11"/>
      <c r="M489" s="11"/>
      <c r="N489" s="11"/>
      <c r="O489" s="11"/>
      <c r="P489" s="11"/>
      <c r="Q489" s="11"/>
      <c r="R489" s="11"/>
    </row>
    <row r="490" spans="1:18">
      <c r="A490" s="11"/>
      <c r="B490" s="11"/>
      <c r="C490" s="11"/>
      <c r="D490" s="11"/>
      <c r="E490" s="11"/>
      <c r="F490" s="11"/>
      <c r="G490" s="11"/>
      <c r="H490" s="11"/>
      <c r="I490" s="11"/>
      <c r="J490" s="11"/>
      <c r="K490" s="11"/>
      <c r="L490" s="11"/>
      <c r="M490" s="11"/>
      <c r="N490" s="11"/>
      <c r="O490" s="11"/>
      <c r="P490" s="11"/>
      <c r="Q490" s="11"/>
      <c r="R490" s="11"/>
    </row>
    <row r="491" spans="1:18">
      <c r="A491" s="11"/>
      <c r="B491" s="11"/>
      <c r="C491" s="11"/>
      <c r="D491" s="11"/>
      <c r="E491" s="11"/>
      <c r="F491" s="11"/>
      <c r="G491" s="11"/>
      <c r="H491" s="11"/>
      <c r="I491" s="11"/>
      <c r="J491" s="11"/>
      <c r="K491" s="11"/>
      <c r="L491" s="11"/>
      <c r="M491" s="11"/>
      <c r="N491" s="11"/>
      <c r="O491" s="11"/>
      <c r="P491" s="11"/>
      <c r="Q491" s="11"/>
      <c r="R491" s="11"/>
    </row>
    <row r="492" spans="1:18">
      <c r="A492" s="11"/>
      <c r="B492" s="11"/>
      <c r="C492" s="11"/>
      <c r="D492" s="11"/>
      <c r="E492" s="11"/>
      <c r="F492" s="11"/>
      <c r="G492" s="11"/>
      <c r="H492" s="11"/>
      <c r="I492" s="11"/>
      <c r="J492" s="11"/>
      <c r="K492" s="11"/>
      <c r="L492" s="11"/>
      <c r="M492" s="11"/>
      <c r="N492" s="11"/>
      <c r="O492" s="11"/>
      <c r="P492" s="11"/>
      <c r="Q492" s="11"/>
      <c r="R492" s="11"/>
    </row>
    <row r="493" spans="1:18">
      <c r="A493" s="11"/>
      <c r="B493" s="11"/>
      <c r="C493" s="11"/>
      <c r="D493" s="11"/>
      <c r="E493" s="11"/>
      <c r="F493" s="11"/>
      <c r="G493" s="11"/>
      <c r="H493" s="11"/>
      <c r="I493" s="11"/>
      <c r="J493" s="11"/>
      <c r="K493" s="11"/>
      <c r="L493" s="11"/>
      <c r="M493" s="11"/>
      <c r="N493" s="11"/>
      <c r="O493" s="11"/>
      <c r="P493" s="11"/>
      <c r="Q493" s="11"/>
      <c r="R493" s="11"/>
    </row>
    <row r="494" spans="1:18">
      <c r="A494" s="11"/>
      <c r="B494" s="11"/>
      <c r="C494" s="11"/>
      <c r="D494" s="11"/>
      <c r="E494" s="11"/>
      <c r="F494" s="11"/>
      <c r="G494" s="11"/>
      <c r="H494" s="11"/>
      <c r="I494" s="11"/>
      <c r="J494" s="11"/>
      <c r="K494" s="11"/>
      <c r="L494" s="11"/>
      <c r="M494" s="11"/>
      <c r="N494" s="11"/>
      <c r="O494" s="11"/>
      <c r="P494" s="11"/>
      <c r="Q494" s="11"/>
      <c r="R494" s="11"/>
    </row>
    <row r="495" spans="1:18">
      <c r="A495" s="11"/>
      <c r="B495" s="11"/>
      <c r="C495" s="11"/>
      <c r="D495" s="11"/>
      <c r="E495" s="11"/>
      <c r="F495" s="11"/>
      <c r="G495" s="11"/>
      <c r="H495" s="11"/>
      <c r="I495" s="11"/>
      <c r="J495" s="11"/>
      <c r="K495" s="11"/>
      <c r="L495" s="11"/>
      <c r="M495" s="11"/>
      <c r="N495" s="11"/>
      <c r="O495" s="11"/>
      <c r="P495" s="11"/>
      <c r="Q495" s="11"/>
      <c r="R495" s="11"/>
    </row>
    <row r="496" spans="1:18">
      <c r="A496" s="11"/>
      <c r="B496" s="11"/>
      <c r="C496" s="11"/>
      <c r="D496" s="11"/>
      <c r="E496" s="11"/>
      <c r="F496" s="11"/>
      <c r="G496" s="11"/>
      <c r="H496" s="11"/>
      <c r="I496" s="11"/>
      <c r="J496" s="11"/>
      <c r="K496" s="11"/>
      <c r="L496" s="11"/>
      <c r="M496" s="11"/>
      <c r="N496" s="11"/>
      <c r="O496" s="11"/>
      <c r="P496" s="11"/>
      <c r="Q496" s="11"/>
      <c r="R496" s="11"/>
    </row>
    <row r="497" spans="1:18">
      <c r="A497" s="11"/>
      <c r="B497" s="11"/>
      <c r="C497" s="11"/>
      <c r="D497" s="11"/>
      <c r="E497" s="11"/>
      <c r="F497" s="11"/>
      <c r="G497" s="11"/>
      <c r="H497" s="11"/>
      <c r="I497" s="11"/>
      <c r="J497" s="11"/>
      <c r="K497" s="11"/>
      <c r="L497" s="11"/>
      <c r="M497" s="11"/>
      <c r="N497" s="11"/>
      <c r="O497" s="11"/>
      <c r="P497" s="11"/>
      <c r="Q497" s="11"/>
      <c r="R497" s="11"/>
    </row>
    <row r="498" spans="1:18">
      <c r="A498" s="11"/>
      <c r="B498" s="11"/>
      <c r="C498" s="11"/>
      <c r="D498" s="11"/>
      <c r="E498" s="11"/>
      <c r="F498" s="11"/>
      <c r="G498" s="11"/>
      <c r="H498" s="11"/>
      <c r="I498" s="11"/>
      <c r="J498" s="11"/>
      <c r="K498" s="11"/>
      <c r="L498" s="11"/>
      <c r="M498" s="11"/>
      <c r="N498" s="11"/>
      <c r="O498" s="11"/>
      <c r="P498" s="11"/>
      <c r="Q498" s="11"/>
      <c r="R498" s="11"/>
    </row>
    <row r="499" spans="1:18">
      <c r="A499" s="11"/>
      <c r="B499" s="11"/>
      <c r="C499" s="11"/>
      <c r="D499" s="11"/>
      <c r="E499" s="11"/>
      <c r="F499" s="11"/>
      <c r="G499" s="11"/>
      <c r="H499" s="11"/>
      <c r="I499" s="11"/>
      <c r="J499" s="11"/>
      <c r="K499" s="11"/>
      <c r="L499" s="11"/>
      <c r="M499" s="11"/>
      <c r="N499" s="11"/>
      <c r="O499" s="11"/>
      <c r="P499" s="11"/>
      <c r="Q499" s="11"/>
      <c r="R499" s="11"/>
    </row>
    <row r="500" spans="1:18">
      <c r="A500" s="11"/>
      <c r="B500" s="11"/>
      <c r="C500" s="11"/>
      <c r="D500" s="11"/>
      <c r="E500" s="11"/>
      <c r="F500" s="11"/>
      <c r="G500" s="11"/>
      <c r="H500" s="11"/>
      <c r="I500" s="11"/>
      <c r="J500" s="11"/>
      <c r="K500" s="11"/>
      <c r="L500" s="11"/>
      <c r="M500" s="11"/>
      <c r="N500" s="11"/>
      <c r="O500" s="11"/>
      <c r="P500" s="11"/>
      <c r="Q500" s="11"/>
      <c r="R500" s="11"/>
    </row>
    <row r="501" spans="1:18">
      <c r="A501" s="11"/>
      <c r="B501" s="11"/>
      <c r="C501" s="11"/>
      <c r="D501" s="11"/>
      <c r="E501" s="11"/>
      <c r="F501" s="11"/>
      <c r="G501" s="11"/>
      <c r="H501" s="11"/>
      <c r="I501" s="11"/>
      <c r="J501" s="11"/>
      <c r="K501" s="11"/>
      <c r="L501" s="11"/>
      <c r="M501" s="11"/>
      <c r="N501" s="11"/>
      <c r="O501" s="11"/>
      <c r="P501" s="11"/>
      <c r="Q501" s="11"/>
      <c r="R501" s="11"/>
    </row>
    <row r="502" spans="1:18">
      <c r="A502" s="11"/>
      <c r="B502" s="11"/>
      <c r="C502" s="11"/>
      <c r="D502" s="11"/>
      <c r="E502" s="11"/>
      <c r="F502" s="11"/>
      <c r="G502" s="11"/>
      <c r="H502" s="11"/>
      <c r="I502" s="11"/>
      <c r="J502" s="11"/>
      <c r="K502" s="11"/>
      <c r="L502" s="11"/>
      <c r="M502" s="11"/>
      <c r="N502" s="11"/>
      <c r="O502" s="11"/>
      <c r="P502" s="11"/>
      <c r="Q502" s="11"/>
      <c r="R502" s="11"/>
    </row>
    <row r="503" spans="1:18">
      <c r="A503" s="11"/>
      <c r="B503" s="11"/>
      <c r="C503" s="11"/>
      <c r="D503" s="11"/>
      <c r="E503" s="11"/>
      <c r="F503" s="11"/>
      <c r="G503" s="11"/>
      <c r="H503" s="11"/>
      <c r="I503" s="11"/>
      <c r="J503" s="11"/>
      <c r="K503" s="11"/>
      <c r="L503" s="11"/>
      <c r="M503" s="11"/>
      <c r="N503" s="11"/>
      <c r="O503" s="11"/>
      <c r="P503" s="11"/>
      <c r="Q503" s="11"/>
      <c r="R503" s="11"/>
    </row>
    <row r="504" spans="1:18">
      <c r="A504" s="11"/>
      <c r="B504" s="11"/>
      <c r="C504" s="11"/>
      <c r="D504" s="11"/>
      <c r="E504" s="11"/>
      <c r="F504" s="11"/>
      <c r="G504" s="11"/>
      <c r="H504" s="11"/>
      <c r="I504" s="11"/>
      <c r="J504" s="11"/>
      <c r="K504" s="11"/>
      <c r="L504" s="11"/>
      <c r="M504" s="11"/>
      <c r="N504" s="11"/>
      <c r="O504" s="11"/>
      <c r="P504" s="11"/>
      <c r="Q504" s="11"/>
      <c r="R504" s="11"/>
    </row>
    <row r="505" spans="1:18">
      <c r="A505" s="11"/>
      <c r="B505" s="11"/>
      <c r="C505" s="11"/>
      <c r="D505" s="11"/>
      <c r="E505" s="11"/>
      <c r="F505" s="11"/>
      <c r="G505" s="11"/>
      <c r="H505" s="11"/>
      <c r="I505" s="11"/>
      <c r="J505" s="11"/>
      <c r="K505" s="11"/>
      <c r="L505" s="11"/>
      <c r="M505" s="11"/>
      <c r="N505" s="11"/>
      <c r="O505" s="11"/>
      <c r="P505" s="11"/>
      <c r="Q505" s="11"/>
      <c r="R505" s="11"/>
    </row>
  </sheetData>
  <autoFilter ref="A4:R505" xr:uid="{00000000-0009-0000-0000-000021000000}"/>
  <mergeCells count="2">
    <mergeCell ref="A2:R2"/>
    <mergeCell ref="A1:R1"/>
  </mergeCells>
  <dataValidations count="2">
    <dataValidation type="list" allowBlank="1" showInputMessage="1" showErrorMessage="1" errorTitle="Valeur non reconnue" error="Choisir une valeur du référentiel." promptTitle="Saisie ToTAL" prompt="Sélectionner une valeur contrôlée." sqref="M6:M505" xr:uid="{00000000-0002-0000-2100-000000000000}">
      <formula1>Liste_01</formula1>
    </dataValidation>
    <dataValidation type="list" allowBlank="1" showInputMessage="1" showErrorMessage="1" errorTitle="Valeur non reconnue" error="Choisir une valeur du référentiel." promptTitle="Saisie ToTAL" prompt="Sélectionner une valeur contrôlée." sqref="P6:P505" xr:uid="{00000000-0002-0000-2100-000001000000}">
      <formula1>Liste_09</formula1>
    </dataValidation>
  </dataValidation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V505"/>
  <sheetViews>
    <sheetView showGridLines="0" workbookViewId="0">
      <pane ySplit="4" topLeftCell="A5" activePane="bottomLeft" state="frozen"/>
      <selection pane="bottomLeft"/>
    </sheetView>
  </sheetViews>
  <sheetFormatPr defaultRowHeight="15"/>
  <cols>
    <col min="1" max="1" width="12" customWidth="1"/>
    <col min="2" max="2" width="28" customWidth="1"/>
    <col min="3" max="3" width="25" customWidth="1"/>
    <col min="4" max="4" width="30" customWidth="1"/>
    <col min="5" max="6" width="26" customWidth="1"/>
    <col min="7" max="7" width="24" customWidth="1"/>
    <col min="8" max="8" width="18" customWidth="1"/>
    <col min="9" max="9" width="22" customWidth="1"/>
    <col min="10" max="10" width="24" customWidth="1"/>
    <col min="11" max="11" width="26" customWidth="1"/>
    <col min="12" max="12" width="16" customWidth="1"/>
    <col min="13" max="13" width="22" customWidth="1"/>
    <col min="14" max="15" width="18" customWidth="1"/>
    <col min="16" max="16" width="26" customWidth="1"/>
    <col min="17" max="17" width="20" customWidth="1"/>
    <col min="18" max="18" width="24" customWidth="1"/>
    <col min="19" max="19" width="20" customWidth="1"/>
    <col min="20" max="20" width="28" customWidth="1"/>
    <col min="21" max="21" width="16" customWidth="1"/>
    <col min="22" max="22" width="26" customWidth="1"/>
  </cols>
  <sheetData>
    <row r="1" spans="1:22" ht="26.1" customHeight="1">
      <c r="A1" s="52" t="s">
        <v>4360</v>
      </c>
      <c r="B1" s="30"/>
      <c r="C1" s="30"/>
      <c r="D1" s="30"/>
      <c r="E1" s="30"/>
      <c r="F1" s="30"/>
      <c r="G1" s="30"/>
      <c r="H1" s="30"/>
      <c r="I1" s="30"/>
      <c r="J1" s="30"/>
      <c r="K1" s="30"/>
      <c r="L1" s="30"/>
      <c r="M1" s="30"/>
      <c r="N1" s="30"/>
      <c r="O1" s="30"/>
      <c r="P1" s="30"/>
      <c r="Q1" s="30"/>
      <c r="R1" s="30"/>
      <c r="S1" s="30"/>
      <c r="T1" s="30"/>
      <c r="U1" s="30"/>
      <c r="V1" s="30"/>
    </row>
    <row r="2" spans="1:22" ht="35.1" customHeight="1">
      <c r="A2" s="28" t="s">
        <v>4434</v>
      </c>
      <c r="B2" s="30"/>
      <c r="C2" s="30"/>
      <c r="D2" s="30"/>
      <c r="E2" s="30"/>
      <c r="F2" s="30"/>
      <c r="G2" s="30"/>
      <c r="H2" s="30"/>
      <c r="I2" s="30"/>
      <c r="J2" s="30"/>
      <c r="K2" s="30"/>
      <c r="L2" s="30"/>
      <c r="M2" s="30"/>
      <c r="N2" s="30"/>
      <c r="O2" s="30"/>
      <c r="P2" s="30"/>
      <c r="Q2" s="30"/>
      <c r="R2" s="30"/>
      <c r="S2" s="30"/>
      <c r="T2" s="30"/>
      <c r="U2" s="30"/>
      <c r="V2" s="30"/>
    </row>
    <row r="4" spans="1:22">
      <c r="A4" s="58" t="s">
        <v>188</v>
      </c>
      <c r="B4" s="58" t="s">
        <v>3090</v>
      </c>
      <c r="C4" s="58" t="s">
        <v>4435</v>
      </c>
      <c r="D4" s="58" t="s">
        <v>4436</v>
      </c>
      <c r="E4" s="58" t="s">
        <v>4437</v>
      </c>
      <c r="F4" s="58" t="s">
        <v>4438</v>
      </c>
      <c r="G4" s="58" t="s">
        <v>4439</v>
      </c>
      <c r="H4" s="58" t="s">
        <v>4440</v>
      </c>
      <c r="I4" s="58" t="s">
        <v>4441</v>
      </c>
      <c r="J4" s="58" t="s">
        <v>4442</v>
      </c>
      <c r="K4" s="58" t="s">
        <v>4443</v>
      </c>
      <c r="L4" s="58" t="s">
        <v>4444</v>
      </c>
      <c r="M4" s="58" t="s">
        <v>4445</v>
      </c>
      <c r="N4" s="58" t="s">
        <v>4446</v>
      </c>
      <c r="O4" s="58" t="s">
        <v>4447</v>
      </c>
      <c r="P4" s="58" t="s">
        <v>4448</v>
      </c>
      <c r="Q4" s="58" t="s">
        <v>4449</v>
      </c>
      <c r="R4" s="58" t="s">
        <v>4450</v>
      </c>
      <c r="S4" s="58" t="s">
        <v>4451</v>
      </c>
      <c r="T4" s="58" t="s">
        <v>4452</v>
      </c>
      <c r="U4" s="58" t="s">
        <v>4453</v>
      </c>
      <c r="V4" s="58" t="s">
        <v>130</v>
      </c>
    </row>
    <row r="5" spans="1:22" ht="62.1" customHeight="1">
      <c r="A5" s="8" t="s">
        <v>4416</v>
      </c>
      <c r="B5" s="8" t="s">
        <v>4454</v>
      </c>
      <c r="C5" s="8" t="s">
        <v>4455</v>
      </c>
      <c r="D5" s="8" t="s">
        <v>4456</v>
      </c>
      <c r="E5" s="8" t="s">
        <v>4457</v>
      </c>
      <c r="F5" s="8" t="s">
        <v>4458</v>
      </c>
      <c r="G5" s="8" t="s">
        <v>4459</v>
      </c>
      <c r="H5" s="8" t="s">
        <v>4460</v>
      </c>
      <c r="I5" s="8" t="s">
        <v>4461</v>
      </c>
      <c r="J5" s="8" t="s">
        <v>4462</v>
      </c>
      <c r="K5" s="8" t="s">
        <v>4463</v>
      </c>
      <c r="L5" s="8" t="s">
        <v>4464</v>
      </c>
      <c r="M5" s="8" t="s">
        <v>4465</v>
      </c>
      <c r="N5" s="8" t="s">
        <v>4466</v>
      </c>
      <c r="O5" s="8" t="s">
        <v>4467</v>
      </c>
      <c r="P5" s="8" t="s">
        <v>4468</v>
      </c>
      <c r="Q5" s="8" t="s">
        <v>4469</v>
      </c>
      <c r="R5" s="8" t="s">
        <v>4470</v>
      </c>
      <c r="S5" s="8" t="s">
        <v>4471</v>
      </c>
      <c r="T5" s="8" t="s">
        <v>4472</v>
      </c>
      <c r="U5" s="8" t="s">
        <v>4473</v>
      </c>
      <c r="V5" s="8" t="s">
        <v>4474</v>
      </c>
    </row>
    <row r="6" spans="1:22">
      <c r="A6" s="11"/>
      <c r="B6" s="11"/>
      <c r="C6" s="11"/>
      <c r="D6" s="11"/>
      <c r="E6" s="11"/>
      <c r="F6" s="11"/>
      <c r="G6" s="11"/>
      <c r="H6" s="11"/>
      <c r="I6" s="11"/>
      <c r="J6" s="11"/>
      <c r="K6" s="11"/>
      <c r="L6" s="11"/>
      <c r="M6" s="11"/>
      <c r="N6" s="11"/>
      <c r="O6" s="11"/>
      <c r="P6" s="11"/>
      <c r="Q6" s="11"/>
      <c r="R6" s="11"/>
      <c r="S6" s="11"/>
      <c r="T6" s="11"/>
      <c r="U6" s="11"/>
      <c r="V6" s="11"/>
    </row>
    <row r="7" spans="1:22">
      <c r="A7" s="11"/>
      <c r="B7" s="11"/>
      <c r="C7" s="11"/>
      <c r="D7" s="11"/>
      <c r="E7" s="11"/>
      <c r="F7" s="11"/>
      <c r="G7" s="11"/>
      <c r="H7" s="11"/>
      <c r="I7" s="11"/>
      <c r="J7" s="11"/>
      <c r="K7" s="11"/>
      <c r="L7" s="11"/>
      <c r="M7" s="11"/>
      <c r="N7" s="11"/>
      <c r="O7" s="11"/>
      <c r="P7" s="11"/>
      <c r="Q7" s="11"/>
      <c r="R7" s="11"/>
      <c r="S7" s="11"/>
      <c r="T7" s="11"/>
      <c r="U7" s="11"/>
      <c r="V7" s="11"/>
    </row>
    <row r="8" spans="1:22">
      <c r="A8" s="11"/>
      <c r="B8" s="11"/>
      <c r="C8" s="11"/>
      <c r="D8" s="11"/>
      <c r="E8" s="11"/>
      <c r="F8" s="11"/>
      <c r="G8" s="11"/>
      <c r="H8" s="11"/>
      <c r="I8" s="11"/>
      <c r="J8" s="11"/>
      <c r="K8" s="11"/>
      <c r="L8" s="11"/>
      <c r="M8" s="11"/>
      <c r="N8" s="11"/>
      <c r="O8" s="11"/>
      <c r="P8" s="11"/>
      <c r="Q8" s="11"/>
      <c r="R8" s="11"/>
      <c r="S8" s="11"/>
      <c r="T8" s="11"/>
      <c r="U8" s="11"/>
      <c r="V8" s="11"/>
    </row>
    <row r="9" spans="1:22">
      <c r="A9" s="11"/>
      <c r="B9" s="11"/>
      <c r="C9" s="11"/>
      <c r="D9" s="11"/>
      <c r="E9" s="11"/>
      <c r="F9" s="11"/>
      <c r="G9" s="11"/>
      <c r="H9" s="11"/>
      <c r="I9" s="11"/>
      <c r="J9" s="11"/>
      <c r="K9" s="11"/>
      <c r="L9" s="11"/>
      <c r="M9" s="11"/>
      <c r="N9" s="11"/>
      <c r="O9" s="11"/>
      <c r="P9" s="11"/>
      <c r="Q9" s="11"/>
      <c r="R9" s="11"/>
      <c r="S9" s="11"/>
      <c r="T9" s="11"/>
      <c r="U9" s="11"/>
      <c r="V9" s="11"/>
    </row>
    <row r="10" spans="1:22">
      <c r="A10" s="11"/>
      <c r="B10" s="11"/>
      <c r="C10" s="11"/>
      <c r="D10" s="11"/>
      <c r="E10" s="11"/>
      <c r="F10" s="11"/>
      <c r="G10" s="11"/>
      <c r="H10" s="11"/>
      <c r="I10" s="11"/>
      <c r="J10" s="11"/>
      <c r="K10" s="11"/>
      <c r="L10" s="11"/>
      <c r="M10" s="11"/>
      <c r="N10" s="11"/>
      <c r="O10" s="11"/>
      <c r="P10" s="11"/>
      <c r="Q10" s="11"/>
      <c r="R10" s="11"/>
      <c r="S10" s="11"/>
      <c r="T10" s="11"/>
      <c r="U10" s="11"/>
      <c r="V10" s="11"/>
    </row>
    <row r="11" spans="1:22">
      <c r="A11" s="11"/>
      <c r="B11" s="11"/>
      <c r="C11" s="11"/>
      <c r="D11" s="11"/>
      <c r="E11" s="11"/>
      <c r="F11" s="11"/>
      <c r="G11" s="11"/>
      <c r="H11" s="11"/>
      <c r="I11" s="11"/>
      <c r="J11" s="11"/>
      <c r="K11" s="11"/>
      <c r="L11" s="11"/>
      <c r="M11" s="11"/>
      <c r="N11" s="11"/>
      <c r="O11" s="11"/>
      <c r="P11" s="11"/>
      <c r="Q11" s="11"/>
      <c r="R11" s="11"/>
      <c r="S11" s="11"/>
      <c r="T11" s="11"/>
      <c r="U11" s="11"/>
      <c r="V11" s="11"/>
    </row>
    <row r="12" spans="1:22">
      <c r="A12" s="11"/>
      <c r="B12" s="11"/>
      <c r="C12" s="11"/>
      <c r="D12" s="11"/>
      <c r="E12" s="11"/>
      <c r="F12" s="11"/>
      <c r="G12" s="11"/>
      <c r="H12" s="11"/>
      <c r="I12" s="11"/>
      <c r="J12" s="11"/>
      <c r="K12" s="11"/>
      <c r="L12" s="11"/>
      <c r="M12" s="11"/>
      <c r="N12" s="11"/>
      <c r="O12" s="11"/>
      <c r="P12" s="11"/>
      <c r="Q12" s="11"/>
      <c r="R12" s="11"/>
      <c r="S12" s="11"/>
      <c r="T12" s="11"/>
      <c r="U12" s="11"/>
      <c r="V12" s="11"/>
    </row>
    <row r="13" spans="1:22">
      <c r="A13" s="11"/>
      <c r="B13" s="11"/>
      <c r="C13" s="11"/>
      <c r="D13" s="11"/>
      <c r="E13" s="11"/>
      <c r="F13" s="11"/>
      <c r="G13" s="11"/>
      <c r="H13" s="11"/>
      <c r="I13" s="11"/>
      <c r="J13" s="11"/>
      <c r="K13" s="11"/>
      <c r="L13" s="11"/>
      <c r="M13" s="11"/>
      <c r="N13" s="11"/>
      <c r="O13" s="11"/>
      <c r="P13" s="11"/>
      <c r="Q13" s="11"/>
      <c r="R13" s="11"/>
      <c r="S13" s="11"/>
      <c r="T13" s="11"/>
      <c r="U13" s="11"/>
      <c r="V13" s="11"/>
    </row>
    <row r="14" spans="1:22">
      <c r="A14" s="11"/>
      <c r="B14" s="11"/>
      <c r="C14" s="11"/>
      <c r="D14" s="11"/>
      <c r="E14" s="11"/>
      <c r="F14" s="11"/>
      <c r="G14" s="11"/>
      <c r="H14" s="11"/>
      <c r="I14" s="11"/>
      <c r="J14" s="11"/>
      <c r="K14" s="11"/>
      <c r="L14" s="11"/>
      <c r="M14" s="11"/>
      <c r="N14" s="11"/>
      <c r="O14" s="11"/>
      <c r="P14" s="11"/>
      <c r="Q14" s="11"/>
      <c r="R14" s="11"/>
      <c r="S14" s="11"/>
      <c r="T14" s="11"/>
      <c r="U14" s="11"/>
      <c r="V14" s="11"/>
    </row>
    <row r="15" spans="1:22">
      <c r="A15" s="11"/>
      <c r="B15" s="11"/>
      <c r="C15" s="11"/>
      <c r="D15" s="11"/>
      <c r="E15" s="11"/>
      <c r="F15" s="11"/>
      <c r="G15" s="11"/>
      <c r="H15" s="11"/>
      <c r="I15" s="11"/>
      <c r="J15" s="11"/>
      <c r="K15" s="11"/>
      <c r="L15" s="11"/>
      <c r="M15" s="11"/>
      <c r="N15" s="11"/>
      <c r="O15" s="11"/>
      <c r="P15" s="11"/>
      <c r="Q15" s="11"/>
      <c r="R15" s="11"/>
      <c r="S15" s="11"/>
      <c r="T15" s="11"/>
      <c r="U15" s="11"/>
      <c r="V15" s="11"/>
    </row>
    <row r="16" spans="1:22">
      <c r="A16" s="11"/>
      <c r="B16" s="11"/>
      <c r="C16" s="11"/>
      <c r="D16" s="11"/>
      <c r="E16" s="11"/>
      <c r="F16" s="11"/>
      <c r="G16" s="11"/>
      <c r="H16" s="11"/>
      <c r="I16" s="11"/>
      <c r="J16" s="11"/>
      <c r="K16" s="11"/>
      <c r="L16" s="11"/>
      <c r="M16" s="11"/>
      <c r="N16" s="11"/>
      <c r="O16" s="11"/>
      <c r="P16" s="11"/>
      <c r="Q16" s="11"/>
      <c r="R16" s="11"/>
      <c r="S16" s="11"/>
      <c r="T16" s="11"/>
      <c r="U16" s="11"/>
      <c r="V16" s="11"/>
    </row>
    <row r="17" spans="1:22">
      <c r="A17" s="11"/>
      <c r="B17" s="11"/>
      <c r="C17" s="11"/>
      <c r="D17" s="11"/>
      <c r="E17" s="11"/>
      <c r="F17" s="11"/>
      <c r="G17" s="11"/>
      <c r="H17" s="11"/>
      <c r="I17" s="11"/>
      <c r="J17" s="11"/>
      <c r="K17" s="11"/>
      <c r="L17" s="11"/>
      <c r="M17" s="11"/>
      <c r="N17" s="11"/>
      <c r="O17" s="11"/>
      <c r="P17" s="11"/>
      <c r="Q17" s="11"/>
      <c r="R17" s="11"/>
      <c r="S17" s="11"/>
      <c r="T17" s="11"/>
      <c r="U17" s="11"/>
      <c r="V17" s="11"/>
    </row>
    <row r="18" spans="1:22">
      <c r="A18" s="11"/>
      <c r="B18" s="11"/>
      <c r="C18" s="11"/>
      <c r="D18" s="11"/>
      <c r="E18" s="11"/>
      <c r="F18" s="11"/>
      <c r="G18" s="11"/>
      <c r="H18" s="11"/>
      <c r="I18" s="11"/>
      <c r="J18" s="11"/>
      <c r="K18" s="11"/>
      <c r="L18" s="11"/>
      <c r="M18" s="11"/>
      <c r="N18" s="11"/>
      <c r="O18" s="11"/>
      <c r="P18" s="11"/>
      <c r="Q18" s="11"/>
      <c r="R18" s="11"/>
      <c r="S18" s="11"/>
      <c r="T18" s="11"/>
      <c r="U18" s="11"/>
      <c r="V18" s="11"/>
    </row>
    <row r="19" spans="1:22">
      <c r="A19" s="11"/>
      <c r="B19" s="11"/>
      <c r="C19" s="11"/>
      <c r="D19" s="11"/>
      <c r="E19" s="11"/>
      <c r="F19" s="11"/>
      <c r="G19" s="11"/>
      <c r="H19" s="11"/>
      <c r="I19" s="11"/>
      <c r="J19" s="11"/>
      <c r="K19" s="11"/>
      <c r="L19" s="11"/>
      <c r="M19" s="11"/>
      <c r="N19" s="11"/>
      <c r="O19" s="11"/>
      <c r="P19" s="11"/>
      <c r="Q19" s="11"/>
      <c r="R19" s="11"/>
      <c r="S19" s="11"/>
      <c r="T19" s="11"/>
      <c r="U19" s="11"/>
      <c r="V19" s="11"/>
    </row>
    <row r="20" spans="1:22">
      <c r="A20" s="11"/>
      <c r="B20" s="11"/>
      <c r="C20" s="11"/>
      <c r="D20" s="11"/>
      <c r="E20" s="11"/>
      <c r="F20" s="11"/>
      <c r="G20" s="11"/>
      <c r="H20" s="11"/>
      <c r="I20" s="11"/>
      <c r="J20" s="11"/>
      <c r="K20" s="11"/>
      <c r="L20" s="11"/>
      <c r="M20" s="11"/>
      <c r="N20" s="11"/>
      <c r="O20" s="11"/>
      <c r="P20" s="11"/>
      <c r="Q20" s="11"/>
      <c r="R20" s="11"/>
      <c r="S20" s="11"/>
      <c r="T20" s="11"/>
      <c r="U20" s="11"/>
      <c r="V20" s="11"/>
    </row>
    <row r="21" spans="1:22">
      <c r="A21" s="11"/>
      <c r="B21" s="11"/>
      <c r="C21" s="11"/>
      <c r="D21" s="11"/>
      <c r="E21" s="11"/>
      <c r="F21" s="11"/>
      <c r="G21" s="11"/>
      <c r="H21" s="11"/>
      <c r="I21" s="11"/>
      <c r="J21" s="11"/>
      <c r="K21" s="11"/>
      <c r="L21" s="11"/>
      <c r="M21" s="11"/>
      <c r="N21" s="11"/>
      <c r="O21" s="11"/>
      <c r="P21" s="11"/>
      <c r="Q21" s="11"/>
      <c r="R21" s="11"/>
      <c r="S21" s="11"/>
      <c r="T21" s="11"/>
      <c r="U21" s="11"/>
      <c r="V21" s="11"/>
    </row>
    <row r="22" spans="1:22">
      <c r="A22" s="11"/>
      <c r="B22" s="11"/>
      <c r="C22" s="11"/>
      <c r="D22" s="11"/>
      <c r="E22" s="11"/>
      <c r="F22" s="11"/>
      <c r="G22" s="11"/>
      <c r="H22" s="11"/>
      <c r="I22" s="11"/>
      <c r="J22" s="11"/>
      <c r="K22" s="11"/>
      <c r="L22" s="11"/>
      <c r="M22" s="11"/>
      <c r="N22" s="11"/>
      <c r="O22" s="11"/>
      <c r="P22" s="11"/>
      <c r="Q22" s="11"/>
      <c r="R22" s="11"/>
      <c r="S22" s="11"/>
      <c r="T22" s="11"/>
      <c r="U22" s="11"/>
      <c r="V22" s="11"/>
    </row>
    <row r="23" spans="1:22">
      <c r="A23" s="11"/>
      <c r="B23" s="11"/>
      <c r="C23" s="11"/>
      <c r="D23" s="11"/>
      <c r="E23" s="11"/>
      <c r="F23" s="11"/>
      <c r="G23" s="11"/>
      <c r="H23" s="11"/>
      <c r="I23" s="11"/>
      <c r="J23" s="11"/>
      <c r="K23" s="11"/>
      <c r="L23" s="11"/>
      <c r="M23" s="11"/>
      <c r="N23" s="11"/>
      <c r="O23" s="11"/>
      <c r="P23" s="11"/>
      <c r="Q23" s="11"/>
      <c r="R23" s="11"/>
      <c r="S23" s="11"/>
      <c r="T23" s="11"/>
      <c r="U23" s="11"/>
      <c r="V23" s="11"/>
    </row>
    <row r="24" spans="1:22">
      <c r="A24" s="11"/>
      <c r="B24" s="11"/>
      <c r="C24" s="11"/>
      <c r="D24" s="11"/>
      <c r="E24" s="11"/>
      <c r="F24" s="11"/>
      <c r="G24" s="11"/>
      <c r="H24" s="11"/>
      <c r="I24" s="11"/>
      <c r="J24" s="11"/>
      <c r="K24" s="11"/>
      <c r="L24" s="11"/>
      <c r="M24" s="11"/>
      <c r="N24" s="11"/>
      <c r="O24" s="11"/>
      <c r="P24" s="11"/>
      <c r="Q24" s="11"/>
      <c r="R24" s="11"/>
      <c r="S24" s="11"/>
      <c r="T24" s="11"/>
      <c r="U24" s="11"/>
      <c r="V24" s="11"/>
    </row>
    <row r="25" spans="1:22">
      <c r="A25" s="11"/>
      <c r="B25" s="11"/>
      <c r="C25" s="11"/>
      <c r="D25" s="11"/>
      <c r="E25" s="11"/>
      <c r="F25" s="11"/>
      <c r="G25" s="11"/>
      <c r="H25" s="11"/>
      <c r="I25" s="11"/>
      <c r="J25" s="11"/>
      <c r="K25" s="11"/>
      <c r="L25" s="11"/>
      <c r="M25" s="11"/>
      <c r="N25" s="11"/>
      <c r="O25" s="11"/>
      <c r="P25" s="11"/>
      <c r="Q25" s="11"/>
      <c r="R25" s="11"/>
      <c r="S25" s="11"/>
      <c r="T25" s="11"/>
      <c r="U25" s="11"/>
      <c r="V25" s="11"/>
    </row>
    <row r="26" spans="1:22">
      <c r="A26" s="11"/>
      <c r="B26" s="11"/>
      <c r="C26" s="11"/>
      <c r="D26" s="11"/>
      <c r="E26" s="11"/>
      <c r="F26" s="11"/>
      <c r="G26" s="11"/>
      <c r="H26" s="11"/>
      <c r="I26" s="11"/>
      <c r="J26" s="11"/>
      <c r="K26" s="11"/>
      <c r="L26" s="11"/>
      <c r="M26" s="11"/>
      <c r="N26" s="11"/>
      <c r="O26" s="11"/>
      <c r="P26" s="11"/>
      <c r="Q26" s="11"/>
      <c r="R26" s="11"/>
      <c r="S26" s="11"/>
      <c r="T26" s="11"/>
      <c r="U26" s="11"/>
      <c r="V26" s="11"/>
    </row>
    <row r="27" spans="1:22">
      <c r="A27" s="11"/>
      <c r="B27" s="11"/>
      <c r="C27" s="11"/>
      <c r="D27" s="11"/>
      <c r="E27" s="11"/>
      <c r="F27" s="11"/>
      <c r="G27" s="11"/>
      <c r="H27" s="11"/>
      <c r="I27" s="11"/>
      <c r="J27" s="11"/>
      <c r="K27" s="11"/>
      <c r="L27" s="11"/>
      <c r="M27" s="11"/>
      <c r="N27" s="11"/>
      <c r="O27" s="11"/>
      <c r="P27" s="11"/>
      <c r="Q27" s="11"/>
      <c r="R27" s="11"/>
      <c r="S27" s="11"/>
      <c r="T27" s="11"/>
      <c r="U27" s="11"/>
      <c r="V27" s="11"/>
    </row>
    <row r="28" spans="1:22">
      <c r="A28" s="11"/>
      <c r="B28" s="11"/>
      <c r="C28" s="11"/>
      <c r="D28" s="11"/>
      <c r="E28" s="11"/>
      <c r="F28" s="11"/>
      <c r="G28" s="11"/>
      <c r="H28" s="11"/>
      <c r="I28" s="11"/>
      <c r="J28" s="11"/>
      <c r="K28" s="11"/>
      <c r="L28" s="11"/>
      <c r="M28" s="11"/>
      <c r="N28" s="11"/>
      <c r="O28" s="11"/>
      <c r="P28" s="11"/>
      <c r="Q28" s="11"/>
      <c r="R28" s="11"/>
      <c r="S28" s="11"/>
      <c r="T28" s="11"/>
      <c r="U28" s="11"/>
      <c r="V28" s="11"/>
    </row>
    <row r="29" spans="1:22">
      <c r="A29" s="11"/>
      <c r="B29" s="11"/>
      <c r="C29" s="11"/>
      <c r="D29" s="11"/>
      <c r="E29" s="11"/>
      <c r="F29" s="11"/>
      <c r="G29" s="11"/>
      <c r="H29" s="11"/>
      <c r="I29" s="11"/>
      <c r="J29" s="11"/>
      <c r="K29" s="11"/>
      <c r="L29" s="11"/>
      <c r="M29" s="11"/>
      <c r="N29" s="11"/>
      <c r="O29" s="11"/>
      <c r="P29" s="11"/>
      <c r="Q29" s="11"/>
      <c r="R29" s="11"/>
      <c r="S29" s="11"/>
      <c r="T29" s="11"/>
      <c r="U29" s="11"/>
      <c r="V29" s="11"/>
    </row>
    <row r="30" spans="1:22">
      <c r="A30" s="11"/>
      <c r="B30" s="11"/>
      <c r="C30" s="11"/>
      <c r="D30" s="11"/>
      <c r="E30" s="11"/>
      <c r="F30" s="11"/>
      <c r="G30" s="11"/>
      <c r="H30" s="11"/>
      <c r="I30" s="11"/>
      <c r="J30" s="11"/>
      <c r="K30" s="11"/>
      <c r="L30" s="11"/>
      <c r="M30" s="11"/>
      <c r="N30" s="11"/>
      <c r="O30" s="11"/>
      <c r="P30" s="11"/>
      <c r="Q30" s="11"/>
      <c r="R30" s="11"/>
      <c r="S30" s="11"/>
      <c r="T30" s="11"/>
      <c r="U30" s="11"/>
      <c r="V30" s="11"/>
    </row>
    <row r="31" spans="1:22">
      <c r="A31" s="11"/>
      <c r="B31" s="11"/>
      <c r="C31" s="11"/>
      <c r="D31" s="11"/>
      <c r="E31" s="11"/>
      <c r="F31" s="11"/>
      <c r="G31" s="11"/>
      <c r="H31" s="11"/>
      <c r="I31" s="11"/>
      <c r="J31" s="11"/>
      <c r="K31" s="11"/>
      <c r="L31" s="11"/>
      <c r="M31" s="11"/>
      <c r="N31" s="11"/>
      <c r="O31" s="11"/>
      <c r="P31" s="11"/>
      <c r="Q31" s="11"/>
      <c r="R31" s="11"/>
      <c r="S31" s="11"/>
      <c r="T31" s="11"/>
      <c r="U31" s="11"/>
      <c r="V31" s="11"/>
    </row>
    <row r="32" spans="1:22">
      <c r="A32" s="11"/>
      <c r="B32" s="11"/>
      <c r="C32" s="11"/>
      <c r="D32" s="11"/>
      <c r="E32" s="11"/>
      <c r="F32" s="11"/>
      <c r="G32" s="11"/>
      <c r="H32" s="11"/>
      <c r="I32" s="11"/>
      <c r="J32" s="11"/>
      <c r="K32" s="11"/>
      <c r="L32" s="11"/>
      <c r="M32" s="11"/>
      <c r="N32" s="11"/>
      <c r="O32" s="11"/>
      <c r="P32" s="11"/>
      <c r="Q32" s="11"/>
      <c r="R32" s="11"/>
      <c r="S32" s="11"/>
      <c r="T32" s="11"/>
      <c r="U32" s="11"/>
      <c r="V32" s="11"/>
    </row>
    <row r="33" spans="1:22">
      <c r="A33" s="11"/>
      <c r="B33" s="11"/>
      <c r="C33" s="11"/>
      <c r="D33" s="11"/>
      <c r="E33" s="11"/>
      <c r="F33" s="11"/>
      <c r="G33" s="11"/>
      <c r="H33" s="11"/>
      <c r="I33" s="11"/>
      <c r="J33" s="11"/>
      <c r="K33" s="11"/>
      <c r="L33" s="11"/>
      <c r="M33" s="11"/>
      <c r="N33" s="11"/>
      <c r="O33" s="11"/>
      <c r="P33" s="11"/>
      <c r="Q33" s="11"/>
      <c r="R33" s="11"/>
      <c r="S33" s="11"/>
      <c r="T33" s="11"/>
      <c r="U33" s="11"/>
      <c r="V33" s="11"/>
    </row>
    <row r="34" spans="1:22">
      <c r="A34" s="11"/>
      <c r="B34" s="11"/>
      <c r="C34" s="11"/>
      <c r="D34" s="11"/>
      <c r="E34" s="11"/>
      <c r="F34" s="11"/>
      <c r="G34" s="11"/>
      <c r="H34" s="11"/>
      <c r="I34" s="11"/>
      <c r="J34" s="11"/>
      <c r="K34" s="11"/>
      <c r="L34" s="11"/>
      <c r="M34" s="11"/>
      <c r="N34" s="11"/>
      <c r="O34" s="11"/>
      <c r="P34" s="11"/>
      <c r="Q34" s="11"/>
      <c r="R34" s="11"/>
      <c r="S34" s="11"/>
      <c r="T34" s="11"/>
      <c r="U34" s="11"/>
      <c r="V34" s="11"/>
    </row>
    <row r="35" spans="1:22">
      <c r="A35" s="11"/>
      <c r="B35" s="11"/>
      <c r="C35" s="11"/>
      <c r="D35" s="11"/>
      <c r="E35" s="11"/>
      <c r="F35" s="11"/>
      <c r="G35" s="11"/>
      <c r="H35" s="11"/>
      <c r="I35" s="11"/>
      <c r="J35" s="11"/>
      <c r="K35" s="11"/>
      <c r="L35" s="11"/>
      <c r="M35" s="11"/>
      <c r="N35" s="11"/>
      <c r="O35" s="11"/>
      <c r="P35" s="11"/>
      <c r="Q35" s="11"/>
      <c r="R35" s="11"/>
      <c r="S35" s="11"/>
      <c r="T35" s="11"/>
      <c r="U35" s="11"/>
      <c r="V35" s="11"/>
    </row>
    <row r="36" spans="1:22">
      <c r="A36" s="11"/>
      <c r="B36" s="11"/>
      <c r="C36" s="11"/>
      <c r="D36" s="11"/>
      <c r="E36" s="11"/>
      <c r="F36" s="11"/>
      <c r="G36" s="11"/>
      <c r="H36" s="11"/>
      <c r="I36" s="11"/>
      <c r="J36" s="11"/>
      <c r="K36" s="11"/>
      <c r="L36" s="11"/>
      <c r="M36" s="11"/>
      <c r="N36" s="11"/>
      <c r="O36" s="11"/>
      <c r="P36" s="11"/>
      <c r="Q36" s="11"/>
      <c r="R36" s="11"/>
      <c r="S36" s="11"/>
      <c r="T36" s="11"/>
      <c r="U36" s="11"/>
      <c r="V36" s="11"/>
    </row>
    <row r="37" spans="1:22">
      <c r="A37" s="11"/>
      <c r="B37" s="11"/>
      <c r="C37" s="11"/>
      <c r="D37" s="11"/>
      <c r="E37" s="11"/>
      <c r="F37" s="11"/>
      <c r="G37" s="11"/>
      <c r="H37" s="11"/>
      <c r="I37" s="11"/>
      <c r="J37" s="11"/>
      <c r="K37" s="11"/>
      <c r="L37" s="11"/>
      <c r="M37" s="11"/>
      <c r="N37" s="11"/>
      <c r="O37" s="11"/>
      <c r="P37" s="11"/>
      <c r="Q37" s="11"/>
      <c r="R37" s="11"/>
      <c r="S37" s="11"/>
      <c r="T37" s="11"/>
      <c r="U37" s="11"/>
      <c r="V37" s="11"/>
    </row>
    <row r="38" spans="1:22">
      <c r="A38" s="11"/>
      <c r="B38" s="11"/>
      <c r="C38" s="11"/>
      <c r="D38" s="11"/>
      <c r="E38" s="11"/>
      <c r="F38" s="11"/>
      <c r="G38" s="11"/>
      <c r="H38" s="11"/>
      <c r="I38" s="11"/>
      <c r="J38" s="11"/>
      <c r="K38" s="11"/>
      <c r="L38" s="11"/>
      <c r="M38" s="11"/>
      <c r="N38" s="11"/>
      <c r="O38" s="11"/>
      <c r="P38" s="11"/>
      <c r="Q38" s="11"/>
      <c r="R38" s="11"/>
      <c r="S38" s="11"/>
      <c r="T38" s="11"/>
      <c r="U38" s="11"/>
      <c r="V38" s="11"/>
    </row>
    <row r="39" spans="1:22">
      <c r="A39" s="11"/>
      <c r="B39" s="11"/>
      <c r="C39" s="11"/>
      <c r="D39" s="11"/>
      <c r="E39" s="11"/>
      <c r="F39" s="11"/>
      <c r="G39" s="11"/>
      <c r="H39" s="11"/>
      <c r="I39" s="11"/>
      <c r="J39" s="11"/>
      <c r="K39" s="11"/>
      <c r="L39" s="11"/>
      <c r="M39" s="11"/>
      <c r="N39" s="11"/>
      <c r="O39" s="11"/>
      <c r="P39" s="11"/>
      <c r="Q39" s="11"/>
      <c r="R39" s="11"/>
      <c r="S39" s="11"/>
      <c r="T39" s="11"/>
      <c r="U39" s="11"/>
      <c r="V39" s="11"/>
    </row>
    <row r="40" spans="1:22">
      <c r="A40" s="11"/>
      <c r="B40" s="11"/>
      <c r="C40" s="11"/>
      <c r="D40" s="11"/>
      <c r="E40" s="11"/>
      <c r="F40" s="11"/>
      <c r="G40" s="11"/>
      <c r="H40" s="11"/>
      <c r="I40" s="11"/>
      <c r="J40" s="11"/>
      <c r="K40" s="11"/>
      <c r="L40" s="11"/>
      <c r="M40" s="11"/>
      <c r="N40" s="11"/>
      <c r="O40" s="11"/>
      <c r="P40" s="11"/>
      <c r="Q40" s="11"/>
      <c r="R40" s="11"/>
      <c r="S40" s="11"/>
      <c r="T40" s="11"/>
      <c r="U40" s="11"/>
      <c r="V40" s="11"/>
    </row>
    <row r="41" spans="1:22">
      <c r="A41" s="11"/>
      <c r="B41" s="11"/>
      <c r="C41" s="11"/>
      <c r="D41" s="11"/>
      <c r="E41" s="11"/>
      <c r="F41" s="11"/>
      <c r="G41" s="11"/>
      <c r="H41" s="11"/>
      <c r="I41" s="11"/>
      <c r="J41" s="11"/>
      <c r="K41" s="11"/>
      <c r="L41" s="11"/>
      <c r="M41" s="11"/>
      <c r="N41" s="11"/>
      <c r="O41" s="11"/>
      <c r="P41" s="11"/>
      <c r="Q41" s="11"/>
      <c r="R41" s="11"/>
      <c r="S41" s="11"/>
      <c r="T41" s="11"/>
      <c r="U41" s="11"/>
      <c r="V41" s="11"/>
    </row>
    <row r="42" spans="1:22">
      <c r="A42" s="11"/>
      <c r="B42" s="11"/>
      <c r="C42" s="11"/>
      <c r="D42" s="11"/>
      <c r="E42" s="11"/>
      <c r="F42" s="11"/>
      <c r="G42" s="11"/>
      <c r="H42" s="11"/>
      <c r="I42" s="11"/>
      <c r="J42" s="11"/>
      <c r="K42" s="11"/>
      <c r="L42" s="11"/>
      <c r="M42" s="11"/>
      <c r="N42" s="11"/>
      <c r="O42" s="11"/>
      <c r="P42" s="11"/>
      <c r="Q42" s="11"/>
      <c r="R42" s="11"/>
      <c r="S42" s="11"/>
      <c r="T42" s="11"/>
      <c r="U42" s="11"/>
      <c r="V42" s="11"/>
    </row>
    <row r="43" spans="1:22">
      <c r="A43" s="11"/>
      <c r="B43" s="11"/>
      <c r="C43" s="11"/>
      <c r="D43" s="11"/>
      <c r="E43" s="11"/>
      <c r="F43" s="11"/>
      <c r="G43" s="11"/>
      <c r="H43" s="11"/>
      <c r="I43" s="11"/>
      <c r="J43" s="11"/>
      <c r="K43" s="11"/>
      <c r="L43" s="11"/>
      <c r="M43" s="11"/>
      <c r="N43" s="11"/>
      <c r="O43" s="11"/>
      <c r="P43" s="11"/>
      <c r="Q43" s="11"/>
      <c r="R43" s="11"/>
      <c r="S43" s="11"/>
      <c r="T43" s="11"/>
      <c r="U43" s="11"/>
      <c r="V43" s="11"/>
    </row>
    <row r="44" spans="1:22">
      <c r="A44" s="11"/>
      <c r="B44" s="11"/>
      <c r="C44" s="11"/>
      <c r="D44" s="11"/>
      <c r="E44" s="11"/>
      <c r="F44" s="11"/>
      <c r="G44" s="11"/>
      <c r="H44" s="11"/>
      <c r="I44" s="11"/>
      <c r="J44" s="11"/>
      <c r="K44" s="11"/>
      <c r="L44" s="11"/>
      <c r="M44" s="11"/>
      <c r="N44" s="11"/>
      <c r="O44" s="11"/>
      <c r="P44" s="11"/>
      <c r="Q44" s="11"/>
      <c r="R44" s="11"/>
      <c r="S44" s="11"/>
      <c r="T44" s="11"/>
      <c r="U44" s="11"/>
      <c r="V44" s="11"/>
    </row>
    <row r="45" spans="1:22">
      <c r="A45" s="11"/>
      <c r="B45" s="11"/>
      <c r="C45" s="11"/>
      <c r="D45" s="11"/>
      <c r="E45" s="11"/>
      <c r="F45" s="11"/>
      <c r="G45" s="11"/>
      <c r="H45" s="11"/>
      <c r="I45" s="11"/>
      <c r="J45" s="11"/>
      <c r="K45" s="11"/>
      <c r="L45" s="11"/>
      <c r="M45" s="11"/>
      <c r="N45" s="11"/>
      <c r="O45" s="11"/>
      <c r="P45" s="11"/>
      <c r="Q45" s="11"/>
      <c r="R45" s="11"/>
      <c r="S45" s="11"/>
      <c r="T45" s="11"/>
      <c r="U45" s="11"/>
      <c r="V45" s="11"/>
    </row>
    <row r="46" spans="1:22">
      <c r="A46" s="11"/>
      <c r="B46" s="11"/>
      <c r="C46" s="11"/>
      <c r="D46" s="11"/>
      <c r="E46" s="11"/>
      <c r="F46" s="11"/>
      <c r="G46" s="11"/>
      <c r="H46" s="11"/>
      <c r="I46" s="11"/>
      <c r="J46" s="11"/>
      <c r="K46" s="11"/>
      <c r="L46" s="11"/>
      <c r="M46" s="11"/>
      <c r="N46" s="11"/>
      <c r="O46" s="11"/>
      <c r="P46" s="11"/>
      <c r="Q46" s="11"/>
      <c r="R46" s="11"/>
      <c r="S46" s="11"/>
      <c r="T46" s="11"/>
      <c r="U46" s="11"/>
      <c r="V46" s="11"/>
    </row>
    <row r="47" spans="1:22">
      <c r="A47" s="11"/>
      <c r="B47" s="11"/>
      <c r="C47" s="11"/>
      <c r="D47" s="11"/>
      <c r="E47" s="11"/>
      <c r="F47" s="11"/>
      <c r="G47" s="11"/>
      <c r="H47" s="11"/>
      <c r="I47" s="11"/>
      <c r="J47" s="11"/>
      <c r="K47" s="11"/>
      <c r="L47" s="11"/>
      <c r="M47" s="11"/>
      <c r="N47" s="11"/>
      <c r="O47" s="11"/>
      <c r="P47" s="11"/>
      <c r="Q47" s="11"/>
      <c r="R47" s="11"/>
      <c r="S47" s="11"/>
      <c r="T47" s="11"/>
      <c r="U47" s="11"/>
      <c r="V47" s="11"/>
    </row>
    <row r="48" spans="1:22">
      <c r="A48" s="11"/>
      <c r="B48" s="11"/>
      <c r="C48" s="11"/>
      <c r="D48" s="11"/>
      <c r="E48" s="11"/>
      <c r="F48" s="11"/>
      <c r="G48" s="11"/>
      <c r="H48" s="11"/>
      <c r="I48" s="11"/>
      <c r="J48" s="11"/>
      <c r="K48" s="11"/>
      <c r="L48" s="11"/>
      <c r="M48" s="11"/>
      <c r="N48" s="11"/>
      <c r="O48" s="11"/>
      <c r="P48" s="11"/>
      <c r="Q48" s="11"/>
      <c r="R48" s="11"/>
      <c r="S48" s="11"/>
      <c r="T48" s="11"/>
      <c r="U48" s="11"/>
      <c r="V48" s="11"/>
    </row>
    <row r="49" spans="1:22">
      <c r="A49" s="11"/>
      <c r="B49" s="11"/>
      <c r="C49" s="11"/>
      <c r="D49" s="11"/>
      <c r="E49" s="11"/>
      <c r="F49" s="11"/>
      <c r="G49" s="11"/>
      <c r="H49" s="11"/>
      <c r="I49" s="11"/>
      <c r="J49" s="11"/>
      <c r="K49" s="11"/>
      <c r="L49" s="11"/>
      <c r="M49" s="11"/>
      <c r="N49" s="11"/>
      <c r="O49" s="11"/>
      <c r="P49" s="11"/>
      <c r="Q49" s="11"/>
      <c r="R49" s="11"/>
      <c r="S49" s="11"/>
      <c r="T49" s="11"/>
      <c r="U49" s="11"/>
      <c r="V49" s="11"/>
    </row>
    <row r="50" spans="1:22">
      <c r="A50" s="11"/>
      <c r="B50" s="11"/>
      <c r="C50" s="11"/>
      <c r="D50" s="11"/>
      <c r="E50" s="11"/>
      <c r="F50" s="11"/>
      <c r="G50" s="11"/>
      <c r="H50" s="11"/>
      <c r="I50" s="11"/>
      <c r="J50" s="11"/>
      <c r="K50" s="11"/>
      <c r="L50" s="11"/>
      <c r="M50" s="11"/>
      <c r="N50" s="11"/>
      <c r="O50" s="11"/>
      <c r="P50" s="11"/>
      <c r="Q50" s="11"/>
      <c r="R50" s="11"/>
      <c r="S50" s="11"/>
      <c r="T50" s="11"/>
      <c r="U50" s="11"/>
      <c r="V50" s="11"/>
    </row>
    <row r="51" spans="1:22">
      <c r="A51" s="11"/>
      <c r="B51" s="11"/>
      <c r="C51" s="11"/>
      <c r="D51" s="11"/>
      <c r="E51" s="11"/>
      <c r="F51" s="11"/>
      <c r="G51" s="11"/>
      <c r="H51" s="11"/>
      <c r="I51" s="11"/>
      <c r="J51" s="11"/>
      <c r="K51" s="11"/>
      <c r="L51" s="11"/>
      <c r="M51" s="11"/>
      <c r="N51" s="11"/>
      <c r="O51" s="11"/>
      <c r="P51" s="11"/>
      <c r="Q51" s="11"/>
      <c r="R51" s="11"/>
      <c r="S51" s="11"/>
      <c r="T51" s="11"/>
      <c r="U51" s="11"/>
      <c r="V51" s="11"/>
    </row>
    <row r="52" spans="1:22">
      <c r="A52" s="11"/>
      <c r="B52" s="11"/>
      <c r="C52" s="11"/>
      <c r="D52" s="11"/>
      <c r="E52" s="11"/>
      <c r="F52" s="11"/>
      <c r="G52" s="11"/>
      <c r="H52" s="11"/>
      <c r="I52" s="11"/>
      <c r="J52" s="11"/>
      <c r="K52" s="11"/>
      <c r="L52" s="11"/>
      <c r="M52" s="11"/>
      <c r="N52" s="11"/>
      <c r="O52" s="11"/>
      <c r="P52" s="11"/>
      <c r="Q52" s="11"/>
      <c r="R52" s="11"/>
      <c r="S52" s="11"/>
      <c r="T52" s="11"/>
      <c r="U52" s="11"/>
      <c r="V52" s="11"/>
    </row>
    <row r="53" spans="1:22">
      <c r="A53" s="11"/>
      <c r="B53" s="11"/>
      <c r="C53" s="11"/>
      <c r="D53" s="11"/>
      <c r="E53" s="11"/>
      <c r="F53" s="11"/>
      <c r="G53" s="11"/>
      <c r="H53" s="11"/>
      <c r="I53" s="11"/>
      <c r="J53" s="11"/>
      <c r="K53" s="11"/>
      <c r="L53" s="11"/>
      <c r="M53" s="11"/>
      <c r="N53" s="11"/>
      <c r="O53" s="11"/>
      <c r="P53" s="11"/>
      <c r="Q53" s="11"/>
      <c r="R53" s="11"/>
      <c r="S53" s="11"/>
      <c r="T53" s="11"/>
      <c r="U53" s="11"/>
      <c r="V53" s="11"/>
    </row>
    <row r="54" spans="1:22">
      <c r="A54" s="11"/>
      <c r="B54" s="11"/>
      <c r="C54" s="11"/>
      <c r="D54" s="11"/>
      <c r="E54" s="11"/>
      <c r="F54" s="11"/>
      <c r="G54" s="11"/>
      <c r="H54" s="11"/>
      <c r="I54" s="11"/>
      <c r="J54" s="11"/>
      <c r="K54" s="11"/>
      <c r="L54" s="11"/>
      <c r="M54" s="11"/>
      <c r="N54" s="11"/>
      <c r="O54" s="11"/>
      <c r="P54" s="11"/>
      <c r="Q54" s="11"/>
      <c r="R54" s="11"/>
      <c r="S54" s="11"/>
      <c r="T54" s="11"/>
      <c r="U54" s="11"/>
      <c r="V54" s="11"/>
    </row>
    <row r="55" spans="1:22">
      <c r="A55" s="11"/>
      <c r="B55" s="11"/>
      <c r="C55" s="11"/>
      <c r="D55" s="11"/>
      <c r="E55" s="11"/>
      <c r="F55" s="11"/>
      <c r="G55" s="11"/>
      <c r="H55" s="11"/>
      <c r="I55" s="11"/>
      <c r="J55" s="11"/>
      <c r="K55" s="11"/>
      <c r="L55" s="11"/>
      <c r="M55" s="11"/>
      <c r="N55" s="11"/>
      <c r="O55" s="11"/>
      <c r="P55" s="11"/>
      <c r="Q55" s="11"/>
      <c r="R55" s="11"/>
      <c r="S55" s="11"/>
      <c r="T55" s="11"/>
      <c r="U55" s="11"/>
      <c r="V55" s="11"/>
    </row>
    <row r="56" spans="1:22">
      <c r="A56" s="11"/>
      <c r="B56" s="11"/>
      <c r="C56" s="11"/>
      <c r="D56" s="11"/>
      <c r="E56" s="11"/>
      <c r="F56" s="11"/>
      <c r="G56" s="11"/>
      <c r="H56" s="11"/>
      <c r="I56" s="11"/>
      <c r="J56" s="11"/>
      <c r="K56" s="11"/>
      <c r="L56" s="11"/>
      <c r="M56" s="11"/>
      <c r="N56" s="11"/>
      <c r="O56" s="11"/>
      <c r="P56" s="11"/>
      <c r="Q56" s="11"/>
      <c r="R56" s="11"/>
      <c r="S56" s="11"/>
      <c r="T56" s="11"/>
      <c r="U56" s="11"/>
      <c r="V56" s="11"/>
    </row>
    <row r="57" spans="1:22">
      <c r="A57" s="11"/>
      <c r="B57" s="11"/>
      <c r="C57" s="11"/>
      <c r="D57" s="11"/>
      <c r="E57" s="11"/>
      <c r="F57" s="11"/>
      <c r="G57" s="11"/>
      <c r="H57" s="11"/>
      <c r="I57" s="11"/>
      <c r="J57" s="11"/>
      <c r="K57" s="11"/>
      <c r="L57" s="11"/>
      <c r="M57" s="11"/>
      <c r="N57" s="11"/>
      <c r="O57" s="11"/>
      <c r="P57" s="11"/>
      <c r="Q57" s="11"/>
      <c r="R57" s="11"/>
      <c r="S57" s="11"/>
      <c r="T57" s="11"/>
      <c r="U57" s="11"/>
      <c r="V57" s="11"/>
    </row>
    <row r="58" spans="1:22">
      <c r="A58" s="11"/>
      <c r="B58" s="11"/>
      <c r="C58" s="11"/>
      <c r="D58" s="11"/>
      <c r="E58" s="11"/>
      <c r="F58" s="11"/>
      <c r="G58" s="11"/>
      <c r="H58" s="11"/>
      <c r="I58" s="11"/>
      <c r="J58" s="11"/>
      <c r="K58" s="11"/>
      <c r="L58" s="11"/>
      <c r="M58" s="11"/>
      <c r="N58" s="11"/>
      <c r="O58" s="11"/>
      <c r="P58" s="11"/>
      <c r="Q58" s="11"/>
      <c r="R58" s="11"/>
      <c r="S58" s="11"/>
      <c r="T58" s="11"/>
      <c r="U58" s="11"/>
      <c r="V58" s="11"/>
    </row>
    <row r="59" spans="1:22">
      <c r="A59" s="11"/>
      <c r="B59" s="11"/>
      <c r="C59" s="11"/>
      <c r="D59" s="11"/>
      <c r="E59" s="11"/>
      <c r="F59" s="11"/>
      <c r="G59" s="11"/>
      <c r="H59" s="11"/>
      <c r="I59" s="11"/>
      <c r="J59" s="11"/>
      <c r="K59" s="11"/>
      <c r="L59" s="11"/>
      <c r="M59" s="11"/>
      <c r="N59" s="11"/>
      <c r="O59" s="11"/>
      <c r="P59" s="11"/>
      <c r="Q59" s="11"/>
      <c r="R59" s="11"/>
      <c r="S59" s="11"/>
      <c r="T59" s="11"/>
      <c r="U59" s="11"/>
      <c r="V59" s="11"/>
    </row>
    <row r="60" spans="1:22">
      <c r="A60" s="11"/>
      <c r="B60" s="11"/>
      <c r="C60" s="11"/>
      <c r="D60" s="11"/>
      <c r="E60" s="11"/>
      <c r="F60" s="11"/>
      <c r="G60" s="11"/>
      <c r="H60" s="11"/>
      <c r="I60" s="11"/>
      <c r="J60" s="11"/>
      <c r="K60" s="11"/>
      <c r="L60" s="11"/>
      <c r="M60" s="11"/>
      <c r="N60" s="11"/>
      <c r="O60" s="11"/>
      <c r="P60" s="11"/>
      <c r="Q60" s="11"/>
      <c r="R60" s="11"/>
      <c r="S60" s="11"/>
      <c r="T60" s="11"/>
      <c r="U60" s="11"/>
      <c r="V60" s="11"/>
    </row>
    <row r="61" spans="1:22">
      <c r="A61" s="11"/>
      <c r="B61" s="11"/>
      <c r="C61" s="11"/>
      <c r="D61" s="11"/>
      <c r="E61" s="11"/>
      <c r="F61" s="11"/>
      <c r="G61" s="11"/>
      <c r="H61" s="11"/>
      <c r="I61" s="11"/>
      <c r="J61" s="11"/>
      <c r="K61" s="11"/>
      <c r="L61" s="11"/>
      <c r="M61" s="11"/>
      <c r="N61" s="11"/>
      <c r="O61" s="11"/>
      <c r="P61" s="11"/>
      <c r="Q61" s="11"/>
      <c r="R61" s="11"/>
      <c r="S61" s="11"/>
      <c r="T61" s="11"/>
      <c r="U61" s="11"/>
      <c r="V61" s="11"/>
    </row>
    <row r="62" spans="1:22">
      <c r="A62" s="11"/>
      <c r="B62" s="11"/>
      <c r="C62" s="11"/>
      <c r="D62" s="11"/>
      <c r="E62" s="11"/>
      <c r="F62" s="11"/>
      <c r="G62" s="11"/>
      <c r="H62" s="11"/>
      <c r="I62" s="11"/>
      <c r="J62" s="11"/>
      <c r="K62" s="11"/>
      <c r="L62" s="11"/>
      <c r="M62" s="11"/>
      <c r="N62" s="11"/>
      <c r="O62" s="11"/>
      <c r="P62" s="11"/>
      <c r="Q62" s="11"/>
      <c r="R62" s="11"/>
      <c r="S62" s="11"/>
      <c r="T62" s="11"/>
      <c r="U62" s="11"/>
      <c r="V62" s="11"/>
    </row>
    <row r="63" spans="1:22">
      <c r="A63" s="11"/>
      <c r="B63" s="11"/>
      <c r="C63" s="11"/>
      <c r="D63" s="11"/>
      <c r="E63" s="11"/>
      <c r="F63" s="11"/>
      <c r="G63" s="11"/>
      <c r="H63" s="11"/>
      <c r="I63" s="11"/>
      <c r="J63" s="11"/>
      <c r="K63" s="11"/>
      <c r="L63" s="11"/>
      <c r="M63" s="11"/>
      <c r="N63" s="11"/>
      <c r="O63" s="11"/>
      <c r="P63" s="11"/>
      <c r="Q63" s="11"/>
      <c r="R63" s="11"/>
      <c r="S63" s="11"/>
      <c r="T63" s="11"/>
      <c r="U63" s="11"/>
      <c r="V63" s="11"/>
    </row>
    <row r="64" spans="1:22">
      <c r="A64" s="11"/>
      <c r="B64" s="11"/>
      <c r="C64" s="11"/>
      <c r="D64" s="11"/>
      <c r="E64" s="11"/>
      <c r="F64" s="11"/>
      <c r="G64" s="11"/>
      <c r="H64" s="11"/>
      <c r="I64" s="11"/>
      <c r="J64" s="11"/>
      <c r="K64" s="11"/>
      <c r="L64" s="11"/>
      <c r="M64" s="11"/>
      <c r="N64" s="11"/>
      <c r="O64" s="11"/>
      <c r="P64" s="11"/>
      <c r="Q64" s="11"/>
      <c r="R64" s="11"/>
      <c r="S64" s="11"/>
      <c r="T64" s="11"/>
      <c r="U64" s="11"/>
      <c r="V64" s="11"/>
    </row>
    <row r="65" spans="1:22">
      <c r="A65" s="11"/>
      <c r="B65" s="11"/>
      <c r="C65" s="11"/>
      <c r="D65" s="11"/>
      <c r="E65" s="11"/>
      <c r="F65" s="11"/>
      <c r="G65" s="11"/>
      <c r="H65" s="11"/>
      <c r="I65" s="11"/>
      <c r="J65" s="11"/>
      <c r="K65" s="11"/>
      <c r="L65" s="11"/>
      <c r="M65" s="11"/>
      <c r="N65" s="11"/>
      <c r="O65" s="11"/>
      <c r="P65" s="11"/>
      <c r="Q65" s="11"/>
      <c r="R65" s="11"/>
      <c r="S65" s="11"/>
      <c r="T65" s="11"/>
      <c r="U65" s="11"/>
      <c r="V65" s="11"/>
    </row>
    <row r="66" spans="1:22">
      <c r="A66" s="11"/>
      <c r="B66" s="11"/>
      <c r="C66" s="11"/>
      <c r="D66" s="11"/>
      <c r="E66" s="11"/>
      <c r="F66" s="11"/>
      <c r="G66" s="11"/>
      <c r="H66" s="11"/>
      <c r="I66" s="11"/>
      <c r="J66" s="11"/>
      <c r="K66" s="11"/>
      <c r="L66" s="11"/>
      <c r="M66" s="11"/>
      <c r="N66" s="11"/>
      <c r="O66" s="11"/>
      <c r="P66" s="11"/>
      <c r="Q66" s="11"/>
      <c r="R66" s="11"/>
      <c r="S66" s="11"/>
      <c r="T66" s="11"/>
      <c r="U66" s="11"/>
      <c r="V66" s="11"/>
    </row>
    <row r="67" spans="1:22">
      <c r="A67" s="11"/>
      <c r="B67" s="11"/>
      <c r="C67" s="11"/>
      <c r="D67" s="11"/>
      <c r="E67" s="11"/>
      <c r="F67" s="11"/>
      <c r="G67" s="11"/>
      <c r="H67" s="11"/>
      <c r="I67" s="11"/>
      <c r="J67" s="11"/>
      <c r="K67" s="11"/>
      <c r="L67" s="11"/>
      <c r="M67" s="11"/>
      <c r="N67" s="11"/>
      <c r="O67" s="11"/>
      <c r="P67" s="11"/>
      <c r="Q67" s="11"/>
      <c r="R67" s="11"/>
      <c r="S67" s="11"/>
      <c r="T67" s="11"/>
      <c r="U67" s="11"/>
      <c r="V67" s="11"/>
    </row>
    <row r="68" spans="1:22">
      <c r="A68" s="11"/>
      <c r="B68" s="11"/>
      <c r="C68" s="11"/>
      <c r="D68" s="11"/>
      <c r="E68" s="11"/>
      <c r="F68" s="11"/>
      <c r="G68" s="11"/>
      <c r="H68" s="11"/>
      <c r="I68" s="11"/>
      <c r="J68" s="11"/>
      <c r="K68" s="11"/>
      <c r="L68" s="11"/>
      <c r="M68" s="11"/>
      <c r="N68" s="11"/>
      <c r="O68" s="11"/>
      <c r="P68" s="11"/>
      <c r="Q68" s="11"/>
      <c r="R68" s="11"/>
      <c r="S68" s="11"/>
      <c r="T68" s="11"/>
      <c r="U68" s="11"/>
      <c r="V68" s="11"/>
    </row>
    <row r="69" spans="1:22">
      <c r="A69" s="11"/>
      <c r="B69" s="11"/>
      <c r="C69" s="11"/>
      <c r="D69" s="11"/>
      <c r="E69" s="11"/>
      <c r="F69" s="11"/>
      <c r="G69" s="11"/>
      <c r="H69" s="11"/>
      <c r="I69" s="11"/>
      <c r="J69" s="11"/>
      <c r="K69" s="11"/>
      <c r="L69" s="11"/>
      <c r="M69" s="11"/>
      <c r="N69" s="11"/>
      <c r="O69" s="11"/>
      <c r="P69" s="11"/>
      <c r="Q69" s="11"/>
      <c r="R69" s="11"/>
      <c r="S69" s="11"/>
      <c r="T69" s="11"/>
      <c r="U69" s="11"/>
      <c r="V69" s="11"/>
    </row>
    <row r="70" spans="1:22">
      <c r="A70" s="11"/>
      <c r="B70" s="11"/>
      <c r="C70" s="11"/>
      <c r="D70" s="11"/>
      <c r="E70" s="11"/>
      <c r="F70" s="11"/>
      <c r="G70" s="11"/>
      <c r="H70" s="11"/>
      <c r="I70" s="11"/>
      <c r="J70" s="11"/>
      <c r="K70" s="11"/>
      <c r="L70" s="11"/>
      <c r="M70" s="11"/>
      <c r="N70" s="11"/>
      <c r="O70" s="11"/>
      <c r="P70" s="11"/>
      <c r="Q70" s="11"/>
      <c r="R70" s="11"/>
      <c r="S70" s="11"/>
      <c r="T70" s="11"/>
      <c r="U70" s="11"/>
      <c r="V70" s="11"/>
    </row>
    <row r="71" spans="1:22">
      <c r="A71" s="11"/>
      <c r="B71" s="11"/>
      <c r="C71" s="11"/>
      <c r="D71" s="11"/>
      <c r="E71" s="11"/>
      <c r="F71" s="11"/>
      <c r="G71" s="11"/>
      <c r="H71" s="11"/>
      <c r="I71" s="11"/>
      <c r="J71" s="11"/>
      <c r="K71" s="11"/>
      <c r="L71" s="11"/>
      <c r="M71" s="11"/>
      <c r="N71" s="11"/>
      <c r="O71" s="11"/>
      <c r="P71" s="11"/>
      <c r="Q71" s="11"/>
      <c r="R71" s="11"/>
      <c r="S71" s="11"/>
      <c r="T71" s="11"/>
      <c r="U71" s="11"/>
      <c r="V71" s="11"/>
    </row>
    <row r="72" spans="1:22">
      <c r="A72" s="11"/>
      <c r="B72" s="11"/>
      <c r="C72" s="11"/>
      <c r="D72" s="11"/>
      <c r="E72" s="11"/>
      <c r="F72" s="11"/>
      <c r="G72" s="11"/>
      <c r="H72" s="11"/>
      <c r="I72" s="11"/>
      <c r="J72" s="11"/>
      <c r="K72" s="11"/>
      <c r="L72" s="11"/>
      <c r="M72" s="11"/>
      <c r="N72" s="11"/>
      <c r="O72" s="11"/>
      <c r="P72" s="11"/>
      <c r="Q72" s="11"/>
      <c r="R72" s="11"/>
      <c r="S72" s="11"/>
      <c r="T72" s="11"/>
      <c r="U72" s="11"/>
      <c r="V72" s="11"/>
    </row>
    <row r="73" spans="1:22">
      <c r="A73" s="11"/>
      <c r="B73" s="11"/>
      <c r="C73" s="11"/>
      <c r="D73" s="11"/>
      <c r="E73" s="11"/>
      <c r="F73" s="11"/>
      <c r="G73" s="11"/>
      <c r="H73" s="11"/>
      <c r="I73" s="11"/>
      <c r="J73" s="11"/>
      <c r="K73" s="11"/>
      <c r="L73" s="11"/>
      <c r="M73" s="11"/>
      <c r="N73" s="11"/>
      <c r="O73" s="11"/>
      <c r="P73" s="11"/>
      <c r="Q73" s="11"/>
      <c r="R73" s="11"/>
      <c r="S73" s="11"/>
      <c r="T73" s="11"/>
      <c r="U73" s="11"/>
      <c r="V73" s="11"/>
    </row>
    <row r="74" spans="1:22">
      <c r="A74" s="11"/>
      <c r="B74" s="11"/>
      <c r="C74" s="11"/>
      <c r="D74" s="11"/>
      <c r="E74" s="11"/>
      <c r="F74" s="11"/>
      <c r="G74" s="11"/>
      <c r="H74" s="11"/>
      <c r="I74" s="11"/>
      <c r="J74" s="11"/>
      <c r="K74" s="11"/>
      <c r="L74" s="11"/>
      <c r="M74" s="11"/>
      <c r="N74" s="11"/>
      <c r="O74" s="11"/>
      <c r="P74" s="11"/>
      <c r="Q74" s="11"/>
      <c r="R74" s="11"/>
      <c r="S74" s="11"/>
      <c r="T74" s="11"/>
      <c r="U74" s="11"/>
      <c r="V74" s="11"/>
    </row>
    <row r="75" spans="1:22">
      <c r="A75" s="11"/>
      <c r="B75" s="11"/>
      <c r="C75" s="11"/>
      <c r="D75" s="11"/>
      <c r="E75" s="11"/>
      <c r="F75" s="11"/>
      <c r="G75" s="11"/>
      <c r="H75" s="11"/>
      <c r="I75" s="11"/>
      <c r="J75" s="11"/>
      <c r="K75" s="11"/>
      <c r="L75" s="11"/>
      <c r="M75" s="11"/>
      <c r="N75" s="11"/>
      <c r="O75" s="11"/>
      <c r="P75" s="11"/>
      <c r="Q75" s="11"/>
      <c r="R75" s="11"/>
      <c r="S75" s="11"/>
      <c r="T75" s="11"/>
      <c r="U75" s="11"/>
      <c r="V75" s="11"/>
    </row>
    <row r="76" spans="1:22">
      <c r="A76" s="11"/>
      <c r="B76" s="11"/>
      <c r="C76" s="11"/>
      <c r="D76" s="11"/>
      <c r="E76" s="11"/>
      <c r="F76" s="11"/>
      <c r="G76" s="11"/>
      <c r="H76" s="11"/>
      <c r="I76" s="11"/>
      <c r="J76" s="11"/>
      <c r="K76" s="11"/>
      <c r="L76" s="11"/>
      <c r="M76" s="11"/>
      <c r="N76" s="11"/>
      <c r="O76" s="11"/>
      <c r="P76" s="11"/>
      <c r="Q76" s="11"/>
      <c r="R76" s="11"/>
      <c r="S76" s="11"/>
      <c r="T76" s="11"/>
      <c r="U76" s="11"/>
      <c r="V76" s="11"/>
    </row>
    <row r="77" spans="1:22">
      <c r="A77" s="11"/>
      <c r="B77" s="11"/>
      <c r="C77" s="11"/>
      <c r="D77" s="11"/>
      <c r="E77" s="11"/>
      <c r="F77" s="11"/>
      <c r="G77" s="11"/>
      <c r="H77" s="11"/>
      <c r="I77" s="11"/>
      <c r="J77" s="11"/>
      <c r="K77" s="11"/>
      <c r="L77" s="11"/>
      <c r="M77" s="11"/>
      <c r="N77" s="11"/>
      <c r="O77" s="11"/>
      <c r="P77" s="11"/>
      <c r="Q77" s="11"/>
      <c r="R77" s="11"/>
      <c r="S77" s="11"/>
      <c r="T77" s="11"/>
      <c r="U77" s="11"/>
      <c r="V77" s="11"/>
    </row>
    <row r="78" spans="1:22">
      <c r="A78" s="11"/>
      <c r="B78" s="11"/>
      <c r="C78" s="11"/>
      <c r="D78" s="11"/>
      <c r="E78" s="11"/>
      <c r="F78" s="11"/>
      <c r="G78" s="11"/>
      <c r="H78" s="11"/>
      <c r="I78" s="11"/>
      <c r="J78" s="11"/>
      <c r="K78" s="11"/>
      <c r="L78" s="11"/>
      <c r="M78" s="11"/>
      <c r="N78" s="11"/>
      <c r="O78" s="11"/>
      <c r="P78" s="11"/>
      <c r="Q78" s="11"/>
      <c r="R78" s="11"/>
      <c r="S78" s="11"/>
      <c r="T78" s="11"/>
      <c r="U78" s="11"/>
      <c r="V78" s="11"/>
    </row>
    <row r="79" spans="1:22">
      <c r="A79" s="11"/>
      <c r="B79" s="11"/>
      <c r="C79" s="11"/>
      <c r="D79" s="11"/>
      <c r="E79" s="11"/>
      <c r="F79" s="11"/>
      <c r="G79" s="11"/>
      <c r="H79" s="11"/>
      <c r="I79" s="11"/>
      <c r="J79" s="11"/>
      <c r="K79" s="11"/>
      <c r="L79" s="11"/>
      <c r="M79" s="11"/>
      <c r="N79" s="11"/>
      <c r="O79" s="11"/>
      <c r="P79" s="11"/>
      <c r="Q79" s="11"/>
      <c r="R79" s="11"/>
      <c r="S79" s="11"/>
      <c r="T79" s="11"/>
      <c r="U79" s="11"/>
      <c r="V79" s="11"/>
    </row>
    <row r="80" spans="1:22">
      <c r="A80" s="11"/>
      <c r="B80" s="11"/>
      <c r="C80" s="11"/>
      <c r="D80" s="11"/>
      <c r="E80" s="11"/>
      <c r="F80" s="11"/>
      <c r="G80" s="11"/>
      <c r="H80" s="11"/>
      <c r="I80" s="11"/>
      <c r="J80" s="11"/>
      <c r="K80" s="11"/>
      <c r="L80" s="11"/>
      <c r="M80" s="11"/>
      <c r="N80" s="11"/>
      <c r="O80" s="11"/>
      <c r="P80" s="11"/>
      <c r="Q80" s="11"/>
      <c r="R80" s="11"/>
      <c r="S80" s="11"/>
      <c r="T80" s="11"/>
      <c r="U80" s="11"/>
      <c r="V80" s="11"/>
    </row>
    <row r="81" spans="1:22">
      <c r="A81" s="11"/>
      <c r="B81" s="11"/>
      <c r="C81" s="11"/>
      <c r="D81" s="11"/>
      <c r="E81" s="11"/>
      <c r="F81" s="11"/>
      <c r="G81" s="11"/>
      <c r="H81" s="11"/>
      <c r="I81" s="11"/>
      <c r="J81" s="11"/>
      <c r="K81" s="11"/>
      <c r="L81" s="11"/>
      <c r="M81" s="11"/>
      <c r="N81" s="11"/>
      <c r="O81" s="11"/>
      <c r="P81" s="11"/>
      <c r="Q81" s="11"/>
      <c r="R81" s="11"/>
      <c r="S81" s="11"/>
      <c r="T81" s="11"/>
      <c r="U81" s="11"/>
      <c r="V81" s="11"/>
    </row>
    <row r="82" spans="1:22">
      <c r="A82" s="11"/>
      <c r="B82" s="11"/>
      <c r="C82" s="11"/>
      <c r="D82" s="11"/>
      <c r="E82" s="11"/>
      <c r="F82" s="11"/>
      <c r="G82" s="11"/>
      <c r="H82" s="11"/>
      <c r="I82" s="11"/>
      <c r="J82" s="11"/>
      <c r="K82" s="11"/>
      <c r="L82" s="11"/>
      <c r="M82" s="11"/>
      <c r="N82" s="11"/>
      <c r="O82" s="11"/>
      <c r="P82" s="11"/>
      <c r="Q82" s="11"/>
      <c r="R82" s="11"/>
      <c r="S82" s="11"/>
      <c r="T82" s="11"/>
      <c r="U82" s="11"/>
      <c r="V82" s="11"/>
    </row>
    <row r="83" spans="1:22">
      <c r="A83" s="11"/>
      <c r="B83" s="11"/>
      <c r="C83" s="11"/>
      <c r="D83" s="11"/>
      <c r="E83" s="11"/>
      <c r="F83" s="11"/>
      <c r="G83" s="11"/>
      <c r="H83" s="11"/>
      <c r="I83" s="11"/>
      <c r="J83" s="11"/>
      <c r="K83" s="11"/>
      <c r="L83" s="11"/>
      <c r="M83" s="11"/>
      <c r="N83" s="11"/>
      <c r="O83" s="11"/>
      <c r="P83" s="11"/>
      <c r="Q83" s="11"/>
      <c r="R83" s="11"/>
      <c r="S83" s="11"/>
      <c r="T83" s="11"/>
      <c r="U83" s="11"/>
      <c r="V83" s="11"/>
    </row>
    <row r="84" spans="1:22">
      <c r="A84" s="11"/>
      <c r="B84" s="11"/>
      <c r="C84" s="11"/>
      <c r="D84" s="11"/>
      <c r="E84" s="11"/>
      <c r="F84" s="11"/>
      <c r="G84" s="11"/>
      <c r="H84" s="11"/>
      <c r="I84" s="11"/>
      <c r="J84" s="11"/>
      <c r="K84" s="11"/>
      <c r="L84" s="11"/>
      <c r="M84" s="11"/>
      <c r="N84" s="11"/>
      <c r="O84" s="11"/>
      <c r="P84" s="11"/>
      <c r="Q84" s="11"/>
      <c r="R84" s="11"/>
      <c r="S84" s="11"/>
      <c r="T84" s="11"/>
      <c r="U84" s="11"/>
      <c r="V84" s="11"/>
    </row>
    <row r="85" spans="1:22">
      <c r="A85" s="11"/>
      <c r="B85" s="11"/>
      <c r="C85" s="11"/>
      <c r="D85" s="11"/>
      <c r="E85" s="11"/>
      <c r="F85" s="11"/>
      <c r="G85" s="11"/>
      <c r="H85" s="11"/>
      <c r="I85" s="11"/>
      <c r="J85" s="11"/>
      <c r="K85" s="11"/>
      <c r="L85" s="11"/>
      <c r="M85" s="11"/>
      <c r="N85" s="11"/>
      <c r="O85" s="11"/>
      <c r="P85" s="11"/>
      <c r="Q85" s="11"/>
      <c r="R85" s="11"/>
      <c r="S85" s="11"/>
      <c r="T85" s="11"/>
      <c r="U85" s="11"/>
      <c r="V85" s="11"/>
    </row>
    <row r="86" spans="1:22">
      <c r="A86" s="11"/>
      <c r="B86" s="11"/>
      <c r="C86" s="11"/>
      <c r="D86" s="11"/>
      <c r="E86" s="11"/>
      <c r="F86" s="11"/>
      <c r="G86" s="11"/>
      <c r="H86" s="11"/>
      <c r="I86" s="11"/>
      <c r="J86" s="11"/>
      <c r="K86" s="11"/>
      <c r="L86" s="11"/>
      <c r="M86" s="11"/>
      <c r="N86" s="11"/>
      <c r="O86" s="11"/>
      <c r="P86" s="11"/>
      <c r="Q86" s="11"/>
      <c r="R86" s="11"/>
      <c r="S86" s="11"/>
      <c r="T86" s="11"/>
      <c r="U86" s="11"/>
      <c r="V86" s="11"/>
    </row>
    <row r="87" spans="1:22">
      <c r="A87" s="11"/>
      <c r="B87" s="11"/>
      <c r="C87" s="11"/>
      <c r="D87" s="11"/>
      <c r="E87" s="11"/>
      <c r="F87" s="11"/>
      <c r="G87" s="11"/>
      <c r="H87" s="11"/>
      <c r="I87" s="11"/>
      <c r="J87" s="11"/>
      <c r="K87" s="11"/>
      <c r="L87" s="11"/>
      <c r="M87" s="11"/>
      <c r="N87" s="11"/>
      <c r="O87" s="11"/>
      <c r="P87" s="11"/>
      <c r="Q87" s="11"/>
      <c r="R87" s="11"/>
      <c r="S87" s="11"/>
      <c r="T87" s="11"/>
      <c r="U87" s="11"/>
      <c r="V87" s="11"/>
    </row>
    <row r="88" spans="1:22">
      <c r="A88" s="11"/>
      <c r="B88" s="11"/>
      <c r="C88" s="11"/>
      <c r="D88" s="11"/>
      <c r="E88" s="11"/>
      <c r="F88" s="11"/>
      <c r="G88" s="11"/>
      <c r="H88" s="11"/>
      <c r="I88" s="11"/>
      <c r="J88" s="11"/>
      <c r="K88" s="11"/>
      <c r="L88" s="11"/>
      <c r="M88" s="11"/>
      <c r="N88" s="11"/>
      <c r="O88" s="11"/>
      <c r="P88" s="11"/>
      <c r="Q88" s="11"/>
      <c r="R88" s="11"/>
      <c r="S88" s="11"/>
      <c r="T88" s="11"/>
      <c r="U88" s="11"/>
      <c r="V88" s="11"/>
    </row>
    <row r="89" spans="1:22">
      <c r="A89" s="11"/>
      <c r="B89" s="11"/>
      <c r="C89" s="11"/>
      <c r="D89" s="11"/>
      <c r="E89" s="11"/>
      <c r="F89" s="11"/>
      <c r="G89" s="11"/>
      <c r="H89" s="11"/>
      <c r="I89" s="11"/>
      <c r="J89" s="11"/>
      <c r="K89" s="11"/>
      <c r="L89" s="11"/>
      <c r="M89" s="11"/>
      <c r="N89" s="11"/>
      <c r="O89" s="11"/>
      <c r="P89" s="11"/>
      <c r="Q89" s="11"/>
      <c r="R89" s="11"/>
      <c r="S89" s="11"/>
      <c r="T89" s="11"/>
      <c r="U89" s="11"/>
      <c r="V89" s="11"/>
    </row>
    <row r="90" spans="1:22">
      <c r="A90" s="11"/>
      <c r="B90" s="11"/>
      <c r="C90" s="11"/>
      <c r="D90" s="11"/>
      <c r="E90" s="11"/>
      <c r="F90" s="11"/>
      <c r="G90" s="11"/>
      <c r="H90" s="11"/>
      <c r="I90" s="11"/>
      <c r="J90" s="11"/>
      <c r="K90" s="11"/>
      <c r="L90" s="11"/>
      <c r="M90" s="11"/>
      <c r="N90" s="11"/>
      <c r="O90" s="11"/>
      <c r="P90" s="11"/>
      <c r="Q90" s="11"/>
      <c r="R90" s="11"/>
      <c r="S90" s="11"/>
      <c r="T90" s="11"/>
      <c r="U90" s="11"/>
      <c r="V90" s="11"/>
    </row>
    <row r="91" spans="1:22">
      <c r="A91" s="11"/>
      <c r="B91" s="11"/>
      <c r="C91" s="11"/>
      <c r="D91" s="11"/>
      <c r="E91" s="11"/>
      <c r="F91" s="11"/>
      <c r="G91" s="11"/>
      <c r="H91" s="11"/>
      <c r="I91" s="11"/>
      <c r="J91" s="11"/>
      <c r="K91" s="11"/>
      <c r="L91" s="11"/>
      <c r="M91" s="11"/>
      <c r="N91" s="11"/>
      <c r="O91" s="11"/>
      <c r="P91" s="11"/>
      <c r="Q91" s="11"/>
      <c r="R91" s="11"/>
      <c r="S91" s="11"/>
      <c r="T91" s="11"/>
      <c r="U91" s="11"/>
      <c r="V91" s="11"/>
    </row>
    <row r="92" spans="1:22">
      <c r="A92" s="11"/>
      <c r="B92" s="11"/>
      <c r="C92" s="11"/>
      <c r="D92" s="11"/>
      <c r="E92" s="11"/>
      <c r="F92" s="11"/>
      <c r="G92" s="11"/>
      <c r="H92" s="11"/>
      <c r="I92" s="11"/>
      <c r="J92" s="11"/>
      <c r="K92" s="11"/>
      <c r="L92" s="11"/>
      <c r="M92" s="11"/>
      <c r="N92" s="11"/>
      <c r="O92" s="11"/>
      <c r="P92" s="11"/>
      <c r="Q92" s="11"/>
      <c r="R92" s="11"/>
      <c r="S92" s="11"/>
      <c r="T92" s="11"/>
      <c r="U92" s="11"/>
      <c r="V92" s="11"/>
    </row>
    <row r="93" spans="1:22">
      <c r="A93" s="11"/>
      <c r="B93" s="11"/>
      <c r="C93" s="11"/>
      <c r="D93" s="11"/>
      <c r="E93" s="11"/>
      <c r="F93" s="11"/>
      <c r="G93" s="11"/>
      <c r="H93" s="11"/>
      <c r="I93" s="11"/>
      <c r="J93" s="11"/>
      <c r="K93" s="11"/>
      <c r="L93" s="11"/>
      <c r="M93" s="11"/>
      <c r="N93" s="11"/>
      <c r="O93" s="11"/>
      <c r="P93" s="11"/>
      <c r="Q93" s="11"/>
      <c r="R93" s="11"/>
      <c r="S93" s="11"/>
      <c r="T93" s="11"/>
      <c r="U93" s="11"/>
      <c r="V93" s="11"/>
    </row>
    <row r="94" spans="1:22">
      <c r="A94" s="11"/>
      <c r="B94" s="11"/>
      <c r="C94" s="11"/>
      <c r="D94" s="11"/>
      <c r="E94" s="11"/>
      <c r="F94" s="11"/>
      <c r="G94" s="11"/>
      <c r="H94" s="11"/>
      <c r="I94" s="11"/>
      <c r="J94" s="11"/>
      <c r="K94" s="11"/>
      <c r="L94" s="11"/>
      <c r="M94" s="11"/>
      <c r="N94" s="11"/>
      <c r="O94" s="11"/>
      <c r="P94" s="11"/>
      <c r="Q94" s="11"/>
      <c r="R94" s="11"/>
      <c r="S94" s="11"/>
      <c r="T94" s="11"/>
      <c r="U94" s="11"/>
      <c r="V94" s="11"/>
    </row>
    <row r="95" spans="1:22">
      <c r="A95" s="11"/>
      <c r="B95" s="11"/>
      <c r="C95" s="11"/>
      <c r="D95" s="11"/>
      <c r="E95" s="11"/>
      <c r="F95" s="11"/>
      <c r="G95" s="11"/>
      <c r="H95" s="11"/>
      <c r="I95" s="11"/>
      <c r="J95" s="11"/>
      <c r="K95" s="11"/>
      <c r="L95" s="11"/>
      <c r="M95" s="11"/>
      <c r="N95" s="11"/>
      <c r="O95" s="11"/>
      <c r="P95" s="11"/>
      <c r="Q95" s="11"/>
      <c r="R95" s="11"/>
      <c r="S95" s="11"/>
      <c r="T95" s="11"/>
      <c r="U95" s="11"/>
      <c r="V95" s="11"/>
    </row>
    <row r="96" spans="1:22">
      <c r="A96" s="11"/>
      <c r="B96" s="11"/>
      <c r="C96" s="11"/>
      <c r="D96" s="11"/>
      <c r="E96" s="11"/>
      <c r="F96" s="11"/>
      <c r="G96" s="11"/>
      <c r="H96" s="11"/>
      <c r="I96" s="11"/>
      <c r="J96" s="11"/>
      <c r="K96" s="11"/>
      <c r="L96" s="11"/>
      <c r="M96" s="11"/>
      <c r="N96" s="11"/>
      <c r="O96" s="11"/>
      <c r="P96" s="11"/>
      <c r="Q96" s="11"/>
      <c r="R96" s="11"/>
      <c r="S96" s="11"/>
      <c r="T96" s="11"/>
      <c r="U96" s="11"/>
      <c r="V96" s="11"/>
    </row>
    <row r="97" spans="1:22">
      <c r="A97" s="11"/>
      <c r="B97" s="11"/>
      <c r="C97" s="11"/>
      <c r="D97" s="11"/>
      <c r="E97" s="11"/>
      <c r="F97" s="11"/>
      <c r="G97" s="11"/>
      <c r="H97" s="11"/>
      <c r="I97" s="11"/>
      <c r="J97" s="11"/>
      <c r="K97" s="11"/>
      <c r="L97" s="11"/>
      <c r="M97" s="11"/>
      <c r="N97" s="11"/>
      <c r="O97" s="11"/>
      <c r="P97" s="11"/>
      <c r="Q97" s="11"/>
      <c r="R97" s="11"/>
      <c r="S97" s="11"/>
      <c r="T97" s="11"/>
      <c r="U97" s="11"/>
      <c r="V97" s="11"/>
    </row>
    <row r="98" spans="1:22">
      <c r="A98" s="11"/>
      <c r="B98" s="11"/>
      <c r="C98" s="11"/>
      <c r="D98" s="11"/>
      <c r="E98" s="11"/>
      <c r="F98" s="11"/>
      <c r="G98" s="11"/>
      <c r="H98" s="11"/>
      <c r="I98" s="11"/>
      <c r="J98" s="11"/>
      <c r="K98" s="11"/>
      <c r="L98" s="11"/>
      <c r="M98" s="11"/>
      <c r="N98" s="11"/>
      <c r="O98" s="11"/>
      <c r="P98" s="11"/>
      <c r="Q98" s="11"/>
      <c r="R98" s="11"/>
      <c r="S98" s="11"/>
      <c r="T98" s="11"/>
      <c r="U98" s="11"/>
      <c r="V98" s="11"/>
    </row>
    <row r="99" spans="1:22">
      <c r="A99" s="11"/>
      <c r="B99" s="11"/>
      <c r="C99" s="11"/>
      <c r="D99" s="11"/>
      <c r="E99" s="11"/>
      <c r="F99" s="11"/>
      <c r="G99" s="11"/>
      <c r="H99" s="11"/>
      <c r="I99" s="11"/>
      <c r="J99" s="11"/>
      <c r="K99" s="11"/>
      <c r="L99" s="11"/>
      <c r="M99" s="11"/>
      <c r="N99" s="11"/>
      <c r="O99" s="11"/>
      <c r="P99" s="11"/>
      <c r="Q99" s="11"/>
      <c r="R99" s="11"/>
      <c r="S99" s="11"/>
      <c r="T99" s="11"/>
      <c r="U99" s="11"/>
      <c r="V99" s="11"/>
    </row>
    <row r="100" spans="1:2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c r="A247" s="11"/>
      <c r="B247" s="11"/>
      <c r="C247" s="11"/>
      <c r="D247" s="11"/>
      <c r="E247" s="11"/>
      <c r="F247" s="11"/>
      <c r="G247" s="11"/>
      <c r="H247" s="11"/>
      <c r="I247" s="11"/>
      <c r="J247" s="11"/>
      <c r="K247" s="11"/>
      <c r="L247" s="11"/>
      <c r="M247" s="11"/>
      <c r="N247" s="11"/>
      <c r="O247" s="11"/>
      <c r="P247" s="11"/>
      <c r="Q247" s="11"/>
      <c r="R247" s="11"/>
      <c r="S247" s="11"/>
      <c r="T247" s="11"/>
      <c r="U247" s="11"/>
      <c r="V247" s="11"/>
    </row>
    <row r="248" spans="1:22">
      <c r="A248" s="11"/>
      <c r="B248" s="11"/>
      <c r="C248" s="11"/>
      <c r="D248" s="11"/>
      <c r="E248" s="11"/>
      <c r="F248" s="11"/>
      <c r="G248" s="11"/>
      <c r="H248" s="11"/>
      <c r="I248" s="11"/>
      <c r="J248" s="11"/>
      <c r="K248" s="11"/>
      <c r="L248" s="11"/>
      <c r="M248" s="11"/>
      <c r="N248" s="11"/>
      <c r="O248" s="11"/>
      <c r="P248" s="11"/>
      <c r="Q248" s="11"/>
      <c r="R248" s="11"/>
      <c r="S248" s="11"/>
      <c r="T248" s="11"/>
      <c r="U248" s="11"/>
      <c r="V248" s="11"/>
    </row>
    <row r="249" spans="1:22">
      <c r="A249" s="11"/>
      <c r="B249" s="11"/>
      <c r="C249" s="11"/>
      <c r="D249" s="11"/>
      <c r="E249" s="11"/>
      <c r="F249" s="11"/>
      <c r="G249" s="11"/>
      <c r="H249" s="11"/>
      <c r="I249" s="11"/>
      <c r="J249" s="11"/>
      <c r="K249" s="11"/>
      <c r="L249" s="11"/>
      <c r="M249" s="11"/>
      <c r="N249" s="11"/>
      <c r="O249" s="11"/>
      <c r="P249" s="11"/>
      <c r="Q249" s="11"/>
      <c r="R249" s="11"/>
      <c r="S249" s="11"/>
      <c r="T249" s="11"/>
      <c r="U249" s="11"/>
      <c r="V249" s="11"/>
    </row>
    <row r="250" spans="1:22">
      <c r="A250" s="11"/>
      <c r="B250" s="11"/>
      <c r="C250" s="11"/>
      <c r="D250" s="11"/>
      <c r="E250" s="11"/>
      <c r="F250" s="11"/>
      <c r="G250" s="11"/>
      <c r="H250" s="11"/>
      <c r="I250" s="11"/>
      <c r="J250" s="11"/>
      <c r="K250" s="11"/>
      <c r="L250" s="11"/>
      <c r="M250" s="11"/>
      <c r="N250" s="11"/>
      <c r="O250" s="11"/>
      <c r="P250" s="11"/>
      <c r="Q250" s="11"/>
      <c r="R250" s="11"/>
      <c r="S250" s="11"/>
      <c r="T250" s="11"/>
      <c r="U250" s="11"/>
      <c r="V250" s="11"/>
    </row>
    <row r="251" spans="1:22">
      <c r="A251" s="11"/>
      <c r="B251" s="11"/>
      <c r="C251" s="11"/>
      <c r="D251" s="11"/>
      <c r="E251" s="11"/>
      <c r="F251" s="11"/>
      <c r="G251" s="11"/>
      <c r="H251" s="11"/>
      <c r="I251" s="11"/>
      <c r="J251" s="11"/>
      <c r="K251" s="11"/>
      <c r="L251" s="11"/>
      <c r="M251" s="11"/>
      <c r="N251" s="11"/>
      <c r="O251" s="11"/>
      <c r="P251" s="11"/>
      <c r="Q251" s="11"/>
      <c r="R251" s="11"/>
      <c r="S251" s="11"/>
      <c r="T251" s="11"/>
      <c r="U251" s="11"/>
      <c r="V251" s="11"/>
    </row>
    <row r="252" spans="1:22">
      <c r="A252" s="11"/>
      <c r="B252" s="11"/>
      <c r="C252" s="11"/>
      <c r="D252" s="11"/>
      <c r="E252" s="11"/>
      <c r="F252" s="11"/>
      <c r="G252" s="11"/>
      <c r="H252" s="11"/>
      <c r="I252" s="11"/>
      <c r="J252" s="11"/>
      <c r="K252" s="11"/>
      <c r="L252" s="11"/>
      <c r="M252" s="11"/>
      <c r="N252" s="11"/>
      <c r="O252" s="11"/>
      <c r="P252" s="11"/>
      <c r="Q252" s="11"/>
      <c r="R252" s="11"/>
      <c r="S252" s="11"/>
      <c r="T252" s="11"/>
      <c r="U252" s="11"/>
      <c r="V252" s="11"/>
    </row>
    <row r="253" spans="1:22">
      <c r="A253" s="11"/>
      <c r="B253" s="11"/>
      <c r="C253" s="11"/>
      <c r="D253" s="11"/>
      <c r="E253" s="11"/>
      <c r="F253" s="11"/>
      <c r="G253" s="11"/>
      <c r="H253" s="11"/>
      <c r="I253" s="11"/>
      <c r="J253" s="11"/>
      <c r="K253" s="11"/>
      <c r="L253" s="11"/>
      <c r="M253" s="11"/>
      <c r="N253" s="11"/>
      <c r="O253" s="11"/>
      <c r="P253" s="11"/>
      <c r="Q253" s="11"/>
      <c r="R253" s="11"/>
      <c r="S253" s="11"/>
      <c r="T253" s="11"/>
      <c r="U253" s="11"/>
      <c r="V253" s="11"/>
    </row>
    <row r="254" spans="1:22">
      <c r="A254" s="11"/>
      <c r="B254" s="11"/>
      <c r="C254" s="11"/>
      <c r="D254" s="11"/>
      <c r="E254" s="11"/>
      <c r="F254" s="11"/>
      <c r="G254" s="11"/>
      <c r="H254" s="11"/>
      <c r="I254" s="11"/>
      <c r="J254" s="11"/>
      <c r="K254" s="11"/>
      <c r="L254" s="11"/>
      <c r="M254" s="11"/>
      <c r="N254" s="11"/>
      <c r="O254" s="11"/>
      <c r="P254" s="11"/>
      <c r="Q254" s="11"/>
      <c r="R254" s="11"/>
      <c r="S254" s="11"/>
      <c r="T254" s="11"/>
      <c r="U254" s="11"/>
      <c r="V254" s="11"/>
    </row>
    <row r="255" spans="1:22">
      <c r="A255" s="11"/>
      <c r="B255" s="11"/>
      <c r="C255" s="11"/>
      <c r="D255" s="11"/>
      <c r="E255" s="11"/>
      <c r="F255" s="11"/>
      <c r="G255" s="11"/>
      <c r="H255" s="11"/>
      <c r="I255" s="11"/>
      <c r="J255" s="11"/>
      <c r="K255" s="11"/>
      <c r="L255" s="11"/>
      <c r="M255" s="11"/>
      <c r="N255" s="11"/>
      <c r="O255" s="11"/>
      <c r="P255" s="11"/>
      <c r="Q255" s="11"/>
      <c r="R255" s="11"/>
      <c r="S255" s="11"/>
      <c r="T255" s="11"/>
      <c r="U255" s="11"/>
      <c r="V255" s="11"/>
    </row>
    <row r="256" spans="1:22">
      <c r="A256" s="11"/>
      <c r="B256" s="11"/>
      <c r="C256" s="11"/>
      <c r="D256" s="11"/>
      <c r="E256" s="11"/>
      <c r="F256" s="11"/>
      <c r="G256" s="11"/>
      <c r="H256" s="11"/>
      <c r="I256" s="11"/>
      <c r="J256" s="11"/>
      <c r="K256" s="11"/>
      <c r="L256" s="11"/>
      <c r="M256" s="11"/>
      <c r="N256" s="11"/>
      <c r="O256" s="11"/>
      <c r="P256" s="11"/>
      <c r="Q256" s="11"/>
      <c r="R256" s="11"/>
      <c r="S256" s="11"/>
      <c r="T256" s="11"/>
      <c r="U256" s="11"/>
      <c r="V256" s="11"/>
    </row>
    <row r="257" spans="1:22">
      <c r="A257" s="11"/>
      <c r="B257" s="11"/>
      <c r="C257" s="11"/>
      <c r="D257" s="11"/>
      <c r="E257" s="11"/>
      <c r="F257" s="11"/>
      <c r="G257" s="11"/>
      <c r="H257" s="11"/>
      <c r="I257" s="11"/>
      <c r="J257" s="11"/>
      <c r="K257" s="11"/>
      <c r="L257" s="11"/>
      <c r="M257" s="11"/>
      <c r="N257" s="11"/>
      <c r="O257" s="11"/>
      <c r="P257" s="11"/>
      <c r="Q257" s="11"/>
      <c r="R257" s="11"/>
      <c r="S257" s="11"/>
      <c r="T257" s="11"/>
      <c r="U257" s="11"/>
      <c r="V257" s="11"/>
    </row>
    <row r="258" spans="1:22">
      <c r="A258" s="11"/>
      <c r="B258" s="11"/>
      <c r="C258" s="11"/>
      <c r="D258" s="11"/>
      <c r="E258" s="11"/>
      <c r="F258" s="11"/>
      <c r="G258" s="11"/>
      <c r="H258" s="11"/>
      <c r="I258" s="11"/>
      <c r="J258" s="11"/>
      <c r="K258" s="11"/>
      <c r="L258" s="11"/>
      <c r="M258" s="11"/>
      <c r="N258" s="11"/>
      <c r="O258" s="11"/>
      <c r="P258" s="11"/>
      <c r="Q258" s="11"/>
      <c r="R258" s="11"/>
      <c r="S258" s="11"/>
      <c r="T258" s="11"/>
      <c r="U258" s="11"/>
      <c r="V258" s="11"/>
    </row>
    <row r="259" spans="1:22">
      <c r="A259" s="11"/>
      <c r="B259" s="11"/>
      <c r="C259" s="11"/>
      <c r="D259" s="11"/>
      <c r="E259" s="11"/>
      <c r="F259" s="11"/>
      <c r="G259" s="11"/>
      <c r="H259" s="11"/>
      <c r="I259" s="11"/>
      <c r="J259" s="11"/>
      <c r="K259" s="11"/>
      <c r="L259" s="11"/>
      <c r="M259" s="11"/>
      <c r="N259" s="11"/>
      <c r="O259" s="11"/>
      <c r="P259" s="11"/>
      <c r="Q259" s="11"/>
      <c r="R259" s="11"/>
      <c r="S259" s="11"/>
      <c r="T259" s="11"/>
      <c r="U259" s="11"/>
      <c r="V259" s="11"/>
    </row>
    <row r="260" spans="1:22">
      <c r="A260" s="11"/>
      <c r="B260" s="11"/>
      <c r="C260" s="11"/>
      <c r="D260" s="11"/>
      <c r="E260" s="11"/>
      <c r="F260" s="11"/>
      <c r="G260" s="11"/>
      <c r="H260" s="11"/>
      <c r="I260" s="11"/>
      <c r="J260" s="11"/>
      <c r="K260" s="11"/>
      <c r="L260" s="11"/>
      <c r="M260" s="11"/>
      <c r="N260" s="11"/>
      <c r="O260" s="11"/>
      <c r="P260" s="11"/>
      <c r="Q260" s="11"/>
      <c r="R260" s="11"/>
      <c r="S260" s="11"/>
      <c r="T260" s="11"/>
      <c r="U260" s="11"/>
      <c r="V260" s="11"/>
    </row>
    <row r="261" spans="1:22">
      <c r="A261" s="11"/>
      <c r="B261" s="11"/>
      <c r="C261" s="11"/>
      <c r="D261" s="11"/>
      <c r="E261" s="11"/>
      <c r="F261" s="11"/>
      <c r="G261" s="11"/>
      <c r="H261" s="11"/>
      <c r="I261" s="11"/>
      <c r="J261" s="11"/>
      <c r="K261" s="11"/>
      <c r="L261" s="11"/>
      <c r="M261" s="11"/>
      <c r="N261" s="11"/>
      <c r="O261" s="11"/>
      <c r="P261" s="11"/>
      <c r="Q261" s="11"/>
      <c r="R261" s="11"/>
      <c r="S261" s="11"/>
      <c r="T261" s="11"/>
      <c r="U261" s="11"/>
      <c r="V261" s="11"/>
    </row>
    <row r="262" spans="1:22">
      <c r="A262" s="11"/>
      <c r="B262" s="11"/>
      <c r="C262" s="11"/>
      <c r="D262" s="11"/>
      <c r="E262" s="11"/>
      <c r="F262" s="11"/>
      <c r="G262" s="11"/>
      <c r="H262" s="11"/>
      <c r="I262" s="11"/>
      <c r="J262" s="11"/>
      <c r="K262" s="11"/>
      <c r="L262" s="11"/>
      <c r="M262" s="11"/>
      <c r="N262" s="11"/>
      <c r="O262" s="11"/>
      <c r="P262" s="11"/>
      <c r="Q262" s="11"/>
      <c r="R262" s="11"/>
      <c r="S262" s="11"/>
      <c r="T262" s="11"/>
      <c r="U262" s="11"/>
      <c r="V262" s="11"/>
    </row>
    <row r="263" spans="1:22">
      <c r="A263" s="11"/>
      <c r="B263" s="11"/>
      <c r="C263" s="11"/>
      <c r="D263" s="11"/>
      <c r="E263" s="11"/>
      <c r="F263" s="11"/>
      <c r="G263" s="11"/>
      <c r="H263" s="11"/>
      <c r="I263" s="11"/>
      <c r="J263" s="11"/>
      <c r="K263" s="11"/>
      <c r="L263" s="11"/>
      <c r="M263" s="11"/>
      <c r="N263" s="11"/>
      <c r="O263" s="11"/>
      <c r="P263" s="11"/>
      <c r="Q263" s="11"/>
      <c r="R263" s="11"/>
      <c r="S263" s="11"/>
      <c r="T263" s="11"/>
      <c r="U263" s="11"/>
      <c r="V263" s="11"/>
    </row>
    <row r="264" spans="1:22">
      <c r="A264" s="11"/>
      <c r="B264" s="11"/>
      <c r="C264" s="11"/>
      <c r="D264" s="11"/>
      <c r="E264" s="11"/>
      <c r="F264" s="11"/>
      <c r="G264" s="11"/>
      <c r="H264" s="11"/>
      <c r="I264" s="11"/>
      <c r="J264" s="11"/>
      <c r="K264" s="11"/>
      <c r="L264" s="11"/>
      <c r="M264" s="11"/>
      <c r="N264" s="11"/>
      <c r="O264" s="11"/>
      <c r="P264" s="11"/>
      <c r="Q264" s="11"/>
      <c r="R264" s="11"/>
      <c r="S264" s="11"/>
      <c r="T264" s="11"/>
      <c r="U264" s="11"/>
      <c r="V264" s="11"/>
    </row>
    <row r="265" spans="1:22">
      <c r="A265" s="11"/>
      <c r="B265" s="11"/>
      <c r="C265" s="11"/>
      <c r="D265" s="11"/>
      <c r="E265" s="11"/>
      <c r="F265" s="11"/>
      <c r="G265" s="11"/>
      <c r="H265" s="11"/>
      <c r="I265" s="11"/>
      <c r="J265" s="11"/>
      <c r="K265" s="11"/>
      <c r="L265" s="11"/>
      <c r="M265" s="11"/>
      <c r="N265" s="11"/>
      <c r="O265" s="11"/>
      <c r="P265" s="11"/>
      <c r="Q265" s="11"/>
      <c r="R265" s="11"/>
      <c r="S265" s="11"/>
      <c r="T265" s="11"/>
      <c r="U265" s="11"/>
      <c r="V265" s="11"/>
    </row>
    <row r="266" spans="1:22">
      <c r="A266" s="11"/>
      <c r="B266" s="11"/>
      <c r="C266" s="11"/>
      <c r="D266" s="11"/>
      <c r="E266" s="11"/>
      <c r="F266" s="11"/>
      <c r="G266" s="11"/>
      <c r="H266" s="11"/>
      <c r="I266" s="11"/>
      <c r="J266" s="11"/>
      <c r="K266" s="11"/>
      <c r="L266" s="11"/>
      <c r="M266" s="11"/>
      <c r="N266" s="11"/>
      <c r="O266" s="11"/>
      <c r="P266" s="11"/>
      <c r="Q266" s="11"/>
      <c r="R266" s="11"/>
      <c r="S266" s="11"/>
      <c r="T266" s="11"/>
      <c r="U266" s="11"/>
      <c r="V266" s="11"/>
    </row>
    <row r="267" spans="1:22">
      <c r="A267" s="11"/>
      <c r="B267" s="11"/>
      <c r="C267" s="11"/>
      <c r="D267" s="11"/>
      <c r="E267" s="11"/>
      <c r="F267" s="11"/>
      <c r="G267" s="11"/>
      <c r="H267" s="11"/>
      <c r="I267" s="11"/>
      <c r="J267" s="11"/>
      <c r="K267" s="11"/>
      <c r="L267" s="11"/>
      <c r="M267" s="11"/>
      <c r="N267" s="11"/>
      <c r="O267" s="11"/>
      <c r="P267" s="11"/>
      <c r="Q267" s="11"/>
      <c r="R267" s="11"/>
      <c r="S267" s="11"/>
      <c r="T267" s="11"/>
      <c r="U267" s="11"/>
      <c r="V267" s="11"/>
    </row>
    <row r="268" spans="1:22">
      <c r="A268" s="11"/>
      <c r="B268" s="11"/>
      <c r="C268" s="11"/>
      <c r="D268" s="11"/>
      <c r="E268" s="11"/>
      <c r="F268" s="11"/>
      <c r="G268" s="11"/>
      <c r="H268" s="11"/>
      <c r="I268" s="11"/>
      <c r="J268" s="11"/>
      <c r="K268" s="11"/>
      <c r="L268" s="11"/>
      <c r="M268" s="11"/>
      <c r="N268" s="11"/>
      <c r="O268" s="11"/>
      <c r="P268" s="11"/>
      <c r="Q268" s="11"/>
      <c r="R268" s="11"/>
      <c r="S268" s="11"/>
      <c r="T268" s="11"/>
      <c r="U268" s="11"/>
      <c r="V268" s="11"/>
    </row>
    <row r="269" spans="1:22">
      <c r="A269" s="11"/>
      <c r="B269" s="11"/>
      <c r="C269" s="11"/>
      <c r="D269" s="11"/>
      <c r="E269" s="11"/>
      <c r="F269" s="11"/>
      <c r="G269" s="11"/>
      <c r="H269" s="11"/>
      <c r="I269" s="11"/>
      <c r="J269" s="11"/>
      <c r="K269" s="11"/>
      <c r="L269" s="11"/>
      <c r="M269" s="11"/>
      <c r="N269" s="11"/>
      <c r="O269" s="11"/>
      <c r="P269" s="11"/>
      <c r="Q269" s="11"/>
      <c r="R269" s="11"/>
      <c r="S269" s="11"/>
      <c r="T269" s="11"/>
      <c r="U269" s="11"/>
      <c r="V269" s="11"/>
    </row>
    <row r="270" spans="1:22">
      <c r="A270" s="11"/>
      <c r="B270" s="11"/>
      <c r="C270" s="11"/>
      <c r="D270" s="11"/>
      <c r="E270" s="11"/>
      <c r="F270" s="11"/>
      <c r="G270" s="11"/>
      <c r="H270" s="11"/>
      <c r="I270" s="11"/>
      <c r="J270" s="11"/>
      <c r="K270" s="11"/>
      <c r="L270" s="11"/>
      <c r="M270" s="11"/>
      <c r="N270" s="11"/>
      <c r="O270" s="11"/>
      <c r="P270" s="11"/>
      <c r="Q270" s="11"/>
      <c r="R270" s="11"/>
      <c r="S270" s="11"/>
      <c r="T270" s="11"/>
      <c r="U270" s="11"/>
      <c r="V270" s="11"/>
    </row>
    <row r="271" spans="1:22">
      <c r="A271" s="11"/>
      <c r="B271" s="11"/>
      <c r="C271" s="11"/>
      <c r="D271" s="11"/>
      <c r="E271" s="11"/>
      <c r="F271" s="11"/>
      <c r="G271" s="11"/>
      <c r="H271" s="11"/>
      <c r="I271" s="11"/>
      <c r="J271" s="11"/>
      <c r="K271" s="11"/>
      <c r="L271" s="11"/>
      <c r="M271" s="11"/>
      <c r="N271" s="11"/>
      <c r="O271" s="11"/>
      <c r="P271" s="11"/>
      <c r="Q271" s="11"/>
      <c r="R271" s="11"/>
      <c r="S271" s="11"/>
      <c r="T271" s="11"/>
      <c r="U271" s="11"/>
      <c r="V271" s="11"/>
    </row>
    <row r="272" spans="1:22">
      <c r="A272" s="11"/>
      <c r="B272" s="11"/>
      <c r="C272" s="11"/>
      <c r="D272" s="11"/>
      <c r="E272" s="11"/>
      <c r="F272" s="11"/>
      <c r="G272" s="11"/>
      <c r="H272" s="11"/>
      <c r="I272" s="11"/>
      <c r="J272" s="11"/>
      <c r="K272" s="11"/>
      <c r="L272" s="11"/>
      <c r="M272" s="11"/>
      <c r="N272" s="11"/>
      <c r="O272" s="11"/>
      <c r="P272" s="11"/>
      <c r="Q272" s="11"/>
      <c r="R272" s="11"/>
      <c r="S272" s="11"/>
      <c r="T272" s="11"/>
      <c r="U272" s="11"/>
      <c r="V272" s="11"/>
    </row>
    <row r="273" spans="1:22">
      <c r="A273" s="11"/>
      <c r="B273" s="11"/>
      <c r="C273" s="11"/>
      <c r="D273" s="11"/>
      <c r="E273" s="11"/>
      <c r="F273" s="11"/>
      <c r="G273" s="11"/>
      <c r="H273" s="11"/>
      <c r="I273" s="11"/>
      <c r="J273" s="11"/>
      <c r="K273" s="11"/>
      <c r="L273" s="11"/>
      <c r="M273" s="11"/>
      <c r="N273" s="11"/>
      <c r="O273" s="11"/>
      <c r="P273" s="11"/>
      <c r="Q273" s="11"/>
      <c r="R273" s="11"/>
      <c r="S273" s="11"/>
      <c r="T273" s="11"/>
      <c r="U273" s="11"/>
      <c r="V273" s="11"/>
    </row>
    <row r="274" spans="1:22">
      <c r="A274" s="11"/>
      <c r="B274" s="11"/>
      <c r="C274" s="11"/>
      <c r="D274" s="11"/>
      <c r="E274" s="11"/>
      <c r="F274" s="11"/>
      <c r="G274" s="11"/>
      <c r="H274" s="11"/>
      <c r="I274" s="11"/>
      <c r="J274" s="11"/>
      <c r="K274" s="11"/>
      <c r="L274" s="11"/>
      <c r="M274" s="11"/>
      <c r="N274" s="11"/>
      <c r="O274" s="11"/>
      <c r="P274" s="11"/>
      <c r="Q274" s="11"/>
      <c r="R274" s="11"/>
      <c r="S274" s="11"/>
      <c r="T274" s="11"/>
      <c r="U274" s="11"/>
      <c r="V274" s="11"/>
    </row>
    <row r="275" spans="1:22">
      <c r="A275" s="11"/>
      <c r="B275" s="11"/>
      <c r="C275" s="11"/>
      <c r="D275" s="11"/>
      <c r="E275" s="11"/>
      <c r="F275" s="11"/>
      <c r="G275" s="11"/>
      <c r="H275" s="11"/>
      <c r="I275" s="11"/>
      <c r="J275" s="11"/>
      <c r="K275" s="11"/>
      <c r="L275" s="11"/>
      <c r="M275" s="11"/>
      <c r="N275" s="11"/>
      <c r="O275" s="11"/>
      <c r="P275" s="11"/>
      <c r="Q275" s="11"/>
      <c r="R275" s="11"/>
      <c r="S275" s="11"/>
      <c r="T275" s="11"/>
      <c r="U275" s="11"/>
      <c r="V275" s="11"/>
    </row>
    <row r="276" spans="1:22">
      <c r="A276" s="11"/>
      <c r="B276" s="11"/>
      <c r="C276" s="11"/>
      <c r="D276" s="11"/>
      <c r="E276" s="11"/>
      <c r="F276" s="11"/>
      <c r="G276" s="11"/>
      <c r="H276" s="11"/>
      <c r="I276" s="11"/>
      <c r="J276" s="11"/>
      <c r="K276" s="11"/>
      <c r="L276" s="11"/>
      <c r="M276" s="11"/>
      <c r="N276" s="11"/>
      <c r="O276" s="11"/>
      <c r="P276" s="11"/>
      <c r="Q276" s="11"/>
      <c r="R276" s="11"/>
      <c r="S276" s="11"/>
      <c r="T276" s="11"/>
      <c r="U276" s="11"/>
      <c r="V276" s="11"/>
    </row>
    <row r="277" spans="1:22">
      <c r="A277" s="11"/>
      <c r="B277" s="11"/>
      <c r="C277" s="11"/>
      <c r="D277" s="11"/>
      <c r="E277" s="11"/>
      <c r="F277" s="11"/>
      <c r="G277" s="11"/>
      <c r="H277" s="11"/>
      <c r="I277" s="11"/>
      <c r="J277" s="11"/>
      <c r="K277" s="11"/>
      <c r="L277" s="11"/>
      <c r="M277" s="11"/>
      <c r="N277" s="11"/>
      <c r="O277" s="11"/>
      <c r="P277" s="11"/>
      <c r="Q277" s="11"/>
      <c r="R277" s="11"/>
      <c r="S277" s="11"/>
      <c r="T277" s="11"/>
      <c r="U277" s="11"/>
      <c r="V277" s="11"/>
    </row>
    <row r="278" spans="1:22">
      <c r="A278" s="11"/>
      <c r="B278" s="11"/>
      <c r="C278" s="11"/>
      <c r="D278" s="11"/>
      <c r="E278" s="11"/>
      <c r="F278" s="11"/>
      <c r="G278" s="11"/>
      <c r="H278" s="11"/>
      <c r="I278" s="11"/>
      <c r="J278" s="11"/>
      <c r="K278" s="11"/>
      <c r="L278" s="11"/>
      <c r="M278" s="11"/>
      <c r="N278" s="11"/>
      <c r="O278" s="11"/>
      <c r="P278" s="11"/>
      <c r="Q278" s="11"/>
      <c r="R278" s="11"/>
      <c r="S278" s="11"/>
      <c r="T278" s="11"/>
      <c r="U278" s="11"/>
      <c r="V278" s="11"/>
    </row>
    <row r="279" spans="1:22">
      <c r="A279" s="11"/>
      <c r="B279" s="11"/>
      <c r="C279" s="11"/>
      <c r="D279" s="11"/>
      <c r="E279" s="11"/>
      <c r="F279" s="11"/>
      <c r="G279" s="11"/>
      <c r="H279" s="11"/>
      <c r="I279" s="11"/>
      <c r="J279" s="11"/>
      <c r="K279" s="11"/>
      <c r="L279" s="11"/>
      <c r="M279" s="11"/>
      <c r="N279" s="11"/>
      <c r="O279" s="11"/>
      <c r="P279" s="11"/>
      <c r="Q279" s="11"/>
      <c r="R279" s="11"/>
      <c r="S279" s="11"/>
      <c r="T279" s="11"/>
      <c r="U279" s="11"/>
      <c r="V279" s="11"/>
    </row>
    <row r="280" spans="1:22">
      <c r="A280" s="11"/>
      <c r="B280" s="11"/>
      <c r="C280" s="11"/>
      <c r="D280" s="11"/>
      <c r="E280" s="11"/>
      <c r="F280" s="11"/>
      <c r="G280" s="11"/>
      <c r="H280" s="11"/>
      <c r="I280" s="11"/>
      <c r="J280" s="11"/>
      <c r="K280" s="11"/>
      <c r="L280" s="11"/>
      <c r="M280" s="11"/>
      <c r="N280" s="11"/>
      <c r="O280" s="11"/>
      <c r="P280" s="11"/>
      <c r="Q280" s="11"/>
      <c r="R280" s="11"/>
      <c r="S280" s="11"/>
      <c r="T280" s="11"/>
      <c r="U280" s="11"/>
      <c r="V280" s="11"/>
    </row>
    <row r="281" spans="1:22">
      <c r="A281" s="11"/>
      <c r="B281" s="11"/>
      <c r="C281" s="11"/>
      <c r="D281" s="11"/>
      <c r="E281" s="11"/>
      <c r="F281" s="11"/>
      <c r="G281" s="11"/>
      <c r="H281" s="11"/>
      <c r="I281" s="11"/>
      <c r="J281" s="11"/>
      <c r="K281" s="11"/>
      <c r="L281" s="11"/>
      <c r="M281" s="11"/>
      <c r="N281" s="11"/>
      <c r="O281" s="11"/>
      <c r="P281" s="11"/>
      <c r="Q281" s="11"/>
      <c r="R281" s="11"/>
      <c r="S281" s="11"/>
      <c r="T281" s="11"/>
      <c r="U281" s="11"/>
      <c r="V281" s="11"/>
    </row>
    <row r="282" spans="1:22">
      <c r="A282" s="11"/>
      <c r="B282" s="11"/>
      <c r="C282" s="11"/>
      <c r="D282" s="11"/>
      <c r="E282" s="11"/>
      <c r="F282" s="11"/>
      <c r="G282" s="11"/>
      <c r="H282" s="11"/>
      <c r="I282" s="11"/>
      <c r="J282" s="11"/>
      <c r="K282" s="11"/>
      <c r="L282" s="11"/>
      <c r="M282" s="11"/>
      <c r="N282" s="11"/>
      <c r="O282" s="11"/>
      <c r="P282" s="11"/>
      <c r="Q282" s="11"/>
      <c r="R282" s="11"/>
      <c r="S282" s="11"/>
      <c r="T282" s="11"/>
      <c r="U282" s="11"/>
      <c r="V282" s="11"/>
    </row>
    <row r="283" spans="1:22">
      <c r="A283" s="11"/>
      <c r="B283" s="11"/>
      <c r="C283" s="11"/>
      <c r="D283" s="11"/>
      <c r="E283" s="11"/>
      <c r="F283" s="11"/>
      <c r="G283" s="11"/>
      <c r="H283" s="11"/>
      <c r="I283" s="11"/>
      <c r="J283" s="11"/>
      <c r="K283" s="11"/>
      <c r="L283" s="11"/>
      <c r="M283" s="11"/>
      <c r="N283" s="11"/>
      <c r="O283" s="11"/>
      <c r="P283" s="11"/>
      <c r="Q283" s="11"/>
      <c r="R283" s="11"/>
      <c r="S283" s="11"/>
      <c r="T283" s="11"/>
      <c r="U283" s="11"/>
      <c r="V283" s="11"/>
    </row>
    <row r="284" spans="1:22">
      <c r="A284" s="11"/>
      <c r="B284" s="11"/>
      <c r="C284" s="11"/>
      <c r="D284" s="11"/>
      <c r="E284" s="11"/>
      <c r="F284" s="11"/>
      <c r="G284" s="11"/>
      <c r="H284" s="11"/>
      <c r="I284" s="11"/>
      <c r="J284" s="11"/>
      <c r="K284" s="11"/>
      <c r="L284" s="11"/>
      <c r="M284" s="11"/>
      <c r="N284" s="11"/>
      <c r="O284" s="11"/>
      <c r="P284" s="11"/>
      <c r="Q284" s="11"/>
      <c r="R284" s="11"/>
      <c r="S284" s="11"/>
      <c r="T284" s="11"/>
      <c r="U284" s="11"/>
      <c r="V284" s="11"/>
    </row>
    <row r="285" spans="1:22">
      <c r="A285" s="11"/>
      <c r="B285" s="11"/>
      <c r="C285" s="11"/>
      <c r="D285" s="11"/>
      <c r="E285" s="11"/>
      <c r="F285" s="11"/>
      <c r="G285" s="11"/>
      <c r="H285" s="11"/>
      <c r="I285" s="11"/>
      <c r="J285" s="11"/>
      <c r="K285" s="11"/>
      <c r="L285" s="11"/>
      <c r="M285" s="11"/>
      <c r="N285" s="11"/>
      <c r="O285" s="11"/>
      <c r="P285" s="11"/>
      <c r="Q285" s="11"/>
      <c r="R285" s="11"/>
      <c r="S285" s="11"/>
      <c r="T285" s="11"/>
      <c r="U285" s="11"/>
      <c r="V285" s="11"/>
    </row>
    <row r="286" spans="1:22">
      <c r="A286" s="11"/>
      <c r="B286" s="11"/>
      <c r="C286" s="11"/>
      <c r="D286" s="11"/>
      <c r="E286" s="11"/>
      <c r="F286" s="11"/>
      <c r="G286" s="11"/>
      <c r="H286" s="11"/>
      <c r="I286" s="11"/>
      <c r="J286" s="11"/>
      <c r="K286" s="11"/>
      <c r="L286" s="11"/>
      <c r="M286" s="11"/>
      <c r="N286" s="11"/>
      <c r="O286" s="11"/>
      <c r="P286" s="11"/>
      <c r="Q286" s="11"/>
      <c r="R286" s="11"/>
      <c r="S286" s="11"/>
      <c r="T286" s="11"/>
      <c r="U286" s="11"/>
      <c r="V286" s="11"/>
    </row>
    <row r="287" spans="1:22">
      <c r="A287" s="11"/>
      <c r="B287" s="11"/>
      <c r="C287" s="11"/>
      <c r="D287" s="11"/>
      <c r="E287" s="11"/>
      <c r="F287" s="11"/>
      <c r="G287" s="11"/>
      <c r="H287" s="11"/>
      <c r="I287" s="11"/>
      <c r="J287" s="11"/>
      <c r="K287" s="11"/>
      <c r="L287" s="11"/>
      <c r="M287" s="11"/>
      <c r="N287" s="11"/>
      <c r="O287" s="11"/>
      <c r="P287" s="11"/>
      <c r="Q287" s="11"/>
      <c r="R287" s="11"/>
      <c r="S287" s="11"/>
      <c r="T287" s="11"/>
      <c r="U287" s="11"/>
      <c r="V287" s="11"/>
    </row>
    <row r="288" spans="1:22">
      <c r="A288" s="11"/>
      <c r="B288" s="11"/>
      <c r="C288" s="11"/>
      <c r="D288" s="11"/>
      <c r="E288" s="11"/>
      <c r="F288" s="11"/>
      <c r="G288" s="11"/>
      <c r="H288" s="11"/>
      <c r="I288" s="11"/>
      <c r="J288" s="11"/>
      <c r="K288" s="11"/>
      <c r="L288" s="11"/>
      <c r="M288" s="11"/>
      <c r="N288" s="11"/>
      <c r="O288" s="11"/>
      <c r="P288" s="11"/>
      <c r="Q288" s="11"/>
      <c r="R288" s="11"/>
      <c r="S288" s="11"/>
      <c r="T288" s="11"/>
      <c r="U288" s="11"/>
      <c r="V288" s="11"/>
    </row>
    <row r="289" spans="1:22">
      <c r="A289" s="11"/>
      <c r="B289" s="11"/>
      <c r="C289" s="11"/>
      <c r="D289" s="11"/>
      <c r="E289" s="11"/>
      <c r="F289" s="11"/>
      <c r="G289" s="11"/>
      <c r="H289" s="11"/>
      <c r="I289" s="11"/>
      <c r="J289" s="11"/>
      <c r="K289" s="11"/>
      <c r="L289" s="11"/>
      <c r="M289" s="11"/>
      <c r="N289" s="11"/>
      <c r="O289" s="11"/>
      <c r="P289" s="11"/>
      <c r="Q289" s="11"/>
      <c r="R289" s="11"/>
      <c r="S289" s="11"/>
      <c r="T289" s="11"/>
      <c r="U289" s="11"/>
      <c r="V289" s="11"/>
    </row>
    <row r="290" spans="1:22">
      <c r="A290" s="11"/>
      <c r="B290" s="11"/>
      <c r="C290" s="11"/>
      <c r="D290" s="11"/>
      <c r="E290" s="11"/>
      <c r="F290" s="11"/>
      <c r="G290" s="11"/>
      <c r="H290" s="11"/>
      <c r="I290" s="11"/>
      <c r="J290" s="11"/>
      <c r="K290" s="11"/>
      <c r="L290" s="11"/>
      <c r="M290" s="11"/>
      <c r="N290" s="11"/>
      <c r="O290" s="11"/>
      <c r="P290" s="11"/>
      <c r="Q290" s="11"/>
      <c r="R290" s="11"/>
      <c r="S290" s="11"/>
      <c r="T290" s="11"/>
      <c r="U290" s="11"/>
      <c r="V290" s="11"/>
    </row>
    <row r="291" spans="1:22">
      <c r="A291" s="11"/>
      <c r="B291" s="11"/>
      <c r="C291" s="11"/>
      <c r="D291" s="11"/>
      <c r="E291" s="11"/>
      <c r="F291" s="11"/>
      <c r="G291" s="11"/>
      <c r="H291" s="11"/>
      <c r="I291" s="11"/>
      <c r="J291" s="11"/>
      <c r="K291" s="11"/>
      <c r="L291" s="11"/>
      <c r="M291" s="11"/>
      <c r="N291" s="11"/>
      <c r="O291" s="11"/>
      <c r="P291" s="11"/>
      <c r="Q291" s="11"/>
      <c r="R291" s="11"/>
      <c r="S291" s="11"/>
      <c r="T291" s="11"/>
      <c r="U291" s="11"/>
      <c r="V291" s="11"/>
    </row>
    <row r="292" spans="1:22">
      <c r="A292" s="11"/>
      <c r="B292" s="11"/>
      <c r="C292" s="11"/>
      <c r="D292" s="11"/>
      <c r="E292" s="11"/>
      <c r="F292" s="11"/>
      <c r="G292" s="11"/>
      <c r="H292" s="11"/>
      <c r="I292" s="11"/>
      <c r="J292" s="11"/>
      <c r="K292" s="11"/>
      <c r="L292" s="11"/>
      <c r="M292" s="11"/>
      <c r="N292" s="11"/>
      <c r="O292" s="11"/>
      <c r="P292" s="11"/>
      <c r="Q292" s="11"/>
      <c r="R292" s="11"/>
      <c r="S292" s="11"/>
      <c r="T292" s="11"/>
      <c r="U292" s="11"/>
      <c r="V292" s="11"/>
    </row>
    <row r="293" spans="1:22">
      <c r="A293" s="11"/>
      <c r="B293" s="11"/>
      <c r="C293" s="11"/>
      <c r="D293" s="11"/>
      <c r="E293" s="11"/>
      <c r="F293" s="11"/>
      <c r="G293" s="11"/>
      <c r="H293" s="11"/>
      <c r="I293" s="11"/>
      <c r="J293" s="11"/>
      <c r="K293" s="11"/>
      <c r="L293" s="11"/>
      <c r="M293" s="11"/>
      <c r="N293" s="11"/>
      <c r="O293" s="11"/>
      <c r="P293" s="11"/>
      <c r="Q293" s="11"/>
      <c r="R293" s="11"/>
      <c r="S293" s="11"/>
      <c r="T293" s="11"/>
      <c r="U293" s="11"/>
      <c r="V293" s="11"/>
    </row>
    <row r="294" spans="1:22">
      <c r="A294" s="11"/>
      <c r="B294" s="11"/>
      <c r="C294" s="11"/>
      <c r="D294" s="11"/>
      <c r="E294" s="11"/>
      <c r="F294" s="11"/>
      <c r="G294" s="11"/>
      <c r="H294" s="11"/>
      <c r="I294" s="11"/>
      <c r="J294" s="11"/>
      <c r="K294" s="11"/>
      <c r="L294" s="11"/>
      <c r="M294" s="11"/>
      <c r="N294" s="11"/>
      <c r="O294" s="11"/>
      <c r="P294" s="11"/>
      <c r="Q294" s="11"/>
      <c r="R294" s="11"/>
      <c r="S294" s="11"/>
      <c r="T294" s="11"/>
      <c r="U294" s="11"/>
      <c r="V294" s="11"/>
    </row>
    <row r="295" spans="1:22">
      <c r="A295" s="11"/>
      <c r="B295" s="11"/>
      <c r="C295" s="11"/>
      <c r="D295" s="11"/>
      <c r="E295" s="11"/>
      <c r="F295" s="11"/>
      <c r="G295" s="11"/>
      <c r="H295" s="11"/>
      <c r="I295" s="11"/>
      <c r="J295" s="11"/>
      <c r="K295" s="11"/>
      <c r="L295" s="11"/>
      <c r="M295" s="11"/>
      <c r="N295" s="11"/>
      <c r="O295" s="11"/>
      <c r="P295" s="11"/>
      <c r="Q295" s="11"/>
      <c r="R295" s="11"/>
      <c r="S295" s="11"/>
      <c r="T295" s="11"/>
      <c r="U295" s="11"/>
      <c r="V295" s="11"/>
    </row>
    <row r="296" spans="1:22">
      <c r="A296" s="11"/>
      <c r="B296" s="11"/>
      <c r="C296" s="11"/>
      <c r="D296" s="11"/>
      <c r="E296" s="11"/>
      <c r="F296" s="11"/>
      <c r="G296" s="11"/>
      <c r="H296" s="11"/>
      <c r="I296" s="11"/>
      <c r="J296" s="11"/>
      <c r="K296" s="11"/>
      <c r="L296" s="11"/>
      <c r="M296" s="11"/>
      <c r="N296" s="11"/>
      <c r="O296" s="11"/>
      <c r="P296" s="11"/>
      <c r="Q296" s="11"/>
      <c r="R296" s="11"/>
      <c r="S296" s="11"/>
      <c r="T296" s="11"/>
      <c r="U296" s="11"/>
      <c r="V296" s="11"/>
    </row>
    <row r="297" spans="1:22">
      <c r="A297" s="11"/>
      <c r="B297" s="11"/>
      <c r="C297" s="11"/>
      <c r="D297" s="11"/>
      <c r="E297" s="11"/>
      <c r="F297" s="11"/>
      <c r="G297" s="11"/>
      <c r="H297" s="11"/>
      <c r="I297" s="11"/>
      <c r="J297" s="11"/>
      <c r="K297" s="11"/>
      <c r="L297" s="11"/>
      <c r="M297" s="11"/>
      <c r="N297" s="11"/>
      <c r="O297" s="11"/>
      <c r="P297" s="11"/>
      <c r="Q297" s="11"/>
      <c r="R297" s="11"/>
      <c r="S297" s="11"/>
      <c r="T297" s="11"/>
      <c r="U297" s="11"/>
      <c r="V297" s="11"/>
    </row>
    <row r="298" spans="1:22">
      <c r="A298" s="11"/>
      <c r="B298" s="11"/>
      <c r="C298" s="11"/>
      <c r="D298" s="11"/>
      <c r="E298" s="11"/>
      <c r="F298" s="11"/>
      <c r="G298" s="11"/>
      <c r="H298" s="11"/>
      <c r="I298" s="11"/>
      <c r="J298" s="11"/>
      <c r="K298" s="11"/>
      <c r="L298" s="11"/>
      <c r="M298" s="11"/>
      <c r="N298" s="11"/>
      <c r="O298" s="11"/>
      <c r="P298" s="11"/>
      <c r="Q298" s="11"/>
      <c r="R298" s="11"/>
      <c r="S298" s="11"/>
      <c r="T298" s="11"/>
      <c r="U298" s="11"/>
      <c r="V298" s="11"/>
    </row>
    <row r="299" spans="1:22">
      <c r="A299" s="11"/>
      <c r="B299" s="11"/>
      <c r="C299" s="11"/>
      <c r="D299" s="11"/>
      <c r="E299" s="11"/>
      <c r="F299" s="11"/>
      <c r="G299" s="11"/>
      <c r="H299" s="11"/>
      <c r="I299" s="11"/>
      <c r="J299" s="11"/>
      <c r="K299" s="11"/>
      <c r="L299" s="11"/>
      <c r="M299" s="11"/>
      <c r="N299" s="11"/>
      <c r="O299" s="11"/>
      <c r="P299" s="11"/>
      <c r="Q299" s="11"/>
      <c r="R299" s="11"/>
      <c r="S299" s="11"/>
      <c r="T299" s="11"/>
      <c r="U299" s="11"/>
      <c r="V299" s="11"/>
    </row>
    <row r="300" spans="1:22">
      <c r="A300" s="11"/>
      <c r="B300" s="11"/>
      <c r="C300" s="11"/>
      <c r="D300" s="11"/>
      <c r="E300" s="11"/>
      <c r="F300" s="11"/>
      <c r="G300" s="11"/>
      <c r="H300" s="11"/>
      <c r="I300" s="11"/>
      <c r="J300" s="11"/>
      <c r="K300" s="11"/>
      <c r="L300" s="11"/>
      <c r="M300" s="11"/>
      <c r="N300" s="11"/>
      <c r="O300" s="11"/>
      <c r="P300" s="11"/>
      <c r="Q300" s="11"/>
      <c r="R300" s="11"/>
      <c r="S300" s="11"/>
      <c r="T300" s="11"/>
      <c r="U300" s="11"/>
      <c r="V300" s="11"/>
    </row>
    <row r="301" spans="1:22">
      <c r="A301" s="11"/>
      <c r="B301" s="11"/>
      <c r="C301" s="11"/>
      <c r="D301" s="11"/>
      <c r="E301" s="11"/>
      <c r="F301" s="11"/>
      <c r="G301" s="11"/>
      <c r="H301" s="11"/>
      <c r="I301" s="11"/>
      <c r="J301" s="11"/>
      <c r="K301" s="11"/>
      <c r="L301" s="11"/>
      <c r="M301" s="11"/>
      <c r="N301" s="11"/>
      <c r="O301" s="11"/>
      <c r="P301" s="11"/>
      <c r="Q301" s="11"/>
      <c r="R301" s="11"/>
      <c r="S301" s="11"/>
      <c r="T301" s="11"/>
      <c r="U301" s="11"/>
      <c r="V301" s="11"/>
    </row>
    <row r="302" spans="1:22">
      <c r="A302" s="11"/>
      <c r="B302" s="11"/>
      <c r="C302" s="11"/>
      <c r="D302" s="11"/>
      <c r="E302" s="11"/>
      <c r="F302" s="11"/>
      <c r="G302" s="11"/>
      <c r="H302" s="11"/>
      <c r="I302" s="11"/>
      <c r="J302" s="11"/>
      <c r="K302" s="11"/>
      <c r="L302" s="11"/>
      <c r="M302" s="11"/>
      <c r="N302" s="11"/>
      <c r="O302" s="11"/>
      <c r="P302" s="11"/>
      <c r="Q302" s="11"/>
      <c r="R302" s="11"/>
      <c r="S302" s="11"/>
      <c r="T302" s="11"/>
      <c r="U302" s="11"/>
      <c r="V302" s="11"/>
    </row>
    <row r="303" spans="1:22">
      <c r="A303" s="11"/>
      <c r="B303" s="11"/>
      <c r="C303" s="11"/>
      <c r="D303" s="11"/>
      <c r="E303" s="11"/>
      <c r="F303" s="11"/>
      <c r="G303" s="11"/>
      <c r="H303" s="11"/>
      <c r="I303" s="11"/>
      <c r="J303" s="11"/>
      <c r="K303" s="11"/>
      <c r="L303" s="11"/>
      <c r="M303" s="11"/>
      <c r="N303" s="11"/>
      <c r="O303" s="11"/>
      <c r="P303" s="11"/>
      <c r="Q303" s="11"/>
      <c r="R303" s="11"/>
      <c r="S303" s="11"/>
      <c r="T303" s="11"/>
      <c r="U303" s="11"/>
      <c r="V303" s="11"/>
    </row>
    <row r="304" spans="1:22">
      <c r="A304" s="11"/>
      <c r="B304" s="11"/>
      <c r="C304" s="11"/>
      <c r="D304" s="11"/>
      <c r="E304" s="11"/>
      <c r="F304" s="11"/>
      <c r="G304" s="11"/>
      <c r="H304" s="11"/>
      <c r="I304" s="11"/>
      <c r="J304" s="11"/>
      <c r="K304" s="11"/>
      <c r="L304" s="11"/>
      <c r="M304" s="11"/>
      <c r="N304" s="11"/>
      <c r="O304" s="11"/>
      <c r="P304" s="11"/>
      <c r="Q304" s="11"/>
      <c r="R304" s="11"/>
      <c r="S304" s="11"/>
      <c r="T304" s="11"/>
      <c r="U304" s="11"/>
      <c r="V304" s="11"/>
    </row>
    <row r="305" spans="1:22">
      <c r="A305" s="11"/>
      <c r="B305" s="11"/>
      <c r="C305" s="11"/>
      <c r="D305" s="11"/>
      <c r="E305" s="11"/>
      <c r="F305" s="11"/>
      <c r="G305" s="11"/>
      <c r="H305" s="11"/>
      <c r="I305" s="11"/>
      <c r="J305" s="11"/>
      <c r="K305" s="11"/>
      <c r="L305" s="11"/>
      <c r="M305" s="11"/>
      <c r="N305" s="11"/>
      <c r="O305" s="11"/>
      <c r="P305" s="11"/>
      <c r="Q305" s="11"/>
      <c r="R305" s="11"/>
      <c r="S305" s="11"/>
      <c r="T305" s="11"/>
      <c r="U305" s="11"/>
      <c r="V305" s="11"/>
    </row>
    <row r="306" spans="1:22">
      <c r="A306" s="11"/>
      <c r="B306" s="11"/>
      <c r="C306" s="11"/>
      <c r="D306" s="11"/>
      <c r="E306" s="11"/>
      <c r="F306" s="11"/>
      <c r="G306" s="11"/>
      <c r="H306" s="11"/>
      <c r="I306" s="11"/>
      <c r="J306" s="11"/>
      <c r="K306" s="11"/>
      <c r="L306" s="11"/>
      <c r="M306" s="11"/>
      <c r="N306" s="11"/>
      <c r="O306" s="11"/>
      <c r="P306" s="11"/>
      <c r="Q306" s="11"/>
      <c r="R306" s="11"/>
      <c r="S306" s="11"/>
      <c r="T306" s="11"/>
      <c r="U306" s="11"/>
      <c r="V306" s="11"/>
    </row>
    <row r="307" spans="1:22">
      <c r="A307" s="11"/>
      <c r="B307" s="11"/>
      <c r="C307" s="11"/>
      <c r="D307" s="11"/>
      <c r="E307" s="11"/>
      <c r="F307" s="11"/>
      <c r="G307" s="11"/>
      <c r="H307" s="11"/>
      <c r="I307" s="11"/>
      <c r="J307" s="11"/>
      <c r="K307" s="11"/>
      <c r="L307" s="11"/>
      <c r="M307" s="11"/>
      <c r="N307" s="11"/>
      <c r="O307" s="11"/>
      <c r="P307" s="11"/>
      <c r="Q307" s="11"/>
      <c r="R307" s="11"/>
      <c r="S307" s="11"/>
      <c r="T307" s="11"/>
      <c r="U307" s="11"/>
      <c r="V307" s="11"/>
    </row>
    <row r="308" spans="1:22">
      <c r="A308" s="11"/>
      <c r="B308" s="11"/>
      <c r="C308" s="11"/>
      <c r="D308" s="11"/>
      <c r="E308" s="11"/>
      <c r="F308" s="11"/>
      <c r="G308" s="11"/>
      <c r="H308" s="11"/>
      <c r="I308" s="11"/>
      <c r="J308" s="11"/>
      <c r="K308" s="11"/>
      <c r="L308" s="11"/>
      <c r="M308" s="11"/>
      <c r="N308" s="11"/>
      <c r="O308" s="11"/>
      <c r="P308" s="11"/>
      <c r="Q308" s="11"/>
      <c r="R308" s="11"/>
      <c r="S308" s="11"/>
      <c r="T308" s="11"/>
      <c r="U308" s="11"/>
      <c r="V308" s="11"/>
    </row>
    <row r="309" spans="1:22">
      <c r="A309" s="11"/>
      <c r="B309" s="11"/>
      <c r="C309" s="11"/>
      <c r="D309" s="11"/>
      <c r="E309" s="11"/>
      <c r="F309" s="11"/>
      <c r="G309" s="11"/>
      <c r="H309" s="11"/>
      <c r="I309" s="11"/>
      <c r="J309" s="11"/>
      <c r="K309" s="11"/>
      <c r="L309" s="11"/>
      <c r="M309" s="11"/>
      <c r="N309" s="11"/>
      <c r="O309" s="11"/>
      <c r="P309" s="11"/>
      <c r="Q309" s="11"/>
      <c r="R309" s="11"/>
      <c r="S309" s="11"/>
      <c r="T309" s="11"/>
      <c r="U309" s="11"/>
      <c r="V309" s="11"/>
    </row>
    <row r="310" spans="1:22">
      <c r="A310" s="11"/>
      <c r="B310" s="11"/>
      <c r="C310" s="11"/>
      <c r="D310" s="11"/>
      <c r="E310" s="11"/>
      <c r="F310" s="11"/>
      <c r="G310" s="11"/>
      <c r="H310" s="11"/>
      <c r="I310" s="11"/>
      <c r="J310" s="11"/>
      <c r="K310" s="11"/>
      <c r="L310" s="11"/>
      <c r="M310" s="11"/>
      <c r="N310" s="11"/>
      <c r="O310" s="11"/>
      <c r="P310" s="11"/>
      <c r="Q310" s="11"/>
      <c r="R310" s="11"/>
      <c r="S310" s="11"/>
      <c r="T310" s="11"/>
      <c r="U310" s="11"/>
      <c r="V310" s="11"/>
    </row>
    <row r="311" spans="1:22">
      <c r="A311" s="11"/>
      <c r="B311" s="11"/>
      <c r="C311" s="11"/>
      <c r="D311" s="11"/>
      <c r="E311" s="11"/>
      <c r="F311" s="11"/>
      <c r="G311" s="11"/>
      <c r="H311" s="11"/>
      <c r="I311" s="11"/>
      <c r="J311" s="11"/>
      <c r="K311" s="11"/>
      <c r="L311" s="11"/>
      <c r="M311" s="11"/>
      <c r="N311" s="11"/>
      <c r="O311" s="11"/>
      <c r="P311" s="11"/>
      <c r="Q311" s="11"/>
      <c r="R311" s="11"/>
      <c r="S311" s="11"/>
      <c r="T311" s="11"/>
      <c r="U311" s="11"/>
      <c r="V311" s="11"/>
    </row>
    <row r="312" spans="1:22">
      <c r="A312" s="11"/>
      <c r="B312" s="11"/>
      <c r="C312" s="11"/>
      <c r="D312" s="11"/>
      <c r="E312" s="11"/>
      <c r="F312" s="11"/>
      <c r="G312" s="11"/>
      <c r="H312" s="11"/>
      <c r="I312" s="11"/>
      <c r="J312" s="11"/>
      <c r="K312" s="11"/>
      <c r="L312" s="11"/>
      <c r="M312" s="11"/>
      <c r="N312" s="11"/>
      <c r="O312" s="11"/>
      <c r="P312" s="11"/>
      <c r="Q312" s="11"/>
      <c r="R312" s="11"/>
      <c r="S312" s="11"/>
      <c r="T312" s="11"/>
      <c r="U312" s="11"/>
      <c r="V312" s="11"/>
    </row>
    <row r="313" spans="1:22">
      <c r="A313" s="11"/>
      <c r="B313" s="11"/>
      <c r="C313" s="11"/>
      <c r="D313" s="11"/>
      <c r="E313" s="11"/>
      <c r="F313" s="11"/>
      <c r="G313" s="11"/>
      <c r="H313" s="11"/>
      <c r="I313" s="11"/>
      <c r="J313" s="11"/>
      <c r="K313" s="11"/>
      <c r="L313" s="11"/>
      <c r="M313" s="11"/>
      <c r="N313" s="11"/>
      <c r="O313" s="11"/>
      <c r="P313" s="11"/>
      <c r="Q313" s="11"/>
      <c r="R313" s="11"/>
      <c r="S313" s="11"/>
      <c r="T313" s="11"/>
      <c r="U313" s="11"/>
      <c r="V313" s="11"/>
    </row>
    <row r="314" spans="1:22">
      <c r="A314" s="11"/>
      <c r="B314" s="11"/>
      <c r="C314" s="11"/>
      <c r="D314" s="11"/>
      <c r="E314" s="11"/>
      <c r="F314" s="11"/>
      <c r="G314" s="11"/>
      <c r="H314" s="11"/>
      <c r="I314" s="11"/>
      <c r="J314" s="11"/>
      <c r="K314" s="11"/>
      <c r="L314" s="11"/>
      <c r="M314" s="11"/>
      <c r="N314" s="11"/>
      <c r="O314" s="11"/>
      <c r="P314" s="11"/>
      <c r="Q314" s="11"/>
      <c r="R314" s="11"/>
      <c r="S314" s="11"/>
      <c r="T314" s="11"/>
      <c r="U314" s="11"/>
      <c r="V314" s="11"/>
    </row>
    <row r="315" spans="1:22">
      <c r="A315" s="11"/>
      <c r="B315" s="11"/>
      <c r="C315" s="11"/>
      <c r="D315" s="11"/>
      <c r="E315" s="11"/>
      <c r="F315" s="11"/>
      <c r="G315" s="11"/>
      <c r="H315" s="11"/>
      <c r="I315" s="11"/>
      <c r="J315" s="11"/>
      <c r="K315" s="11"/>
      <c r="L315" s="11"/>
      <c r="M315" s="11"/>
      <c r="N315" s="11"/>
      <c r="O315" s="11"/>
      <c r="P315" s="11"/>
      <c r="Q315" s="11"/>
      <c r="R315" s="11"/>
      <c r="S315" s="11"/>
      <c r="T315" s="11"/>
      <c r="U315" s="11"/>
      <c r="V315" s="11"/>
    </row>
    <row r="316" spans="1:22">
      <c r="A316" s="11"/>
      <c r="B316" s="11"/>
      <c r="C316" s="11"/>
      <c r="D316" s="11"/>
      <c r="E316" s="11"/>
      <c r="F316" s="11"/>
      <c r="G316" s="11"/>
      <c r="H316" s="11"/>
      <c r="I316" s="11"/>
      <c r="J316" s="11"/>
      <c r="K316" s="11"/>
      <c r="L316" s="11"/>
      <c r="M316" s="11"/>
      <c r="N316" s="11"/>
      <c r="O316" s="11"/>
      <c r="P316" s="11"/>
      <c r="Q316" s="11"/>
      <c r="R316" s="11"/>
      <c r="S316" s="11"/>
      <c r="T316" s="11"/>
      <c r="U316" s="11"/>
      <c r="V316" s="11"/>
    </row>
    <row r="317" spans="1:22">
      <c r="A317" s="11"/>
      <c r="B317" s="11"/>
      <c r="C317" s="11"/>
      <c r="D317" s="11"/>
      <c r="E317" s="11"/>
      <c r="F317" s="11"/>
      <c r="G317" s="11"/>
      <c r="H317" s="11"/>
      <c r="I317" s="11"/>
      <c r="J317" s="11"/>
      <c r="K317" s="11"/>
      <c r="L317" s="11"/>
      <c r="M317" s="11"/>
      <c r="N317" s="11"/>
      <c r="O317" s="11"/>
      <c r="P317" s="11"/>
      <c r="Q317" s="11"/>
      <c r="R317" s="11"/>
      <c r="S317" s="11"/>
      <c r="T317" s="11"/>
      <c r="U317" s="11"/>
      <c r="V317" s="11"/>
    </row>
    <row r="318" spans="1:22">
      <c r="A318" s="11"/>
      <c r="B318" s="11"/>
      <c r="C318" s="11"/>
      <c r="D318" s="11"/>
      <c r="E318" s="11"/>
      <c r="F318" s="11"/>
      <c r="G318" s="11"/>
      <c r="H318" s="11"/>
      <c r="I318" s="11"/>
      <c r="J318" s="11"/>
      <c r="K318" s="11"/>
      <c r="L318" s="11"/>
      <c r="M318" s="11"/>
      <c r="N318" s="11"/>
      <c r="O318" s="11"/>
      <c r="P318" s="11"/>
      <c r="Q318" s="11"/>
      <c r="R318" s="11"/>
      <c r="S318" s="11"/>
      <c r="T318" s="11"/>
      <c r="U318" s="11"/>
      <c r="V318" s="11"/>
    </row>
    <row r="319" spans="1:22">
      <c r="A319" s="11"/>
      <c r="B319" s="11"/>
      <c r="C319" s="11"/>
      <c r="D319" s="11"/>
      <c r="E319" s="11"/>
      <c r="F319" s="11"/>
      <c r="G319" s="11"/>
      <c r="H319" s="11"/>
      <c r="I319" s="11"/>
      <c r="J319" s="11"/>
      <c r="K319" s="11"/>
      <c r="L319" s="11"/>
      <c r="M319" s="11"/>
      <c r="N319" s="11"/>
      <c r="O319" s="11"/>
      <c r="P319" s="11"/>
      <c r="Q319" s="11"/>
      <c r="R319" s="11"/>
      <c r="S319" s="11"/>
      <c r="T319" s="11"/>
      <c r="U319" s="11"/>
      <c r="V319" s="11"/>
    </row>
    <row r="320" spans="1:22">
      <c r="A320" s="11"/>
      <c r="B320" s="11"/>
      <c r="C320" s="11"/>
      <c r="D320" s="11"/>
      <c r="E320" s="11"/>
      <c r="F320" s="11"/>
      <c r="G320" s="11"/>
      <c r="H320" s="11"/>
      <c r="I320" s="11"/>
      <c r="J320" s="11"/>
      <c r="K320" s="11"/>
      <c r="L320" s="11"/>
      <c r="M320" s="11"/>
      <c r="N320" s="11"/>
      <c r="O320" s="11"/>
      <c r="P320" s="11"/>
      <c r="Q320" s="11"/>
      <c r="R320" s="11"/>
      <c r="S320" s="11"/>
      <c r="T320" s="11"/>
      <c r="U320" s="11"/>
      <c r="V320" s="11"/>
    </row>
    <row r="321" spans="1:22">
      <c r="A321" s="11"/>
      <c r="B321" s="11"/>
      <c r="C321" s="11"/>
      <c r="D321" s="11"/>
      <c r="E321" s="11"/>
      <c r="F321" s="11"/>
      <c r="G321" s="11"/>
      <c r="H321" s="11"/>
      <c r="I321" s="11"/>
      <c r="J321" s="11"/>
      <c r="K321" s="11"/>
      <c r="L321" s="11"/>
      <c r="M321" s="11"/>
      <c r="N321" s="11"/>
      <c r="O321" s="11"/>
      <c r="P321" s="11"/>
      <c r="Q321" s="11"/>
      <c r="R321" s="11"/>
      <c r="S321" s="11"/>
      <c r="T321" s="11"/>
      <c r="U321" s="11"/>
      <c r="V321" s="11"/>
    </row>
    <row r="322" spans="1:22">
      <c r="A322" s="11"/>
      <c r="B322" s="11"/>
      <c r="C322" s="11"/>
      <c r="D322" s="11"/>
      <c r="E322" s="11"/>
      <c r="F322" s="11"/>
      <c r="G322" s="11"/>
      <c r="H322" s="11"/>
      <c r="I322" s="11"/>
      <c r="J322" s="11"/>
      <c r="K322" s="11"/>
      <c r="L322" s="11"/>
      <c r="M322" s="11"/>
      <c r="N322" s="11"/>
      <c r="O322" s="11"/>
      <c r="P322" s="11"/>
      <c r="Q322" s="11"/>
      <c r="R322" s="11"/>
      <c r="S322" s="11"/>
      <c r="T322" s="11"/>
      <c r="U322" s="11"/>
      <c r="V322" s="11"/>
    </row>
    <row r="323" spans="1:22">
      <c r="A323" s="11"/>
      <c r="B323" s="11"/>
      <c r="C323" s="11"/>
      <c r="D323" s="11"/>
      <c r="E323" s="11"/>
      <c r="F323" s="11"/>
      <c r="G323" s="11"/>
      <c r="H323" s="11"/>
      <c r="I323" s="11"/>
      <c r="J323" s="11"/>
      <c r="K323" s="11"/>
      <c r="L323" s="11"/>
      <c r="M323" s="11"/>
      <c r="N323" s="11"/>
      <c r="O323" s="11"/>
      <c r="P323" s="11"/>
      <c r="Q323" s="11"/>
      <c r="R323" s="11"/>
      <c r="S323" s="11"/>
      <c r="T323" s="11"/>
      <c r="U323" s="11"/>
      <c r="V323" s="11"/>
    </row>
    <row r="324" spans="1:22">
      <c r="A324" s="11"/>
      <c r="B324" s="11"/>
      <c r="C324" s="11"/>
      <c r="D324" s="11"/>
      <c r="E324" s="11"/>
      <c r="F324" s="11"/>
      <c r="G324" s="11"/>
      <c r="H324" s="11"/>
      <c r="I324" s="11"/>
      <c r="J324" s="11"/>
      <c r="K324" s="11"/>
      <c r="L324" s="11"/>
      <c r="M324" s="11"/>
      <c r="N324" s="11"/>
      <c r="O324" s="11"/>
      <c r="P324" s="11"/>
      <c r="Q324" s="11"/>
      <c r="R324" s="11"/>
      <c r="S324" s="11"/>
      <c r="T324" s="11"/>
      <c r="U324" s="11"/>
      <c r="V324" s="11"/>
    </row>
    <row r="325" spans="1:22">
      <c r="A325" s="11"/>
      <c r="B325" s="11"/>
      <c r="C325" s="11"/>
      <c r="D325" s="11"/>
      <c r="E325" s="11"/>
      <c r="F325" s="11"/>
      <c r="G325" s="11"/>
      <c r="H325" s="11"/>
      <c r="I325" s="11"/>
      <c r="J325" s="11"/>
      <c r="K325" s="11"/>
      <c r="L325" s="11"/>
      <c r="M325" s="11"/>
      <c r="N325" s="11"/>
      <c r="O325" s="11"/>
      <c r="P325" s="11"/>
      <c r="Q325" s="11"/>
      <c r="R325" s="11"/>
      <c r="S325" s="11"/>
      <c r="T325" s="11"/>
      <c r="U325" s="11"/>
      <c r="V325" s="11"/>
    </row>
    <row r="326" spans="1:22">
      <c r="A326" s="11"/>
      <c r="B326" s="11"/>
      <c r="C326" s="11"/>
      <c r="D326" s="11"/>
      <c r="E326" s="11"/>
      <c r="F326" s="11"/>
      <c r="G326" s="11"/>
      <c r="H326" s="11"/>
      <c r="I326" s="11"/>
      <c r="J326" s="11"/>
      <c r="K326" s="11"/>
      <c r="L326" s="11"/>
      <c r="M326" s="11"/>
      <c r="N326" s="11"/>
      <c r="O326" s="11"/>
      <c r="P326" s="11"/>
      <c r="Q326" s="11"/>
      <c r="R326" s="11"/>
      <c r="S326" s="11"/>
      <c r="T326" s="11"/>
      <c r="U326" s="11"/>
      <c r="V326" s="11"/>
    </row>
    <row r="327" spans="1:22">
      <c r="A327" s="11"/>
      <c r="B327" s="11"/>
      <c r="C327" s="11"/>
      <c r="D327" s="11"/>
      <c r="E327" s="11"/>
      <c r="F327" s="11"/>
      <c r="G327" s="11"/>
      <c r="H327" s="11"/>
      <c r="I327" s="11"/>
      <c r="J327" s="11"/>
      <c r="K327" s="11"/>
      <c r="L327" s="11"/>
      <c r="M327" s="11"/>
      <c r="N327" s="11"/>
      <c r="O327" s="11"/>
      <c r="P327" s="11"/>
      <c r="Q327" s="11"/>
      <c r="R327" s="11"/>
      <c r="S327" s="11"/>
      <c r="T327" s="11"/>
      <c r="U327" s="11"/>
      <c r="V327" s="11"/>
    </row>
    <row r="328" spans="1:22">
      <c r="A328" s="11"/>
      <c r="B328" s="11"/>
      <c r="C328" s="11"/>
      <c r="D328" s="11"/>
      <c r="E328" s="11"/>
      <c r="F328" s="11"/>
      <c r="G328" s="11"/>
      <c r="H328" s="11"/>
      <c r="I328" s="11"/>
      <c r="J328" s="11"/>
      <c r="K328" s="11"/>
      <c r="L328" s="11"/>
      <c r="M328" s="11"/>
      <c r="N328" s="11"/>
      <c r="O328" s="11"/>
      <c r="P328" s="11"/>
      <c r="Q328" s="11"/>
      <c r="R328" s="11"/>
      <c r="S328" s="11"/>
      <c r="T328" s="11"/>
      <c r="U328" s="11"/>
      <c r="V328" s="11"/>
    </row>
    <row r="329" spans="1:22">
      <c r="A329" s="11"/>
      <c r="B329" s="11"/>
      <c r="C329" s="11"/>
      <c r="D329" s="11"/>
      <c r="E329" s="11"/>
      <c r="F329" s="11"/>
      <c r="G329" s="11"/>
      <c r="H329" s="11"/>
      <c r="I329" s="11"/>
      <c r="J329" s="11"/>
      <c r="K329" s="11"/>
      <c r="L329" s="11"/>
      <c r="M329" s="11"/>
      <c r="N329" s="11"/>
      <c r="O329" s="11"/>
      <c r="P329" s="11"/>
      <c r="Q329" s="11"/>
      <c r="R329" s="11"/>
      <c r="S329" s="11"/>
      <c r="T329" s="11"/>
      <c r="U329" s="11"/>
      <c r="V329" s="11"/>
    </row>
    <row r="330" spans="1:22">
      <c r="A330" s="11"/>
      <c r="B330" s="11"/>
      <c r="C330" s="11"/>
      <c r="D330" s="11"/>
      <c r="E330" s="11"/>
      <c r="F330" s="11"/>
      <c r="G330" s="11"/>
      <c r="H330" s="11"/>
      <c r="I330" s="11"/>
      <c r="J330" s="11"/>
      <c r="K330" s="11"/>
      <c r="L330" s="11"/>
      <c r="M330" s="11"/>
      <c r="N330" s="11"/>
      <c r="O330" s="11"/>
      <c r="P330" s="11"/>
      <c r="Q330" s="11"/>
      <c r="R330" s="11"/>
      <c r="S330" s="11"/>
      <c r="T330" s="11"/>
      <c r="U330" s="11"/>
      <c r="V330" s="11"/>
    </row>
    <row r="331" spans="1:22">
      <c r="A331" s="11"/>
      <c r="B331" s="11"/>
      <c r="C331" s="11"/>
      <c r="D331" s="11"/>
      <c r="E331" s="11"/>
      <c r="F331" s="11"/>
      <c r="G331" s="11"/>
      <c r="H331" s="11"/>
      <c r="I331" s="11"/>
      <c r="J331" s="11"/>
      <c r="K331" s="11"/>
      <c r="L331" s="11"/>
      <c r="M331" s="11"/>
      <c r="N331" s="11"/>
      <c r="O331" s="11"/>
      <c r="P331" s="11"/>
      <c r="Q331" s="11"/>
      <c r="R331" s="11"/>
      <c r="S331" s="11"/>
      <c r="T331" s="11"/>
      <c r="U331" s="11"/>
      <c r="V331" s="11"/>
    </row>
    <row r="332" spans="1:22">
      <c r="A332" s="11"/>
      <c r="B332" s="11"/>
      <c r="C332" s="11"/>
      <c r="D332" s="11"/>
      <c r="E332" s="11"/>
      <c r="F332" s="11"/>
      <c r="G332" s="11"/>
      <c r="H332" s="11"/>
      <c r="I332" s="11"/>
      <c r="J332" s="11"/>
      <c r="K332" s="11"/>
      <c r="L332" s="11"/>
      <c r="M332" s="11"/>
      <c r="N332" s="11"/>
      <c r="O332" s="11"/>
      <c r="P332" s="11"/>
      <c r="Q332" s="11"/>
      <c r="R332" s="11"/>
      <c r="S332" s="11"/>
      <c r="T332" s="11"/>
      <c r="U332" s="11"/>
      <c r="V332" s="11"/>
    </row>
    <row r="333" spans="1:22">
      <c r="A333" s="11"/>
      <c r="B333" s="11"/>
      <c r="C333" s="11"/>
      <c r="D333" s="11"/>
      <c r="E333" s="11"/>
      <c r="F333" s="11"/>
      <c r="G333" s="11"/>
      <c r="H333" s="11"/>
      <c r="I333" s="11"/>
      <c r="J333" s="11"/>
      <c r="K333" s="11"/>
      <c r="L333" s="11"/>
      <c r="M333" s="11"/>
      <c r="N333" s="11"/>
      <c r="O333" s="11"/>
      <c r="P333" s="11"/>
      <c r="Q333" s="11"/>
      <c r="R333" s="11"/>
      <c r="S333" s="11"/>
      <c r="T333" s="11"/>
      <c r="U333" s="11"/>
      <c r="V333" s="11"/>
    </row>
    <row r="334" spans="1:22">
      <c r="A334" s="11"/>
      <c r="B334" s="11"/>
      <c r="C334" s="11"/>
      <c r="D334" s="11"/>
      <c r="E334" s="11"/>
      <c r="F334" s="11"/>
      <c r="G334" s="11"/>
      <c r="H334" s="11"/>
      <c r="I334" s="11"/>
      <c r="J334" s="11"/>
      <c r="K334" s="11"/>
      <c r="L334" s="11"/>
      <c r="M334" s="11"/>
      <c r="N334" s="11"/>
      <c r="O334" s="11"/>
      <c r="P334" s="11"/>
      <c r="Q334" s="11"/>
      <c r="R334" s="11"/>
      <c r="S334" s="11"/>
      <c r="T334" s="11"/>
      <c r="U334" s="11"/>
      <c r="V334" s="11"/>
    </row>
    <row r="335" spans="1:22">
      <c r="A335" s="11"/>
      <c r="B335" s="11"/>
      <c r="C335" s="11"/>
      <c r="D335" s="11"/>
      <c r="E335" s="11"/>
      <c r="F335" s="11"/>
      <c r="G335" s="11"/>
      <c r="H335" s="11"/>
      <c r="I335" s="11"/>
      <c r="J335" s="11"/>
      <c r="K335" s="11"/>
      <c r="L335" s="11"/>
      <c r="M335" s="11"/>
      <c r="N335" s="11"/>
      <c r="O335" s="11"/>
      <c r="P335" s="11"/>
      <c r="Q335" s="11"/>
      <c r="R335" s="11"/>
      <c r="S335" s="11"/>
      <c r="T335" s="11"/>
      <c r="U335" s="11"/>
      <c r="V335" s="11"/>
    </row>
    <row r="336" spans="1:22">
      <c r="A336" s="11"/>
      <c r="B336" s="11"/>
      <c r="C336" s="11"/>
      <c r="D336" s="11"/>
      <c r="E336" s="11"/>
      <c r="F336" s="11"/>
      <c r="G336" s="11"/>
      <c r="H336" s="11"/>
      <c r="I336" s="11"/>
      <c r="J336" s="11"/>
      <c r="K336" s="11"/>
      <c r="L336" s="11"/>
      <c r="M336" s="11"/>
      <c r="N336" s="11"/>
      <c r="O336" s="11"/>
      <c r="P336" s="11"/>
      <c r="Q336" s="11"/>
      <c r="R336" s="11"/>
      <c r="S336" s="11"/>
      <c r="T336" s="11"/>
      <c r="U336" s="11"/>
      <c r="V336" s="11"/>
    </row>
    <row r="337" spans="1:22">
      <c r="A337" s="11"/>
      <c r="B337" s="11"/>
      <c r="C337" s="11"/>
      <c r="D337" s="11"/>
      <c r="E337" s="11"/>
      <c r="F337" s="11"/>
      <c r="G337" s="11"/>
      <c r="H337" s="11"/>
      <c r="I337" s="11"/>
      <c r="J337" s="11"/>
      <c r="K337" s="11"/>
      <c r="L337" s="11"/>
      <c r="M337" s="11"/>
      <c r="N337" s="11"/>
      <c r="O337" s="11"/>
      <c r="P337" s="11"/>
      <c r="Q337" s="11"/>
      <c r="R337" s="11"/>
      <c r="S337" s="11"/>
      <c r="T337" s="11"/>
      <c r="U337" s="11"/>
      <c r="V337" s="11"/>
    </row>
    <row r="338" spans="1:22">
      <c r="A338" s="11"/>
      <c r="B338" s="11"/>
      <c r="C338" s="11"/>
      <c r="D338" s="11"/>
      <c r="E338" s="11"/>
      <c r="F338" s="11"/>
      <c r="G338" s="11"/>
      <c r="H338" s="11"/>
      <c r="I338" s="11"/>
      <c r="J338" s="11"/>
      <c r="K338" s="11"/>
      <c r="L338" s="11"/>
      <c r="M338" s="11"/>
      <c r="N338" s="11"/>
      <c r="O338" s="11"/>
      <c r="P338" s="11"/>
      <c r="Q338" s="11"/>
      <c r="R338" s="11"/>
      <c r="S338" s="11"/>
      <c r="T338" s="11"/>
      <c r="U338" s="11"/>
      <c r="V338" s="11"/>
    </row>
    <row r="339" spans="1:22">
      <c r="A339" s="11"/>
      <c r="B339" s="11"/>
      <c r="C339" s="11"/>
      <c r="D339" s="11"/>
      <c r="E339" s="11"/>
      <c r="F339" s="11"/>
      <c r="G339" s="11"/>
      <c r="H339" s="11"/>
      <c r="I339" s="11"/>
      <c r="J339" s="11"/>
      <c r="K339" s="11"/>
      <c r="L339" s="11"/>
      <c r="M339" s="11"/>
      <c r="N339" s="11"/>
      <c r="O339" s="11"/>
      <c r="P339" s="11"/>
      <c r="Q339" s="11"/>
      <c r="R339" s="11"/>
      <c r="S339" s="11"/>
      <c r="T339" s="11"/>
      <c r="U339" s="11"/>
      <c r="V339" s="11"/>
    </row>
    <row r="340" spans="1:22">
      <c r="A340" s="11"/>
      <c r="B340" s="11"/>
      <c r="C340" s="11"/>
      <c r="D340" s="11"/>
      <c r="E340" s="11"/>
      <c r="F340" s="11"/>
      <c r="G340" s="11"/>
      <c r="H340" s="11"/>
      <c r="I340" s="11"/>
      <c r="J340" s="11"/>
      <c r="K340" s="11"/>
      <c r="L340" s="11"/>
      <c r="M340" s="11"/>
      <c r="N340" s="11"/>
      <c r="O340" s="11"/>
      <c r="P340" s="11"/>
      <c r="Q340" s="11"/>
      <c r="R340" s="11"/>
      <c r="S340" s="11"/>
      <c r="T340" s="11"/>
      <c r="U340" s="11"/>
      <c r="V340" s="11"/>
    </row>
    <row r="341" spans="1:22">
      <c r="A341" s="11"/>
      <c r="B341" s="11"/>
      <c r="C341" s="11"/>
      <c r="D341" s="11"/>
      <c r="E341" s="11"/>
      <c r="F341" s="11"/>
      <c r="G341" s="11"/>
      <c r="H341" s="11"/>
      <c r="I341" s="11"/>
      <c r="J341" s="11"/>
      <c r="K341" s="11"/>
      <c r="L341" s="11"/>
      <c r="M341" s="11"/>
      <c r="N341" s="11"/>
      <c r="O341" s="11"/>
      <c r="P341" s="11"/>
      <c r="Q341" s="11"/>
      <c r="R341" s="11"/>
      <c r="S341" s="11"/>
      <c r="T341" s="11"/>
      <c r="U341" s="11"/>
      <c r="V341" s="11"/>
    </row>
    <row r="342" spans="1:22">
      <c r="A342" s="11"/>
      <c r="B342" s="11"/>
      <c r="C342" s="11"/>
      <c r="D342" s="11"/>
      <c r="E342" s="11"/>
      <c r="F342" s="11"/>
      <c r="G342" s="11"/>
      <c r="H342" s="11"/>
      <c r="I342" s="11"/>
      <c r="J342" s="11"/>
      <c r="K342" s="11"/>
      <c r="L342" s="11"/>
      <c r="M342" s="11"/>
      <c r="N342" s="11"/>
      <c r="O342" s="11"/>
      <c r="P342" s="11"/>
      <c r="Q342" s="11"/>
      <c r="R342" s="11"/>
      <c r="S342" s="11"/>
      <c r="T342" s="11"/>
      <c r="U342" s="11"/>
      <c r="V342" s="11"/>
    </row>
    <row r="343" spans="1:22">
      <c r="A343" s="11"/>
      <c r="B343" s="11"/>
      <c r="C343" s="11"/>
      <c r="D343" s="11"/>
      <c r="E343" s="11"/>
      <c r="F343" s="11"/>
      <c r="G343" s="11"/>
      <c r="H343" s="11"/>
      <c r="I343" s="11"/>
      <c r="J343" s="11"/>
      <c r="K343" s="11"/>
      <c r="L343" s="11"/>
      <c r="M343" s="11"/>
      <c r="N343" s="11"/>
      <c r="O343" s="11"/>
      <c r="P343" s="11"/>
      <c r="Q343" s="11"/>
      <c r="R343" s="11"/>
      <c r="S343" s="11"/>
      <c r="T343" s="11"/>
      <c r="U343" s="11"/>
      <c r="V343" s="11"/>
    </row>
    <row r="344" spans="1:22">
      <c r="A344" s="11"/>
      <c r="B344" s="11"/>
      <c r="C344" s="11"/>
      <c r="D344" s="11"/>
      <c r="E344" s="11"/>
      <c r="F344" s="11"/>
      <c r="G344" s="11"/>
      <c r="H344" s="11"/>
      <c r="I344" s="11"/>
      <c r="J344" s="11"/>
      <c r="K344" s="11"/>
      <c r="L344" s="11"/>
      <c r="M344" s="11"/>
      <c r="N344" s="11"/>
      <c r="O344" s="11"/>
      <c r="P344" s="11"/>
      <c r="Q344" s="11"/>
      <c r="R344" s="11"/>
      <c r="S344" s="11"/>
      <c r="T344" s="11"/>
      <c r="U344" s="11"/>
      <c r="V344" s="11"/>
    </row>
    <row r="345" spans="1:22">
      <c r="A345" s="11"/>
      <c r="B345" s="11"/>
      <c r="C345" s="11"/>
      <c r="D345" s="11"/>
      <c r="E345" s="11"/>
      <c r="F345" s="11"/>
      <c r="G345" s="11"/>
      <c r="H345" s="11"/>
      <c r="I345" s="11"/>
      <c r="J345" s="11"/>
      <c r="K345" s="11"/>
      <c r="L345" s="11"/>
      <c r="M345" s="11"/>
      <c r="N345" s="11"/>
      <c r="O345" s="11"/>
      <c r="P345" s="11"/>
      <c r="Q345" s="11"/>
      <c r="R345" s="11"/>
      <c r="S345" s="11"/>
      <c r="T345" s="11"/>
      <c r="U345" s="11"/>
      <c r="V345" s="11"/>
    </row>
    <row r="346" spans="1:22">
      <c r="A346" s="11"/>
      <c r="B346" s="11"/>
      <c r="C346" s="11"/>
      <c r="D346" s="11"/>
      <c r="E346" s="11"/>
      <c r="F346" s="11"/>
      <c r="G346" s="11"/>
      <c r="H346" s="11"/>
      <c r="I346" s="11"/>
      <c r="J346" s="11"/>
      <c r="K346" s="11"/>
      <c r="L346" s="11"/>
      <c r="M346" s="11"/>
      <c r="N346" s="11"/>
      <c r="O346" s="11"/>
      <c r="P346" s="11"/>
      <c r="Q346" s="11"/>
      <c r="R346" s="11"/>
      <c r="S346" s="11"/>
      <c r="T346" s="11"/>
      <c r="U346" s="11"/>
      <c r="V346" s="11"/>
    </row>
    <row r="347" spans="1:22">
      <c r="A347" s="11"/>
      <c r="B347" s="11"/>
      <c r="C347" s="11"/>
      <c r="D347" s="11"/>
      <c r="E347" s="11"/>
      <c r="F347" s="11"/>
      <c r="G347" s="11"/>
      <c r="H347" s="11"/>
      <c r="I347" s="11"/>
      <c r="J347" s="11"/>
      <c r="K347" s="11"/>
      <c r="L347" s="11"/>
      <c r="M347" s="11"/>
      <c r="N347" s="11"/>
      <c r="O347" s="11"/>
      <c r="P347" s="11"/>
      <c r="Q347" s="11"/>
      <c r="R347" s="11"/>
      <c r="S347" s="11"/>
      <c r="T347" s="11"/>
      <c r="U347" s="11"/>
      <c r="V347" s="11"/>
    </row>
    <row r="348" spans="1:22">
      <c r="A348" s="11"/>
      <c r="B348" s="11"/>
      <c r="C348" s="11"/>
      <c r="D348" s="11"/>
      <c r="E348" s="11"/>
      <c r="F348" s="11"/>
      <c r="G348" s="11"/>
      <c r="H348" s="11"/>
      <c r="I348" s="11"/>
      <c r="J348" s="11"/>
      <c r="K348" s="11"/>
      <c r="L348" s="11"/>
      <c r="M348" s="11"/>
      <c r="N348" s="11"/>
      <c r="O348" s="11"/>
      <c r="P348" s="11"/>
      <c r="Q348" s="11"/>
      <c r="R348" s="11"/>
      <c r="S348" s="11"/>
      <c r="T348" s="11"/>
      <c r="U348" s="11"/>
      <c r="V348" s="11"/>
    </row>
    <row r="349" spans="1:22">
      <c r="A349" s="11"/>
      <c r="B349" s="11"/>
      <c r="C349" s="11"/>
      <c r="D349" s="11"/>
      <c r="E349" s="11"/>
      <c r="F349" s="11"/>
      <c r="G349" s="11"/>
      <c r="H349" s="11"/>
      <c r="I349" s="11"/>
      <c r="J349" s="11"/>
      <c r="K349" s="11"/>
      <c r="L349" s="11"/>
      <c r="M349" s="11"/>
      <c r="N349" s="11"/>
      <c r="O349" s="11"/>
      <c r="P349" s="11"/>
      <c r="Q349" s="11"/>
      <c r="R349" s="11"/>
      <c r="S349" s="11"/>
      <c r="T349" s="11"/>
      <c r="U349" s="11"/>
      <c r="V349" s="11"/>
    </row>
    <row r="350" spans="1:22">
      <c r="A350" s="11"/>
      <c r="B350" s="11"/>
      <c r="C350" s="11"/>
      <c r="D350" s="11"/>
      <c r="E350" s="11"/>
      <c r="F350" s="11"/>
      <c r="G350" s="11"/>
      <c r="H350" s="11"/>
      <c r="I350" s="11"/>
      <c r="J350" s="11"/>
      <c r="K350" s="11"/>
      <c r="L350" s="11"/>
      <c r="M350" s="11"/>
      <c r="N350" s="11"/>
      <c r="O350" s="11"/>
      <c r="P350" s="11"/>
      <c r="Q350" s="11"/>
      <c r="R350" s="11"/>
      <c r="S350" s="11"/>
      <c r="T350" s="11"/>
      <c r="U350" s="11"/>
      <c r="V350" s="11"/>
    </row>
    <row r="351" spans="1:22">
      <c r="A351" s="11"/>
      <c r="B351" s="11"/>
      <c r="C351" s="11"/>
      <c r="D351" s="11"/>
      <c r="E351" s="11"/>
      <c r="F351" s="11"/>
      <c r="G351" s="11"/>
      <c r="H351" s="11"/>
      <c r="I351" s="11"/>
      <c r="J351" s="11"/>
      <c r="K351" s="11"/>
      <c r="L351" s="11"/>
      <c r="M351" s="11"/>
      <c r="N351" s="11"/>
      <c r="O351" s="11"/>
      <c r="P351" s="11"/>
      <c r="Q351" s="11"/>
      <c r="R351" s="11"/>
      <c r="S351" s="11"/>
      <c r="T351" s="11"/>
      <c r="U351" s="11"/>
      <c r="V351" s="11"/>
    </row>
    <row r="352" spans="1:22">
      <c r="A352" s="11"/>
      <c r="B352" s="11"/>
      <c r="C352" s="11"/>
      <c r="D352" s="11"/>
      <c r="E352" s="11"/>
      <c r="F352" s="11"/>
      <c r="G352" s="11"/>
      <c r="H352" s="11"/>
      <c r="I352" s="11"/>
      <c r="J352" s="11"/>
      <c r="K352" s="11"/>
      <c r="L352" s="11"/>
      <c r="M352" s="11"/>
      <c r="N352" s="11"/>
      <c r="O352" s="11"/>
      <c r="P352" s="11"/>
      <c r="Q352" s="11"/>
      <c r="R352" s="11"/>
      <c r="S352" s="11"/>
      <c r="T352" s="11"/>
      <c r="U352" s="11"/>
      <c r="V352" s="11"/>
    </row>
    <row r="353" spans="1:22">
      <c r="A353" s="11"/>
      <c r="B353" s="11"/>
      <c r="C353" s="11"/>
      <c r="D353" s="11"/>
      <c r="E353" s="11"/>
      <c r="F353" s="11"/>
      <c r="G353" s="11"/>
      <c r="H353" s="11"/>
      <c r="I353" s="11"/>
      <c r="J353" s="11"/>
      <c r="K353" s="11"/>
      <c r="L353" s="11"/>
      <c r="M353" s="11"/>
      <c r="N353" s="11"/>
      <c r="O353" s="11"/>
      <c r="P353" s="11"/>
      <c r="Q353" s="11"/>
      <c r="R353" s="11"/>
      <c r="S353" s="11"/>
      <c r="T353" s="11"/>
      <c r="U353" s="11"/>
      <c r="V353" s="11"/>
    </row>
    <row r="354" spans="1:22">
      <c r="A354" s="11"/>
      <c r="B354" s="11"/>
      <c r="C354" s="11"/>
      <c r="D354" s="11"/>
      <c r="E354" s="11"/>
      <c r="F354" s="11"/>
      <c r="G354" s="11"/>
      <c r="H354" s="11"/>
      <c r="I354" s="11"/>
      <c r="J354" s="11"/>
      <c r="K354" s="11"/>
      <c r="L354" s="11"/>
      <c r="M354" s="11"/>
      <c r="N354" s="11"/>
      <c r="O354" s="11"/>
      <c r="P354" s="11"/>
      <c r="Q354" s="11"/>
      <c r="R354" s="11"/>
      <c r="S354" s="11"/>
      <c r="T354" s="11"/>
      <c r="U354" s="11"/>
      <c r="V354" s="11"/>
    </row>
    <row r="355" spans="1:22">
      <c r="A355" s="11"/>
      <c r="B355" s="11"/>
      <c r="C355" s="11"/>
      <c r="D355" s="11"/>
      <c r="E355" s="11"/>
      <c r="F355" s="11"/>
      <c r="G355" s="11"/>
      <c r="H355" s="11"/>
      <c r="I355" s="11"/>
      <c r="J355" s="11"/>
      <c r="K355" s="11"/>
      <c r="L355" s="11"/>
      <c r="M355" s="11"/>
      <c r="N355" s="11"/>
      <c r="O355" s="11"/>
      <c r="P355" s="11"/>
      <c r="Q355" s="11"/>
      <c r="R355" s="11"/>
      <c r="S355" s="11"/>
      <c r="T355" s="11"/>
      <c r="U355" s="11"/>
      <c r="V355" s="11"/>
    </row>
    <row r="356" spans="1:22">
      <c r="A356" s="11"/>
      <c r="B356" s="11"/>
      <c r="C356" s="11"/>
      <c r="D356" s="11"/>
      <c r="E356" s="11"/>
      <c r="F356" s="11"/>
      <c r="G356" s="11"/>
      <c r="H356" s="11"/>
      <c r="I356" s="11"/>
      <c r="J356" s="11"/>
      <c r="K356" s="11"/>
      <c r="L356" s="11"/>
      <c r="M356" s="11"/>
      <c r="N356" s="11"/>
      <c r="O356" s="11"/>
      <c r="P356" s="11"/>
      <c r="Q356" s="11"/>
      <c r="R356" s="11"/>
      <c r="S356" s="11"/>
      <c r="T356" s="11"/>
      <c r="U356" s="11"/>
      <c r="V356" s="11"/>
    </row>
    <row r="357" spans="1:22">
      <c r="A357" s="11"/>
      <c r="B357" s="11"/>
      <c r="C357" s="11"/>
      <c r="D357" s="11"/>
      <c r="E357" s="11"/>
      <c r="F357" s="11"/>
      <c r="G357" s="11"/>
      <c r="H357" s="11"/>
      <c r="I357" s="11"/>
      <c r="J357" s="11"/>
      <c r="K357" s="11"/>
      <c r="L357" s="11"/>
      <c r="M357" s="11"/>
      <c r="N357" s="11"/>
      <c r="O357" s="11"/>
      <c r="P357" s="11"/>
      <c r="Q357" s="11"/>
      <c r="R357" s="11"/>
      <c r="S357" s="11"/>
      <c r="T357" s="11"/>
      <c r="U357" s="11"/>
      <c r="V357" s="11"/>
    </row>
    <row r="358" spans="1:22">
      <c r="A358" s="11"/>
      <c r="B358" s="11"/>
      <c r="C358" s="11"/>
      <c r="D358" s="11"/>
      <c r="E358" s="11"/>
      <c r="F358" s="11"/>
      <c r="G358" s="11"/>
      <c r="H358" s="11"/>
      <c r="I358" s="11"/>
      <c r="J358" s="11"/>
      <c r="K358" s="11"/>
      <c r="L358" s="11"/>
      <c r="M358" s="11"/>
      <c r="N358" s="11"/>
      <c r="O358" s="11"/>
      <c r="P358" s="11"/>
      <c r="Q358" s="11"/>
      <c r="R358" s="11"/>
      <c r="S358" s="11"/>
      <c r="T358" s="11"/>
      <c r="U358" s="11"/>
      <c r="V358" s="11"/>
    </row>
    <row r="359" spans="1:22">
      <c r="A359" s="11"/>
      <c r="B359" s="11"/>
      <c r="C359" s="11"/>
      <c r="D359" s="11"/>
      <c r="E359" s="11"/>
      <c r="F359" s="11"/>
      <c r="G359" s="11"/>
      <c r="H359" s="11"/>
      <c r="I359" s="11"/>
      <c r="J359" s="11"/>
      <c r="K359" s="11"/>
      <c r="L359" s="11"/>
      <c r="M359" s="11"/>
      <c r="N359" s="11"/>
      <c r="O359" s="11"/>
      <c r="P359" s="11"/>
      <c r="Q359" s="11"/>
      <c r="R359" s="11"/>
      <c r="S359" s="11"/>
      <c r="T359" s="11"/>
      <c r="U359" s="11"/>
      <c r="V359" s="11"/>
    </row>
    <row r="360" spans="1:22">
      <c r="A360" s="11"/>
      <c r="B360" s="11"/>
      <c r="C360" s="11"/>
      <c r="D360" s="11"/>
      <c r="E360" s="11"/>
      <c r="F360" s="11"/>
      <c r="G360" s="11"/>
      <c r="H360" s="11"/>
      <c r="I360" s="11"/>
      <c r="J360" s="11"/>
      <c r="K360" s="11"/>
      <c r="L360" s="11"/>
      <c r="M360" s="11"/>
      <c r="N360" s="11"/>
      <c r="O360" s="11"/>
      <c r="P360" s="11"/>
      <c r="Q360" s="11"/>
      <c r="R360" s="11"/>
      <c r="S360" s="11"/>
      <c r="T360" s="11"/>
      <c r="U360" s="11"/>
      <c r="V360" s="11"/>
    </row>
    <row r="361" spans="1:22">
      <c r="A361" s="11"/>
      <c r="B361" s="11"/>
      <c r="C361" s="11"/>
      <c r="D361" s="11"/>
      <c r="E361" s="11"/>
      <c r="F361" s="11"/>
      <c r="G361" s="11"/>
      <c r="H361" s="11"/>
      <c r="I361" s="11"/>
      <c r="J361" s="11"/>
      <c r="K361" s="11"/>
      <c r="L361" s="11"/>
      <c r="M361" s="11"/>
      <c r="N361" s="11"/>
      <c r="O361" s="11"/>
      <c r="P361" s="11"/>
      <c r="Q361" s="11"/>
      <c r="R361" s="11"/>
      <c r="S361" s="11"/>
      <c r="T361" s="11"/>
      <c r="U361" s="11"/>
      <c r="V361" s="11"/>
    </row>
    <row r="362" spans="1:22">
      <c r="A362" s="11"/>
      <c r="B362" s="11"/>
      <c r="C362" s="11"/>
      <c r="D362" s="11"/>
      <c r="E362" s="11"/>
      <c r="F362" s="11"/>
      <c r="G362" s="11"/>
      <c r="H362" s="11"/>
      <c r="I362" s="11"/>
      <c r="J362" s="11"/>
      <c r="K362" s="11"/>
      <c r="L362" s="11"/>
      <c r="M362" s="11"/>
      <c r="N362" s="11"/>
      <c r="O362" s="11"/>
      <c r="P362" s="11"/>
      <c r="Q362" s="11"/>
      <c r="R362" s="11"/>
      <c r="S362" s="11"/>
      <c r="T362" s="11"/>
      <c r="U362" s="11"/>
      <c r="V362" s="11"/>
    </row>
    <row r="363" spans="1:22">
      <c r="A363" s="11"/>
      <c r="B363" s="11"/>
      <c r="C363" s="11"/>
      <c r="D363" s="11"/>
      <c r="E363" s="11"/>
      <c r="F363" s="11"/>
      <c r="G363" s="11"/>
      <c r="H363" s="11"/>
      <c r="I363" s="11"/>
      <c r="J363" s="11"/>
      <c r="K363" s="11"/>
      <c r="L363" s="11"/>
      <c r="M363" s="11"/>
      <c r="N363" s="11"/>
      <c r="O363" s="11"/>
      <c r="P363" s="11"/>
      <c r="Q363" s="11"/>
      <c r="R363" s="11"/>
      <c r="S363" s="11"/>
      <c r="T363" s="11"/>
      <c r="U363" s="11"/>
      <c r="V363" s="11"/>
    </row>
    <row r="364" spans="1:22">
      <c r="A364" s="11"/>
      <c r="B364" s="11"/>
      <c r="C364" s="11"/>
      <c r="D364" s="11"/>
      <c r="E364" s="11"/>
      <c r="F364" s="11"/>
      <c r="G364" s="11"/>
      <c r="H364" s="11"/>
      <c r="I364" s="11"/>
      <c r="J364" s="11"/>
      <c r="K364" s="11"/>
      <c r="L364" s="11"/>
      <c r="M364" s="11"/>
      <c r="N364" s="11"/>
      <c r="O364" s="11"/>
      <c r="P364" s="11"/>
      <c r="Q364" s="11"/>
      <c r="R364" s="11"/>
      <c r="S364" s="11"/>
      <c r="T364" s="11"/>
      <c r="U364" s="11"/>
      <c r="V364" s="11"/>
    </row>
    <row r="365" spans="1:22">
      <c r="A365" s="11"/>
      <c r="B365" s="11"/>
      <c r="C365" s="11"/>
      <c r="D365" s="11"/>
      <c r="E365" s="11"/>
      <c r="F365" s="11"/>
      <c r="G365" s="11"/>
      <c r="H365" s="11"/>
      <c r="I365" s="11"/>
      <c r="J365" s="11"/>
      <c r="K365" s="11"/>
      <c r="L365" s="11"/>
      <c r="M365" s="11"/>
      <c r="N365" s="11"/>
      <c r="O365" s="11"/>
      <c r="P365" s="11"/>
      <c r="Q365" s="11"/>
      <c r="R365" s="11"/>
      <c r="S365" s="11"/>
      <c r="T365" s="11"/>
      <c r="U365" s="11"/>
      <c r="V365" s="11"/>
    </row>
    <row r="366" spans="1:22">
      <c r="A366" s="11"/>
      <c r="B366" s="11"/>
      <c r="C366" s="11"/>
      <c r="D366" s="11"/>
      <c r="E366" s="11"/>
      <c r="F366" s="11"/>
      <c r="G366" s="11"/>
      <c r="H366" s="11"/>
      <c r="I366" s="11"/>
      <c r="J366" s="11"/>
      <c r="K366" s="11"/>
      <c r="L366" s="11"/>
      <c r="M366" s="11"/>
      <c r="N366" s="11"/>
      <c r="O366" s="11"/>
      <c r="P366" s="11"/>
      <c r="Q366" s="11"/>
      <c r="R366" s="11"/>
      <c r="S366" s="11"/>
      <c r="T366" s="11"/>
      <c r="U366" s="11"/>
      <c r="V366" s="11"/>
    </row>
    <row r="367" spans="1:22">
      <c r="A367" s="11"/>
      <c r="B367" s="11"/>
      <c r="C367" s="11"/>
      <c r="D367" s="11"/>
      <c r="E367" s="11"/>
      <c r="F367" s="11"/>
      <c r="G367" s="11"/>
      <c r="H367" s="11"/>
      <c r="I367" s="11"/>
      <c r="J367" s="11"/>
      <c r="K367" s="11"/>
      <c r="L367" s="11"/>
      <c r="M367" s="11"/>
      <c r="N367" s="11"/>
      <c r="O367" s="11"/>
      <c r="P367" s="11"/>
      <c r="Q367" s="11"/>
      <c r="R367" s="11"/>
      <c r="S367" s="11"/>
      <c r="T367" s="11"/>
      <c r="U367" s="11"/>
      <c r="V367" s="11"/>
    </row>
    <row r="368" spans="1:22">
      <c r="A368" s="11"/>
      <c r="B368" s="11"/>
      <c r="C368" s="11"/>
      <c r="D368" s="11"/>
      <c r="E368" s="11"/>
      <c r="F368" s="11"/>
      <c r="G368" s="11"/>
      <c r="H368" s="11"/>
      <c r="I368" s="11"/>
      <c r="J368" s="11"/>
      <c r="K368" s="11"/>
      <c r="L368" s="11"/>
      <c r="M368" s="11"/>
      <c r="N368" s="11"/>
      <c r="O368" s="11"/>
      <c r="P368" s="11"/>
      <c r="Q368" s="11"/>
      <c r="R368" s="11"/>
      <c r="S368" s="11"/>
      <c r="T368" s="11"/>
      <c r="U368" s="11"/>
      <c r="V368" s="11"/>
    </row>
    <row r="369" spans="1:22">
      <c r="A369" s="11"/>
      <c r="B369" s="11"/>
      <c r="C369" s="11"/>
      <c r="D369" s="11"/>
      <c r="E369" s="11"/>
      <c r="F369" s="11"/>
      <c r="G369" s="11"/>
      <c r="H369" s="11"/>
      <c r="I369" s="11"/>
      <c r="J369" s="11"/>
      <c r="K369" s="11"/>
      <c r="L369" s="11"/>
      <c r="M369" s="11"/>
      <c r="N369" s="11"/>
      <c r="O369" s="11"/>
      <c r="P369" s="11"/>
      <c r="Q369" s="11"/>
      <c r="R369" s="11"/>
      <c r="S369" s="11"/>
      <c r="T369" s="11"/>
      <c r="U369" s="11"/>
      <c r="V369" s="11"/>
    </row>
    <row r="370" spans="1:22">
      <c r="A370" s="11"/>
      <c r="B370" s="11"/>
      <c r="C370" s="11"/>
      <c r="D370" s="11"/>
      <c r="E370" s="11"/>
      <c r="F370" s="11"/>
      <c r="G370" s="11"/>
      <c r="H370" s="11"/>
      <c r="I370" s="11"/>
      <c r="J370" s="11"/>
      <c r="K370" s="11"/>
      <c r="L370" s="11"/>
      <c r="M370" s="11"/>
      <c r="N370" s="11"/>
      <c r="O370" s="11"/>
      <c r="P370" s="11"/>
      <c r="Q370" s="11"/>
      <c r="R370" s="11"/>
      <c r="S370" s="11"/>
      <c r="T370" s="11"/>
      <c r="U370" s="11"/>
      <c r="V370" s="11"/>
    </row>
    <row r="371" spans="1:22">
      <c r="A371" s="11"/>
      <c r="B371" s="11"/>
      <c r="C371" s="11"/>
      <c r="D371" s="11"/>
      <c r="E371" s="11"/>
      <c r="F371" s="11"/>
      <c r="G371" s="11"/>
      <c r="H371" s="11"/>
      <c r="I371" s="11"/>
      <c r="J371" s="11"/>
      <c r="K371" s="11"/>
      <c r="L371" s="11"/>
      <c r="M371" s="11"/>
      <c r="N371" s="11"/>
      <c r="O371" s="11"/>
      <c r="P371" s="11"/>
      <c r="Q371" s="11"/>
      <c r="R371" s="11"/>
      <c r="S371" s="11"/>
      <c r="T371" s="11"/>
      <c r="U371" s="11"/>
      <c r="V371" s="11"/>
    </row>
    <row r="372" spans="1:22">
      <c r="A372" s="11"/>
      <c r="B372" s="11"/>
      <c r="C372" s="11"/>
      <c r="D372" s="11"/>
      <c r="E372" s="11"/>
      <c r="F372" s="11"/>
      <c r="G372" s="11"/>
      <c r="H372" s="11"/>
      <c r="I372" s="11"/>
      <c r="J372" s="11"/>
      <c r="K372" s="11"/>
      <c r="L372" s="11"/>
      <c r="M372" s="11"/>
      <c r="N372" s="11"/>
      <c r="O372" s="11"/>
      <c r="P372" s="11"/>
      <c r="Q372" s="11"/>
      <c r="R372" s="11"/>
      <c r="S372" s="11"/>
      <c r="T372" s="11"/>
      <c r="U372" s="11"/>
      <c r="V372" s="11"/>
    </row>
    <row r="373" spans="1:22">
      <c r="A373" s="11"/>
      <c r="B373" s="11"/>
      <c r="C373" s="11"/>
      <c r="D373" s="11"/>
      <c r="E373" s="11"/>
      <c r="F373" s="11"/>
      <c r="G373" s="11"/>
      <c r="H373" s="11"/>
      <c r="I373" s="11"/>
      <c r="J373" s="11"/>
      <c r="K373" s="11"/>
      <c r="L373" s="11"/>
      <c r="M373" s="11"/>
      <c r="N373" s="11"/>
      <c r="O373" s="11"/>
      <c r="P373" s="11"/>
      <c r="Q373" s="11"/>
      <c r="R373" s="11"/>
      <c r="S373" s="11"/>
      <c r="T373" s="11"/>
      <c r="U373" s="11"/>
      <c r="V373" s="11"/>
    </row>
    <row r="374" spans="1:22">
      <c r="A374" s="11"/>
      <c r="B374" s="11"/>
      <c r="C374" s="11"/>
      <c r="D374" s="11"/>
      <c r="E374" s="11"/>
      <c r="F374" s="11"/>
      <c r="G374" s="11"/>
      <c r="H374" s="11"/>
      <c r="I374" s="11"/>
      <c r="J374" s="11"/>
      <c r="K374" s="11"/>
      <c r="L374" s="11"/>
      <c r="M374" s="11"/>
      <c r="N374" s="11"/>
      <c r="O374" s="11"/>
      <c r="P374" s="11"/>
      <c r="Q374" s="11"/>
      <c r="R374" s="11"/>
      <c r="S374" s="11"/>
      <c r="T374" s="11"/>
      <c r="U374" s="11"/>
      <c r="V374" s="11"/>
    </row>
    <row r="375" spans="1:22">
      <c r="A375" s="11"/>
      <c r="B375" s="11"/>
      <c r="C375" s="11"/>
      <c r="D375" s="11"/>
      <c r="E375" s="11"/>
      <c r="F375" s="11"/>
      <c r="G375" s="11"/>
      <c r="H375" s="11"/>
      <c r="I375" s="11"/>
      <c r="J375" s="11"/>
      <c r="K375" s="11"/>
      <c r="L375" s="11"/>
      <c r="M375" s="11"/>
      <c r="N375" s="11"/>
      <c r="O375" s="11"/>
      <c r="P375" s="11"/>
      <c r="Q375" s="11"/>
      <c r="R375" s="11"/>
      <c r="S375" s="11"/>
      <c r="T375" s="11"/>
      <c r="U375" s="11"/>
      <c r="V375" s="11"/>
    </row>
    <row r="376" spans="1:22">
      <c r="A376" s="11"/>
      <c r="B376" s="11"/>
      <c r="C376" s="11"/>
      <c r="D376" s="11"/>
      <c r="E376" s="11"/>
      <c r="F376" s="11"/>
      <c r="G376" s="11"/>
      <c r="H376" s="11"/>
      <c r="I376" s="11"/>
      <c r="J376" s="11"/>
      <c r="K376" s="11"/>
      <c r="L376" s="11"/>
      <c r="M376" s="11"/>
      <c r="N376" s="11"/>
      <c r="O376" s="11"/>
      <c r="P376" s="11"/>
      <c r="Q376" s="11"/>
      <c r="R376" s="11"/>
      <c r="S376" s="11"/>
      <c r="T376" s="11"/>
      <c r="U376" s="11"/>
      <c r="V376" s="11"/>
    </row>
    <row r="377" spans="1:22">
      <c r="A377" s="11"/>
      <c r="B377" s="11"/>
      <c r="C377" s="11"/>
      <c r="D377" s="11"/>
      <c r="E377" s="11"/>
      <c r="F377" s="11"/>
      <c r="G377" s="11"/>
      <c r="H377" s="11"/>
      <c r="I377" s="11"/>
      <c r="J377" s="11"/>
      <c r="K377" s="11"/>
      <c r="L377" s="11"/>
      <c r="M377" s="11"/>
      <c r="N377" s="11"/>
      <c r="O377" s="11"/>
      <c r="P377" s="11"/>
      <c r="Q377" s="11"/>
      <c r="R377" s="11"/>
      <c r="S377" s="11"/>
      <c r="T377" s="11"/>
      <c r="U377" s="11"/>
      <c r="V377" s="11"/>
    </row>
    <row r="378" spans="1:22">
      <c r="A378" s="11"/>
      <c r="B378" s="11"/>
      <c r="C378" s="11"/>
      <c r="D378" s="11"/>
      <c r="E378" s="11"/>
      <c r="F378" s="11"/>
      <c r="G378" s="11"/>
      <c r="H378" s="11"/>
      <c r="I378" s="11"/>
      <c r="J378" s="11"/>
      <c r="K378" s="11"/>
      <c r="L378" s="11"/>
      <c r="M378" s="11"/>
      <c r="N378" s="11"/>
      <c r="O378" s="11"/>
      <c r="P378" s="11"/>
      <c r="Q378" s="11"/>
      <c r="R378" s="11"/>
      <c r="S378" s="11"/>
      <c r="T378" s="11"/>
      <c r="U378" s="11"/>
      <c r="V378" s="11"/>
    </row>
    <row r="379" spans="1:22">
      <c r="A379" s="11"/>
      <c r="B379" s="11"/>
      <c r="C379" s="11"/>
      <c r="D379" s="11"/>
      <c r="E379" s="11"/>
      <c r="F379" s="11"/>
      <c r="G379" s="11"/>
      <c r="H379" s="11"/>
      <c r="I379" s="11"/>
      <c r="J379" s="11"/>
      <c r="K379" s="11"/>
      <c r="L379" s="11"/>
      <c r="M379" s="11"/>
      <c r="N379" s="11"/>
      <c r="O379" s="11"/>
      <c r="P379" s="11"/>
      <c r="Q379" s="11"/>
      <c r="R379" s="11"/>
      <c r="S379" s="11"/>
      <c r="T379" s="11"/>
      <c r="U379" s="11"/>
      <c r="V379" s="11"/>
    </row>
    <row r="380" spans="1:22">
      <c r="A380" s="11"/>
      <c r="B380" s="11"/>
      <c r="C380" s="11"/>
      <c r="D380" s="11"/>
      <c r="E380" s="11"/>
      <c r="F380" s="11"/>
      <c r="G380" s="11"/>
      <c r="H380" s="11"/>
      <c r="I380" s="11"/>
      <c r="J380" s="11"/>
      <c r="K380" s="11"/>
      <c r="L380" s="11"/>
      <c r="M380" s="11"/>
      <c r="N380" s="11"/>
      <c r="O380" s="11"/>
      <c r="P380" s="11"/>
      <c r="Q380" s="11"/>
      <c r="R380" s="11"/>
      <c r="S380" s="11"/>
      <c r="T380" s="11"/>
      <c r="U380" s="11"/>
      <c r="V380" s="11"/>
    </row>
    <row r="381" spans="1:22">
      <c r="A381" s="11"/>
      <c r="B381" s="11"/>
      <c r="C381" s="11"/>
      <c r="D381" s="11"/>
      <c r="E381" s="11"/>
      <c r="F381" s="11"/>
      <c r="G381" s="11"/>
      <c r="H381" s="11"/>
      <c r="I381" s="11"/>
      <c r="J381" s="11"/>
      <c r="K381" s="11"/>
      <c r="L381" s="11"/>
      <c r="M381" s="11"/>
      <c r="N381" s="11"/>
      <c r="O381" s="11"/>
      <c r="P381" s="11"/>
      <c r="Q381" s="11"/>
      <c r="R381" s="11"/>
      <c r="S381" s="11"/>
      <c r="T381" s="11"/>
      <c r="U381" s="11"/>
      <c r="V381" s="11"/>
    </row>
    <row r="382" spans="1:22">
      <c r="A382" s="11"/>
      <c r="B382" s="11"/>
      <c r="C382" s="11"/>
      <c r="D382" s="11"/>
      <c r="E382" s="11"/>
      <c r="F382" s="11"/>
      <c r="G382" s="11"/>
      <c r="H382" s="11"/>
      <c r="I382" s="11"/>
      <c r="J382" s="11"/>
      <c r="K382" s="11"/>
      <c r="L382" s="11"/>
      <c r="M382" s="11"/>
      <c r="N382" s="11"/>
      <c r="O382" s="11"/>
      <c r="P382" s="11"/>
      <c r="Q382" s="11"/>
      <c r="R382" s="11"/>
      <c r="S382" s="11"/>
      <c r="T382" s="11"/>
      <c r="U382" s="11"/>
      <c r="V382" s="11"/>
    </row>
    <row r="383" spans="1:22">
      <c r="A383" s="11"/>
      <c r="B383" s="11"/>
      <c r="C383" s="11"/>
      <c r="D383" s="11"/>
      <c r="E383" s="11"/>
      <c r="F383" s="11"/>
      <c r="G383" s="11"/>
      <c r="H383" s="11"/>
      <c r="I383" s="11"/>
      <c r="J383" s="11"/>
      <c r="K383" s="11"/>
      <c r="L383" s="11"/>
      <c r="M383" s="11"/>
      <c r="N383" s="11"/>
      <c r="O383" s="11"/>
      <c r="P383" s="11"/>
      <c r="Q383" s="11"/>
      <c r="R383" s="11"/>
      <c r="S383" s="11"/>
      <c r="T383" s="11"/>
      <c r="U383" s="11"/>
      <c r="V383" s="11"/>
    </row>
    <row r="384" spans="1:22">
      <c r="A384" s="11"/>
      <c r="B384" s="11"/>
      <c r="C384" s="11"/>
      <c r="D384" s="11"/>
      <c r="E384" s="11"/>
      <c r="F384" s="11"/>
      <c r="G384" s="11"/>
      <c r="H384" s="11"/>
      <c r="I384" s="11"/>
      <c r="J384" s="11"/>
      <c r="K384" s="11"/>
      <c r="L384" s="11"/>
      <c r="M384" s="11"/>
      <c r="N384" s="11"/>
      <c r="O384" s="11"/>
      <c r="P384" s="11"/>
      <c r="Q384" s="11"/>
      <c r="R384" s="11"/>
      <c r="S384" s="11"/>
      <c r="T384" s="11"/>
      <c r="U384" s="11"/>
      <c r="V384" s="11"/>
    </row>
    <row r="385" spans="1:22">
      <c r="A385" s="11"/>
      <c r="B385" s="11"/>
      <c r="C385" s="11"/>
      <c r="D385" s="11"/>
      <c r="E385" s="11"/>
      <c r="F385" s="11"/>
      <c r="G385" s="11"/>
      <c r="H385" s="11"/>
      <c r="I385" s="11"/>
      <c r="J385" s="11"/>
      <c r="K385" s="11"/>
      <c r="L385" s="11"/>
      <c r="M385" s="11"/>
      <c r="N385" s="11"/>
      <c r="O385" s="11"/>
      <c r="P385" s="11"/>
      <c r="Q385" s="11"/>
      <c r="R385" s="11"/>
      <c r="S385" s="11"/>
      <c r="T385" s="11"/>
      <c r="U385" s="11"/>
      <c r="V385" s="11"/>
    </row>
    <row r="386" spans="1:22">
      <c r="A386" s="11"/>
      <c r="B386" s="11"/>
      <c r="C386" s="11"/>
      <c r="D386" s="11"/>
      <c r="E386" s="11"/>
      <c r="F386" s="11"/>
      <c r="G386" s="11"/>
      <c r="H386" s="11"/>
      <c r="I386" s="11"/>
      <c r="J386" s="11"/>
      <c r="K386" s="11"/>
      <c r="L386" s="11"/>
      <c r="M386" s="11"/>
      <c r="N386" s="11"/>
      <c r="O386" s="11"/>
      <c r="P386" s="11"/>
      <c r="Q386" s="11"/>
      <c r="R386" s="11"/>
      <c r="S386" s="11"/>
      <c r="T386" s="11"/>
      <c r="U386" s="11"/>
      <c r="V386" s="11"/>
    </row>
    <row r="387" spans="1:22">
      <c r="A387" s="11"/>
      <c r="B387" s="11"/>
      <c r="C387" s="11"/>
      <c r="D387" s="11"/>
      <c r="E387" s="11"/>
      <c r="F387" s="11"/>
      <c r="G387" s="11"/>
      <c r="H387" s="11"/>
      <c r="I387" s="11"/>
      <c r="J387" s="11"/>
      <c r="K387" s="11"/>
      <c r="L387" s="11"/>
      <c r="M387" s="11"/>
      <c r="N387" s="11"/>
      <c r="O387" s="11"/>
      <c r="P387" s="11"/>
      <c r="Q387" s="11"/>
      <c r="R387" s="11"/>
      <c r="S387" s="11"/>
      <c r="T387" s="11"/>
      <c r="U387" s="11"/>
      <c r="V387" s="11"/>
    </row>
    <row r="388" spans="1:22">
      <c r="A388" s="11"/>
      <c r="B388" s="11"/>
      <c r="C388" s="11"/>
      <c r="D388" s="11"/>
      <c r="E388" s="11"/>
      <c r="F388" s="11"/>
      <c r="G388" s="11"/>
      <c r="H388" s="11"/>
      <c r="I388" s="11"/>
      <c r="J388" s="11"/>
      <c r="K388" s="11"/>
      <c r="L388" s="11"/>
      <c r="M388" s="11"/>
      <c r="N388" s="11"/>
      <c r="O388" s="11"/>
      <c r="P388" s="11"/>
      <c r="Q388" s="11"/>
      <c r="R388" s="11"/>
      <c r="S388" s="11"/>
      <c r="T388" s="11"/>
      <c r="U388" s="11"/>
      <c r="V388" s="11"/>
    </row>
    <row r="389" spans="1:22">
      <c r="A389" s="11"/>
      <c r="B389" s="11"/>
      <c r="C389" s="11"/>
      <c r="D389" s="11"/>
      <c r="E389" s="11"/>
      <c r="F389" s="11"/>
      <c r="G389" s="11"/>
      <c r="H389" s="11"/>
      <c r="I389" s="11"/>
      <c r="J389" s="11"/>
      <c r="K389" s="11"/>
      <c r="L389" s="11"/>
      <c r="M389" s="11"/>
      <c r="N389" s="11"/>
      <c r="O389" s="11"/>
      <c r="P389" s="11"/>
      <c r="Q389" s="11"/>
      <c r="R389" s="11"/>
      <c r="S389" s="11"/>
      <c r="T389" s="11"/>
      <c r="U389" s="11"/>
      <c r="V389" s="11"/>
    </row>
    <row r="390" spans="1:22">
      <c r="A390" s="11"/>
      <c r="B390" s="11"/>
      <c r="C390" s="11"/>
      <c r="D390" s="11"/>
      <c r="E390" s="11"/>
      <c r="F390" s="11"/>
      <c r="G390" s="11"/>
      <c r="H390" s="11"/>
      <c r="I390" s="11"/>
      <c r="J390" s="11"/>
      <c r="K390" s="11"/>
      <c r="L390" s="11"/>
      <c r="M390" s="11"/>
      <c r="N390" s="11"/>
      <c r="O390" s="11"/>
      <c r="P390" s="11"/>
      <c r="Q390" s="11"/>
      <c r="R390" s="11"/>
      <c r="S390" s="11"/>
      <c r="T390" s="11"/>
      <c r="U390" s="11"/>
      <c r="V390" s="11"/>
    </row>
    <row r="391" spans="1:22">
      <c r="A391" s="11"/>
      <c r="B391" s="11"/>
      <c r="C391" s="11"/>
      <c r="D391" s="11"/>
      <c r="E391" s="11"/>
      <c r="F391" s="11"/>
      <c r="G391" s="11"/>
      <c r="H391" s="11"/>
      <c r="I391" s="11"/>
      <c r="J391" s="11"/>
      <c r="K391" s="11"/>
      <c r="L391" s="11"/>
      <c r="M391" s="11"/>
      <c r="N391" s="11"/>
      <c r="O391" s="11"/>
      <c r="P391" s="11"/>
      <c r="Q391" s="11"/>
      <c r="R391" s="11"/>
      <c r="S391" s="11"/>
      <c r="T391" s="11"/>
      <c r="U391" s="11"/>
      <c r="V391" s="11"/>
    </row>
    <row r="392" spans="1:22">
      <c r="A392" s="11"/>
      <c r="B392" s="11"/>
      <c r="C392" s="11"/>
      <c r="D392" s="11"/>
      <c r="E392" s="11"/>
      <c r="F392" s="11"/>
      <c r="G392" s="11"/>
      <c r="H392" s="11"/>
      <c r="I392" s="11"/>
      <c r="J392" s="11"/>
      <c r="K392" s="11"/>
      <c r="L392" s="11"/>
      <c r="M392" s="11"/>
      <c r="N392" s="11"/>
      <c r="O392" s="11"/>
      <c r="P392" s="11"/>
      <c r="Q392" s="11"/>
      <c r="R392" s="11"/>
      <c r="S392" s="11"/>
      <c r="T392" s="11"/>
      <c r="U392" s="11"/>
      <c r="V392" s="11"/>
    </row>
    <row r="393" spans="1:22">
      <c r="A393" s="11"/>
      <c r="B393" s="11"/>
      <c r="C393" s="11"/>
      <c r="D393" s="11"/>
      <c r="E393" s="11"/>
      <c r="F393" s="11"/>
      <c r="G393" s="11"/>
      <c r="H393" s="11"/>
      <c r="I393" s="11"/>
      <c r="J393" s="11"/>
      <c r="K393" s="11"/>
      <c r="L393" s="11"/>
      <c r="M393" s="11"/>
      <c r="N393" s="11"/>
      <c r="O393" s="11"/>
      <c r="P393" s="11"/>
      <c r="Q393" s="11"/>
      <c r="R393" s="11"/>
      <c r="S393" s="11"/>
      <c r="T393" s="11"/>
      <c r="U393" s="11"/>
      <c r="V393" s="11"/>
    </row>
    <row r="394" spans="1:22">
      <c r="A394" s="11"/>
      <c r="B394" s="11"/>
      <c r="C394" s="11"/>
      <c r="D394" s="11"/>
      <c r="E394" s="11"/>
      <c r="F394" s="11"/>
      <c r="G394" s="11"/>
      <c r="H394" s="11"/>
      <c r="I394" s="11"/>
      <c r="J394" s="11"/>
      <c r="K394" s="11"/>
      <c r="L394" s="11"/>
      <c r="M394" s="11"/>
      <c r="N394" s="11"/>
      <c r="O394" s="11"/>
      <c r="P394" s="11"/>
      <c r="Q394" s="11"/>
      <c r="R394" s="11"/>
      <c r="S394" s="11"/>
      <c r="T394" s="11"/>
      <c r="U394" s="11"/>
      <c r="V394" s="11"/>
    </row>
    <row r="395" spans="1:22">
      <c r="A395" s="11"/>
      <c r="B395" s="11"/>
      <c r="C395" s="11"/>
      <c r="D395" s="11"/>
      <c r="E395" s="11"/>
      <c r="F395" s="11"/>
      <c r="G395" s="11"/>
      <c r="H395" s="11"/>
      <c r="I395" s="11"/>
      <c r="J395" s="11"/>
      <c r="K395" s="11"/>
      <c r="L395" s="11"/>
      <c r="M395" s="11"/>
      <c r="N395" s="11"/>
      <c r="O395" s="11"/>
      <c r="P395" s="11"/>
      <c r="Q395" s="11"/>
      <c r="R395" s="11"/>
      <c r="S395" s="11"/>
      <c r="T395" s="11"/>
      <c r="U395" s="11"/>
      <c r="V395" s="11"/>
    </row>
    <row r="396" spans="1:22">
      <c r="A396" s="11"/>
      <c r="B396" s="11"/>
      <c r="C396" s="11"/>
      <c r="D396" s="11"/>
      <c r="E396" s="11"/>
      <c r="F396" s="11"/>
      <c r="G396" s="11"/>
      <c r="H396" s="11"/>
      <c r="I396" s="11"/>
      <c r="J396" s="11"/>
      <c r="K396" s="11"/>
      <c r="L396" s="11"/>
      <c r="M396" s="11"/>
      <c r="N396" s="11"/>
      <c r="O396" s="11"/>
      <c r="P396" s="11"/>
      <c r="Q396" s="11"/>
      <c r="R396" s="11"/>
      <c r="S396" s="11"/>
      <c r="T396" s="11"/>
      <c r="U396" s="11"/>
      <c r="V396" s="11"/>
    </row>
    <row r="397" spans="1:22">
      <c r="A397" s="11"/>
      <c r="B397" s="11"/>
      <c r="C397" s="11"/>
      <c r="D397" s="11"/>
      <c r="E397" s="11"/>
      <c r="F397" s="11"/>
      <c r="G397" s="11"/>
      <c r="H397" s="11"/>
      <c r="I397" s="11"/>
      <c r="J397" s="11"/>
      <c r="K397" s="11"/>
      <c r="L397" s="11"/>
      <c r="M397" s="11"/>
      <c r="N397" s="11"/>
      <c r="O397" s="11"/>
      <c r="P397" s="11"/>
      <c r="Q397" s="11"/>
      <c r="R397" s="11"/>
      <c r="S397" s="11"/>
      <c r="T397" s="11"/>
      <c r="U397" s="11"/>
      <c r="V397" s="11"/>
    </row>
    <row r="398" spans="1:22">
      <c r="A398" s="11"/>
      <c r="B398" s="11"/>
      <c r="C398" s="11"/>
      <c r="D398" s="11"/>
      <c r="E398" s="11"/>
      <c r="F398" s="11"/>
      <c r="G398" s="11"/>
      <c r="H398" s="11"/>
      <c r="I398" s="11"/>
      <c r="J398" s="11"/>
      <c r="K398" s="11"/>
      <c r="L398" s="11"/>
      <c r="M398" s="11"/>
      <c r="N398" s="11"/>
      <c r="O398" s="11"/>
      <c r="P398" s="11"/>
      <c r="Q398" s="11"/>
      <c r="R398" s="11"/>
      <c r="S398" s="11"/>
      <c r="T398" s="11"/>
      <c r="U398" s="11"/>
      <c r="V398" s="11"/>
    </row>
    <row r="399" spans="1:22">
      <c r="A399" s="11"/>
      <c r="B399" s="11"/>
      <c r="C399" s="11"/>
      <c r="D399" s="11"/>
      <c r="E399" s="11"/>
      <c r="F399" s="11"/>
      <c r="G399" s="11"/>
      <c r="H399" s="11"/>
      <c r="I399" s="11"/>
      <c r="J399" s="11"/>
      <c r="K399" s="11"/>
      <c r="L399" s="11"/>
      <c r="M399" s="11"/>
      <c r="N399" s="11"/>
      <c r="O399" s="11"/>
      <c r="P399" s="11"/>
      <c r="Q399" s="11"/>
      <c r="R399" s="11"/>
      <c r="S399" s="11"/>
      <c r="T399" s="11"/>
      <c r="U399" s="11"/>
      <c r="V399" s="11"/>
    </row>
    <row r="400" spans="1:22">
      <c r="A400" s="11"/>
      <c r="B400" s="11"/>
      <c r="C400" s="11"/>
      <c r="D400" s="11"/>
      <c r="E400" s="11"/>
      <c r="F400" s="11"/>
      <c r="G400" s="11"/>
      <c r="H400" s="11"/>
      <c r="I400" s="11"/>
      <c r="J400" s="11"/>
      <c r="K400" s="11"/>
      <c r="L400" s="11"/>
      <c r="M400" s="11"/>
      <c r="N400" s="11"/>
      <c r="O400" s="11"/>
      <c r="P400" s="11"/>
      <c r="Q400" s="11"/>
      <c r="R400" s="11"/>
      <c r="S400" s="11"/>
      <c r="T400" s="11"/>
      <c r="U400" s="11"/>
      <c r="V400" s="11"/>
    </row>
    <row r="401" spans="1:22">
      <c r="A401" s="11"/>
      <c r="B401" s="11"/>
      <c r="C401" s="11"/>
      <c r="D401" s="11"/>
      <c r="E401" s="11"/>
      <c r="F401" s="11"/>
      <c r="G401" s="11"/>
      <c r="H401" s="11"/>
      <c r="I401" s="11"/>
      <c r="J401" s="11"/>
      <c r="K401" s="11"/>
      <c r="L401" s="11"/>
      <c r="M401" s="11"/>
      <c r="N401" s="11"/>
      <c r="O401" s="11"/>
      <c r="P401" s="11"/>
      <c r="Q401" s="11"/>
      <c r="R401" s="11"/>
      <c r="S401" s="11"/>
      <c r="T401" s="11"/>
      <c r="U401" s="11"/>
      <c r="V401" s="11"/>
    </row>
    <row r="402" spans="1:22">
      <c r="A402" s="11"/>
      <c r="B402" s="11"/>
      <c r="C402" s="11"/>
      <c r="D402" s="11"/>
      <c r="E402" s="11"/>
      <c r="F402" s="11"/>
      <c r="G402" s="11"/>
      <c r="H402" s="11"/>
      <c r="I402" s="11"/>
      <c r="J402" s="11"/>
      <c r="K402" s="11"/>
      <c r="L402" s="11"/>
      <c r="M402" s="11"/>
      <c r="N402" s="11"/>
      <c r="O402" s="11"/>
      <c r="P402" s="11"/>
      <c r="Q402" s="11"/>
      <c r="R402" s="11"/>
      <c r="S402" s="11"/>
      <c r="T402" s="11"/>
      <c r="U402" s="11"/>
      <c r="V402" s="11"/>
    </row>
    <row r="403" spans="1:22">
      <c r="A403" s="11"/>
      <c r="B403" s="11"/>
      <c r="C403" s="11"/>
      <c r="D403" s="11"/>
      <c r="E403" s="11"/>
      <c r="F403" s="11"/>
      <c r="G403" s="11"/>
      <c r="H403" s="11"/>
      <c r="I403" s="11"/>
      <c r="J403" s="11"/>
      <c r="K403" s="11"/>
      <c r="L403" s="11"/>
      <c r="M403" s="11"/>
      <c r="N403" s="11"/>
      <c r="O403" s="11"/>
      <c r="P403" s="11"/>
      <c r="Q403" s="11"/>
      <c r="R403" s="11"/>
      <c r="S403" s="11"/>
      <c r="T403" s="11"/>
      <c r="U403" s="11"/>
      <c r="V403" s="11"/>
    </row>
    <row r="404" spans="1:22">
      <c r="A404" s="11"/>
      <c r="B404" s="11"/>
      <c r="C404" s="11"/>
      <c r="D404" s="11"/>
      <c r="E404" s="11"/>
      <c r="F404" s="11"/>
      <c r="G404" s="11"/>
      <c r="H404" s="11"/>
      <c r="I404" s="11"/>
      <c r="J404" s="11"/>
      <c r="K404" s="11"/>
      <c r="L404" s="11"/>
      <c r="M404" s="11"/>
      <c r="N404" s="11"/>
      <c r="O404" s="11"/>
      <c r="P404" s="11"/>
      <c r="Q404" s="11"/>
      <c r="R404" s="11"/>
      <c r="S404" s="11"/>
      <c r="T404" s="11"/>
      <c r="U404" s="11"/>
      <c r="V404" s="11"/>
    </row>
    <row r="405" spans="1:22">
      <c r="A405" s="11"/>
      <c r="B405" s="11"/>
      <c r="C405" s="11"/>
      <c r="D405" s="11"/>
      <c r="E405" s="11"/>
      <c r="F405" s="11"/>
      <c r="G405" s="11"/>
      <c r="H405" s="11"/>
      <c r="I405" s="11"/>
      <c r="J405" s="11"/>
      <c r="K405" s="11"/>
      <c r="L405" s="11"/>
      <c r="M405" s="11"/>
      <c r="N405" s="11"/>
      <c r="O405" s="11"/>
      <c r="P405" s="11"/>
      <c r="Q405" s="11"/>
      <c r="R405" s="11"/>
      <c r="S405" s="11"/>
      <c r="T405" s="11"/>
      <c r="U405" s="11"/>
      <c r="V405" s="11"/>
    </row>
    <row r="406" spans="1:22">
      <c r="A406" s="11"/>
      <c r="B406" s="11"/>
      <c r="C406" s="11"/>
      <c r="D406" s="11"/>
      <c r="E406" s="11"/>
      <c r="F406" s="11"/>
      <c r="G406" s="11"/>
      <c r="H406" s="11"/>
      <c r="I406" s="11"/>
      <c r="J406" s="11"/>
      <c r="K406" s="11"/>
      <c r="L406" s="11"/>
      <c r="M406" s="11"/>
      <c r="N406" s="11"/>
      <c r="O406" s="11"/>
      <c r="P406" s="11"/>
      <c r="Q406" s="11"/>
      <c r="R406" s="11"/>
      <c r="S406" s="11"/>
      <c r="T406" s="11"/>
      <c r="U406" s="11"/>
      <c r="V406" s="11"/>
    </row>
    <row r="407" spans="1:22">
      <c r="A407" s="11"/>
      <c r="B407" s="11"/>
      <c r="C407" s="11"/>
      <c r="D407" s="11"/>
      <c r="E407" s="11"/>
      <c r="F407" s="11"/>
      <c r="G407" s="11"/>
      <c r="H407" s="11"/>
      <c r="I407" s="11"/>
      <c r="J407" s="11"/>
      <c r="K407" s="11"/>
      <c r="L407" s="11"/>
      <c r="M407" s="11"/>
      <c r="N407" s="11"/>
      <c r="O407" s="11"/>
      <c r="P407" s="11"/>
      <c r="Q407" s="11"/>
      <c r="R407" s="11"/>
      <c r="S407" s="11"/>
      <c r="T407" s="11"/>
      <c r="U407" s="11"/>
      <c r="V407" s="11"/>
    </row>
    <row r="408" spans="1:22">
      <c r="A408" s="11"/>
      <c r="B408" s="11"/>
      <c r="C408" s="11"/>
      <c r="D408" s="11"/>
      <c r="E408" s="11"/>
      <c r="F408" s="11"/>
      <c r="G408" s="11"/>
      <c r="H408" s="11"/>
      <c r="I408" s="11"/>
      <c r="J408" s="11"/>
      <c r="K408" s="11"/>
      <c r="L408" s="11"/>
      <c r="M408" s="11"/>
      <c r="N408" s="11"/>
      <c r="O408" s="11"/>
      <c r="P408" s="11"/>
      <c r="Q408" s="11"/>
      <c r="R408" s="11"/>
      <c r="S408" s="11"/>
      <c r="T408" s="11"/>
      <c r="U408" s="11"/>
      <c r="V408" s="11"/>
    </row>
    <row r="409" spans="1:22">
      <c r="A409" s="11"/>
      <c r="B409" s="11"/>
      <c r="C409" s="11"/>
      <c r="D409" s="11"/>
      <c r="E409" s="11"/>
      <c r="F409" s="11"/>
      <c r="G409" s="11"/>
      <c r="H409" s="11"/>
      <c r="I409" s="11"/>
      <c r="J409" s="11"/>
      <c r="K409" s="11"/>
      <c r="L409" s="11"/>
      <c r="M409" s="11"/>
      <c r="N409" s="11"/>
      <c r="O409" s="11"/>
      <c r="P409" s="11"/>
      <c r="Q409" s="11"/>
      <c r="R409" s="11"/>
      <c r="S409" s="11"/>
      <c r="T409" s="11"/>
      <c r="U409" s="11"/>
      <c r="V409" s="11"/>
    </row>
    <row r="410" spans="1:22">
      <c r="A410" s="11"/>
      <c r="B410" s="11"/>
      <c r="C410" s="11"/>
      <c r="D410" s="11"/>
      <c r="E410" s="11"/>
      <c r="F410" s="11"/>
      <c r="G410" s="11"/>
      <c r="H410" s="11"/>
      <c r="I410" s="11"/>
      <c r="J410" s="11"/>
      <c r="K410" s="11"/>
      <c r="L410" s="11"/>
      <c r="M410" s="11"/>
      <c r="N410" s="11"/>
      <c r="O410" s="11"/>
      <c r="P410" s="11"/>
      <c r="Q410" s="11"/>
      <c r="R410" s="11"/>
      <c r="S410" s="11"/>
      <c r="T410" s="11"/>
      <c r="U410" s="11"/>
      <c r="V410" s="11"/>
    </row>
    <row r="411" spans="1:22">
      <c r="A411" s="11"/>
      <c r="B411" s="11"/>
      <c r="C411" s="11"/>
      <c r="D411" s="11"/>
      <c r="E411" s="11"/>
      <c r="F411" s="11"/>
      <c r="G411" s="11"/>
      <c r="H411" s="11"/>
      <c r="I411" s="11"/>
      <c r="J411" s="11"/>
      <c r="K411" s="11"/>
      <c r="L411" s="11"/>
      <c r="M411" s="11"/>
      <c r="N411" s="11"/>
      <c r="O411" s="11"/>
      <c r="P411" s="11"/>
      <c r="Q411" s="11"/>
      <c r="R411" s="11"/>
      <c r="S411" s="11"/>
      <c r="T411" s="11"/>
      <c r="U411" s="11"/>
      <c r="V411" s="11"/>
    </row>
    <row r="412" spans="1:22">
      <c r="A412" s="11"/>
      <c r="B412" s="11"/>
      <c r="C412" s="11"/>
      <c r="D412" s="11"/>
      <c r="E412" s="11"/>
      <c r="F412" s="11"/>
      <c r="G412" s="11"/>
      <c r="H412" s="11"/>
      <c r="I412" s="11"/>
      <c r="J412" s="11"/>
      <c r="K412" s="11"/>
      <c r="L412" s="11"/>
      <c r="M412" s="11"/>
      <c r="N412" s="11"/>
      <c r="O412" s="11"/>
      <c r="P412" s="11"/>
      <c r="Q412" s="11"/>
      <c r="R412" s="11"/>
      <c r="S412" s="11"/>
      <c r="T412" s="11"/>
      <c r="U412" s="11"/>
      <c r="V412" s="11"/>
    </row>
    <row r="413" spans="1:22">
      <c r="A413" s="11"/>
      <c r="B413" s="11"/>
      <c r="C413" s="11"/>
      <c r="D413" s="11"/>
      <c r="E413" s="11"/>
      <c r="F413" s="11"/>
      <c r="G413" s="11"/>
      <c r="H413" s="11"/>
      <c r="I413" s="11"/>
      <c r="J413" s="11"/>
      <c r="K413" s="11"/>
      <c r="L413" s="11"/>
      <c r="M413" s="11"/>
      <c r="N413" s="11"/>
      <c r="O413" s="11"/>
      <c r="P413" s="11"/>
      <c r="Q413" s="11"/>
      <c r="R413" s="11"/>
      <c r="S413" s="11"/>
      <c r="T413" s="11"/>
      <c r="U413" s="11"/>
      <c r="V413" s="11"/>
    </row>
    <row r="414" spans="1:22">
      <c r="A414" s="11"/>
      <c r="B414" s="11"/>
      <c r="C414" s="11"/>
      <c r="D414" s="11"/>
      <c r="E414" s="11"/>
      <c r="F414" s="11"/>
      <c r="G414" s="11"/>
      <c r="H414" s="11"/>
      <c r="I414" s="11"/>
      <c r="J414" s="11"/>
      <c r="K414" s="11"/>
      <c r="L414" s="11"/>
      <c r="M414" s="11"/>
      <c r="N414" s="11"/>
      <c r="O414" s="11"/>
      <c r="P414" s="11"/>
      <c r="Q414" s="11"/>
      <c r="R414" s="11"/>
      <c r="S414" s="11"/>
      <c r="T414" s="11"/>
      <c r="U414" s="11"/>
      <c r="V414" s="11"/>
    </row>
    <row r="415" spans="1:22">
      <c r="A415" s="11"/>
      <c r="B415" s="11"/>
      <c r="C415" s="11"/>
      <c r="D415" s="11"/>
      <c r="E415" s="11"/>
      <c r="F415" s="11"/>
      <c r="G415" s="11"/>
      <c r="H415" s="11"/>
      <c r="I415" s="11"/>
      <c r="J415" s="11"/>
      <c r="K415" s="11"/>
      <c r="L415" s="11"/>
      <c r="M415" s="11"/>
      <c r="N415" s="11"/>
      <c r="O415" s="11"/>
      <c r="P415" s="11"/>
      <c r="Q415" s="11"/>
      <c r="R415" s="11"/>
      <c r="S415" s="11"/>
      <c r="T415" s="11"/>
      <c r="U415" s="11"/>
      <c r="V415" s="11"/>
    </row>
    <row r="416" spans="1:22">
      <c r="A416" s="11"/>
      <c r="B416" s="11"/>
      <c r="C416" s="11"/>
      <c r="D416" s="11"/>
      <c r="E416" s="11"/>
      <c r="F416" s="11"/>
      <c r="G416" s="11"/>
      <c r="H416" s="11"/>
      <c r="I416" s="11"/>
      <c r="J416" s="11"/>
      <c r="K416" s="11"/>
      <c r="L416" s="11"/>
      <c r="M416" s="11"/>
      <c r="N416" s="11"/>
      <c r="O416" s="11"/>
      <c r="P416" s="11"/>
      <c r="Q416" s="11"/>
      <c r="R416" s="11"/>
      <c r="S416" s="11"/>
      <c r="T416" s="11"/>
      <c r="U416" s="11"/>
      <c r="V416" s="11"/>
    </row>
    <row r="417" spans="1:22">
      <c r="A417" s="11"/>
      <c r="B417" s="11"/>
      <c r="C417" s="11"/>
      <c r="D417" s="11"/>
      <c r="E417" s="11"/>
      <c r="F417" s="11"/>
      <c r="G417" s="11"/>
      <c r="H417" s="11"/>
      <c r="I417" s="11"/>
      <c r="J417" s="11"/>
      <c r="K417" s="11"/>
      <c r="L417" s="11"/>
      <c r="M417" s="11"/>
      <c r="N417" s="11"/>
      <c r="O417" s="11"/>
      <c r="P417" s="11"/>
      <c r="Q417" s="11"/>
      <c r="R417" s="11"/>
      <c r="S417" s="11"/>
      <c r="T417" s="11"/>
      <c r="U417" s="11"/>
      <c r="V417" s="11"/>
    </row>
    <row r="418" spans="1:22">
      <c r="A418" s="11"/>
      <c r="B418" s="11"/>
      <c r="C418" s="11"/>
      <c r="D418" s="11"/>
      <c r="E418" s="11"/>
      <c r="F418" s="11"/>
      <c r="G418" s="11"/>
      <c r="H418" s="11"/>
      <c r="I418" s="11"/>
      <c r="J418" s="11"/>
      <c r="K418" s="11"/>
      <c r="L418" s="11"/>
      <c r="M418" s="11"/>
      <c r="N418" s="11"/>
      <c r="O418" s="11"/>
      <c r="P418" s="11"/>
      <c r="Q418" s="11"/>
      <c r="R418" s="11"/>
      <c r="S418" s="11"/>
      <c r="T418" s="11"/>
      <c r="U418" s="11"/>
      <c r="V418" s="11"/>
    </row>
    <row r="419" spans="1:22">
      <c r="A419" s="11"/>
      <c r="B419" s="11"/>
      <c r="C419" s="11"/>
      <c r="D419" s="11"/>
      <c r="E419" s="11"/>
      <c r="F419" s="11"/>
      <c r="G419" s="11"/>
      <c r="H419" s="11"/>
      <c r="I419" s="11"/>
      <c r="J419" s="11"/>
      <c r="K419" s="11"/>
      <c r="L419" s="11"/>
      <c r="M419" s="11"/>
      <c r="N419" s="11"/>
      <c r="O419" s="11"/>
      <c r="P419" s="11"/>
      <c r="Q419" s="11"/>
      <c r="R419" s="11"/>
      <c r="S419" s="11"/>
      <c r="T419" s="11"/>
      <c r="U419" s="11"/>
      <c r="V419" s="11"/>
    </row>
    <row r="420" spans="1:22">
      <c r="A420" s="11"/>
      <c r="B420" s="11"/>
      <c r="C420" s="11"/>
      <c r="D420" s="11"/>
      <c r="E420" s="11"/>
      <c r="F420" s="11"/>
      <c r="G420" s="11"/>
      <c r="H420" s="11"/>
      <c r="I420" s="11"/>
      <c r="J420" s="11"/>
      <c r="K420" s="11"/>
      <c r="L420" s="11"/>
      <c r="M420" s="11"/>
      <c r="N420" s="11"/>
      <c r="O420" s="11"/>
      <c r="P420" s="11"/>
      <c r="Q420" s="11"/>
      <c r="R420" s="11"/>
      <c r="S420" s="11"/>
      <c r="T420" s="11"/>
      <c r="U420" s="11"/>
      <c r="V420" s="11"/>
    </row>
    <row r="421" spans="1:22">
      <c r="A421" s="11"/>
      <c r="B421" s="11"/>
      <c r="C421" s="11"/>
      <c r="D421" s="11"/>
      <c r="E421" s="11"/>
      <c r="F421" s="11"/>
      <c r="G421" s="11"/>
      <c r="H421" s="11"/>
      <c r="I421" s="11"/>
      <c r="J421" s="11"/>
      <c r="K421" s="11"/>
      <c r="L421" s="11"/>
      <c r="M421" s="11"/>
      <c r="N421" s="11"/>
      <c r="O421" s="11"/>
      <c r="P421" s="11"/>
      <c r="Q421" s="11"/>
      <c r="R421" s="11"/>
      <c r="S421" s="11"/>
      <c r="T421" s="11"/>
      <c r="U421" s="11"/>
      <c r="V421" s="11"/>
    </row>
    <row r="422" spans="1:22">
      <c r="A422" s="11"/>
      <c r="B422" s="11"/>
      <c r="C422" s="11"/>
      <c r="D422" s="11"/>
      <c r="E422" s="11"/>
      <c r="F422" s="11"/>
      <c r="G422" s="11"/>
      <c r="H422" s="11"/>
      <c r="I422" s="11"/>
      <c r="J422" s="11"/>
      <c r="K422" s="11"/>
      <c r="L422" s="11"/>
      <c r="M422" s="11"/>
      <c r="N422" s="11"/>
      <c r="O422" s="11"/>
      <c r="P422" s="11"/>
      <c r="Q422" s="11"/>
      <c r="R422" s="11"/>
      <c r="S422" s="11"/>
      <c r="T422" s="11"/>
      <c r="U422" s="11"/>
      <c r="V422" s="11"/>
    </row>
    <row r="423" spans="1:22">
      <c r="A423" s="11"/>
      <c r="B423" s="11"/>
      <c r="C423" s="11"/>
      <c r="D423" s="11"/>
      <c r="E423" s="11"/>
      <c r="F423" s="11"/>
      <c r="G423" s="11"/>
      <c r="H423" s="11"/>
      <c r="I423" s="11"/>
      <c r="J423" s="11"/>
      <c r="K423" s="11"/>
      <c r="L423" s="11"/>
      <c r="M423" s="11"/>
      <c r="N423" s="11"/>
      <c r="O423" s="11"/>
      <c r="P423" s="11"/>
      <c r="Q423" s="11"/>
      <c r="R423" s="11"/>
      <c r="S423" s="11"/>
      <c r="T423" s="11"/>
      <c r="U423" s="11"/>
      <c r="V423" s="11"/>
    </row>
    <row r="424" spans="1:22">
      <c r="A424" s="11"/>
      <c r="B424" s="11"/>
      <c r="C424" s="11"/>
      <c r="D424" s="11"/>
      <c r="E424" s="11"/>
      <c r="F424" s="11"/>
      <c r="G424" s="11"/>
      <c r="H424" s="11"/>
      <c r="I424" s="11"/>
      <c r="J424" s="11"/>
      <c r="K424" s="11"/>
      <c r="L424" s="11"/>
      <c r="M424" s="11"/>
      <c r="N424" s="11"/>
      <c r="O424" s="11"/>
      <c r="P424" s="11"/>
      <c r="Q424" s="11"/>
      <c r="R424" s="11"/>
      <c r="S424" s="11"/>
      <c r="T424" s="11"/>
      <c r="U424" s="11"/>
      <c r="V424" s="11"/>
    </row>
    <row r="425" spans="1:22">
      <c r="A425" s="11"/>
      <c r="B425" s="11"/>
      <c r="C425" s="11"/>
      <c r="D425" s="11"/>
      <c r="E425" s="11"/>
      <c r="F425" s="11"/>
      <c r="G425" s="11"/>
      <c r="H425" s="11"/>
      <c r="I425" s="11"/>
      <c r="J425" s="11"/>
      <c r="K425" s="11"/>
      <c r="L425" s="11"/>
      <c r="M425" s="11"/>
      <c r="N425" s="11"/>
      <c r="O425" s="11"/>
      <c r="P425" s="11"/>
      <c r="Q425" s="11"/>
      <c r="R425" s="11"/>
      <c r="S425" s="11"/>
      <c r="T425" s="11"/>
      <c r="U425" s="11"/>
      <c r="V425" s="11"/>
    </row>
    <row r="426" spans="1:22">
      <c r="A426" s="11"/>
      <c r="B426" s="11"/>
      <c r="C426" s="11"/>
      <c r="D426" s="11"/>
      <c r="E426" s="11"/>
      <c r="F426" s="11"/>
      <c r="G426" s="11"/>
      <c r="H426" s="11"/>
      <c r="I426" s="11"/>
      <c r="J426" s="11"/>
      <c r="K426" s="11"/>
      <c r="L426" s="11"/>
      <c r="M426" s="11"/>
      <c r="N426" s="11"/>
      <c r="O426" s="11"/>
      <c r="P426" s="11"/>
      <c r="Q426" s="11"/>
      <c r="R426" s="11"/>
      <c r="S426" s="11"/>
      <c r="T426" s="11"/>
      <c r="U426" s="11"/>
      <c r="V426" s="11"/>
    </row>
    <row r="427" spans="1:22">
      <c r="A427" s="11"/>
      <c r="B427" s="11"/>
      <c r="C427" s="11"/>
      <c r="D427" s="11"/>
      <c r="E427" s="11"/>
      <c r="F427" s="11"/>
      <c r="G427" s="11"/>
      <c r="H427" s="11"/>
      <c r="I427" s="11"/>
      <c r="J427" s="11"/>
      <c r="K427" s="11"/>
      <c r="L427" s="11"/>
      <c r="M427" s="11"/>
      <c r="N427" s="11"/>
      <c r="O427" s="11"/>
      <c r="P427" s="11"/>
      <c r="Q427" s="11"/>
      <c r="R427" s="11"/>
      <c r="S427" s="11"/>
      <c r="T427" s="11"/>
      <c r="U427" s="11"/>
      <c r="V427" s="11"/>
    </row>
    <row r="428" spans="1:22">
      <c r="A428" s="11"/>
      <c r="B428" s="11"/>
      <c r="C428" s="11"/>
      <c r="D428" s="11"/>
      <c r="E428" s="11"/>
      <c r="F428" s="11"/>
      <c r="G428" s="11"/>
      <c r="H428" s="11"/>
      <c r="I428" s="11"/>
      <c r="J428" s="11"/>
      <c r="K428" s="11"/>
      <c r="L428" s="11"/>
      <c r="M428" s="11"/>
      <c r="N428" s="11"/>
      <c r="O428" s="11"/>
      <c r="P428" s="11"/>
      <c r="Q428" s="11"/>
      <c r="R428" s="11"/>
      <c r="S428" s="11"/>
      <c r="T428" s="11"/>
      <c r="U428" s="11"/>
      <c r="V428" s="11"/>
    </row>
    <row r="429" spans="1:22">
      <c r="A429" s="11"/>
      <c r="B429" s="11"/>
      <c r="C429" s="11"/>
      <c r="D429" s="11"/>
      <c r="E429" s="11"/>
      <c r="F429" s="11"/>
      <c r="G429" s="11"/>
      <c r="H429" s="11"/>
      <c r="I429" s="11"/>
      <c r="J429" s="11"/>
      <c r="K429" s="11"/>
      <c r="L429" s="11"/>
      <c r="M429" s="11"/>
      <c r="N429" s="11"/>
      <c r="O429" s="11"/>
      <c r="P429" s="11"/>
      <c r="Q429" s="11"/>
      <c r="R429" s="11"/>
      <c r="S429" s="11"/>
      <c r="T429" s="11"/>
      <c r="U429" s="11"/>
      <c r="V429" s="11"/>
    </row>
    <row r="430" spans="1:22">
      <c r="A430" s="11"/>
      <c r="B430" s="11"/>
      <c r="C430" s="11"/>
      <c r="D430" s="11"/>
      <c r="E430" s="11"/>
      <c r="F430" s="11"/>
      <c r="G430" s="11"/>
      <c r="H430" s="11"/>
      <c r="I430" s="11"/>
      <c r="J430" s="11"/>
      <c r="K430" s="11"/>
      <c r="L430" s="11"/>
      <c r="M430" s="11"/>
      <c r="N430" s="11"/>
      <c r="O430" s="11"/>
      <c r="P430" s="11"/>
      <c r="Q430" s="11"/>
      <c r="R430" s="11"/>
      <c r="S430" s="11"/>
      <c r="T430" s="11"/>
      <c r="U430" s="11"/>
      <c r="V430" s="11"/>
    </row>
    <row r="431" spans="1:22">
      <c r="A431" s="11"/>
      <c r="B431" s="11"/>
      <c r="C431" s="11"/>
      <c r="D431" s="11"/>
      <c r="E431" s="11"/>
      <c r="F431" s="11"/>
      <c r="G431" s="11"/>
      <c r="H431" s="11"/>
      <c r="I431" s="11"/>
      <c r="J431" s="11"/>
      <c r="K431" s="11"/>
      <c r="L431" s="11"/>
      <c r="M431" s="11"/>
      <c r="N431" s="11"/>
      <c r="O431" s="11"/>
      <c r="P431" s="11"/>
      <c r="Q431" s="11"/>
      <c r="R431" s="11"/>
      <c r="S431" s="11"/>
      <c r="T431" s="11"/>
      <c r="U431" s="11"/>
      <c r="V431" s="11"/>
    </row>
    <row r="432" spans="1:22">
      <c r="A432" s="11"/>
      <c r="B432" s="11"/>
      <c r="C432" s="11"/>
      <c r="D432" s="11"/>
      <c r="E432" s="11"/>
      <c r="F432" s="11"/>
      <c r="G432" s="11"/>
      <c r="H432" s="11"/>
      <c r="I432" s="11"/>
      <c r="J432" s="11"/>
      <c r="K432" s="11"/>
      <c r="L432" s="11"/>
      <c r="M432" s="11"/>
      <c r="N432" s="11"/>
      <c r="O432" s="11"/>
      <c r="P432" s="11"/>
      <c r="Q432" s="11"/>
      <c r="R432" s="11"/>
      <c r="S432" s="11"/>
      <c r="T432" s="11"/>
      <c r="U432" s="11"/>
      <c r="V432" s="11"/>
    </row>
    <row r="433" spans="1:22">
      <c r="A433" s="11"/>
      <c r="B433" s="11"/>
      <c r="C433" s="11"/>
      <c r="D433" s="11"/>
      <c r="E433" s="11"/>
      <c r="F433" s="11"/>
      <c r="G433" s="11"/>
      <c r="H433" s="11"/>
      <c r="I433" s="11"/>
      <c r="J433" s="11"/>
      <c r="K433" s="11"/>
      <c r="L433" s="11"/>
      <c r="M433" s="11"/>
      <c r="N433" s="11"/>
      <c r="O433" s="11"/>
      <c r="P433" s="11"/>
      <c r="Q433" s="11"/>
      <c r="R433" s="11"/>
      <c r="S433" s="11"/>
      <c r="T433" s="11"/>
      <c r="U433" s="11"/>
      <c r="V433" s="11"/>
    </row>
    <row r="434" spans="1:22">
      <c r="A434" s="11"/>
      <c r="B434" s="11"/>
      <c r="C434" s="11"/>
      <c r="D434" s="11"/>
      <c r="E434" s="11"/>
      <c r="F434" s="11"/>
      <c r="G434" s="11"/>
      <c r="H434" s="11"/>
      <c r="I434" s="11"/>
      <c r="J434" s="11"/>
      <c r="K434" s="11"/>
      <c r="L434" s="11"/>
      <c r="M434" s="11"/>
      <c r="N434" s="11"/>
      <c r="O434" s="11"/>
      <c r="P434" s="11"/>
      <c r="Q434" s="11"/>
      <c r="R434" s="11"/>
      <c r="S434" s="11"/>
      <c r="T434" s="11"/>
      <c r="U434" s="11"/>
      <c r="V434" s="11"/>
    </row>
    <row r="435" spans="1:22">
      <c r="A435" s="11"/>
      <c r="B435" s="11"/>
      <c r="C435" s="11"/>
      <c r="D435" s="11"/>
      <c r="E435" s="11"/>
      <c r="F435" s="11"/>
      <c r="G435" s="11"/>
      <c r="H435" s="11"/>
      <c r="I435" s="11"/>
      <c r="J435" s="11"/>
      <c r="K435" s="11"/>
      <c r="L435" s="11"/>
      <c r="M435" s="11"/>
      <c r="N435" s="11"/>
      <c r="O435" s="11"/>
      <c r="P435" s="11"/>
      <c r="Q435" s="11"/>
      <c r="R435" s="11"/>
      <c r="S435" s="11"/>
      <c r="T435" s="11"/>
      <c r="U435" s="11"/>
      <c r="V435" s="11"/>
    </row>
    <row r="436" spans="1:22">
      <c r="A436" s="11"/>
      <c r="B436" s="11"/>
      <c r="C436" s="11"/>
      <c r="D436" s="11"/>
      <c r="E436" s="11"/>
      <c r="F436" s="11"/>
      <c r="G436" s="11"/>
      <c r="H436" s="11"/>
      <c r="I436" s="11"/>
      <c r="J436" s="11"/>
      <c r="K436" s="11"/>
      <c r="L436" s="11"/>
      <c r="M436" s="11"/>
      <c r="N436" s="11"/>
      <c r="O436" s="11"/>
      <c r="P436" s="11"/>
      <c r="Q436" s="11"/>
      <c r="R436" s="11"/>
      <c r="S436" s="11"/>
      <c r="T436" s="11"/>
      <c r="U436" s="11"/>
      <c r="V436" s="11"/>
    </row>
    <row r="437" spans="1:22">
      <c r="A437" s="11"/>
      <c r="B437" s="11"/>
      <c r="C437" s="11"/>
      <c r="D437" s="11"/>
      <c r="E437" s="11"/>
      <c r="F437" s="11"/>
      <c r="G437" s="11"/>
      <c r="H437" s="11"/>
      <c r="I437" s="11"/>
      <c r="J437" s="11"/>
      <c r="K437" s="11"/>
      <c r="L437" s="11"/>
      <c r="M437" s="11"/>
      <c r="N437" s="11"/>
      <c r="O437" s="11"/>
      <c r="P437" s="11"/>
      <c r="Q437" s="11"/>
      <c r="R437" s="11"/>
      <c r="S437" s="11"/>
      <c r="T437" s="11"/>
      <c r="U437" s="11"/>
      <c r="V437" s="11"/>
    </row>
    <row r="438" spans="1:22">
      <c r="A438" s="11"/>
      <c r="B438" s="11"/>
      <c r="C438" s="11"/>
      <c r="D438" s="11"/>
      <c r="E438" s="11"/>
      <c r="F438" s="11"/>
      <c r="G438" s="11"/>
      <c r="H438" s="11"/>
      <c r="I438" s="11"/>
      <c r="J438" s="11"/>
      <c r="K438" s="11"/>
      <c r="L438" s="11"/>
      <c r="M438" s="11"/>
      <c r="N438" s="11"/>
      <c r="O438" s="11"/>
      <c r="P438" s="11"/>
      <c r="Q438" s="11"/>
      <c r="R438" s="11"/>
      <c r="S438" s="11"/>
      <c r="T438" s="11"/>
      <c r="U438" s="11"/>
      <c r="V438" s="11"/>
    </row>
    <row r="439" spans="1:22">
      <c r="A439" s="11"/>
      <c r="B439" s="11"/>
      <c r="C439" s="11"/>
      <c r="D439" s="11"/>
      <c r="E439" s="11"/>
      <c r="F439" s="11"/>
      <c r="G439" s="11"/>
      <c r="H439" s="11"/>
      <c r="I439" s="11"/>
      <c r="J439" s="11"/>
      <c r="K439" s="11"/>
      <c r="L439" s="11"/>
      <c r="M439" s="11"/>
      <c r="N439" s="11"/>
      <c r="O439" s="11"/>
      <c r="P439" s="11"/>
      <c r="Q439" s="11"/>
      <c r="R439" s="11"/>
      <c r="S439" s="11"/>
      <c r="T439" s="11"/>
      <c r="U439" s="11"/>
      <c r="V439" s="11"/>
    </row>
    <row r="440" spans="1:22">
      <c r="A440" s="11"/>
      <c r="B440" s="11"/>
      <c r="C440" s="11"/>
      <c r="D440" s="11"/>
      <c r="E440" s="11"/>
      <c r="F440" s="11"/>
      <c r="G440" s="11"/>
      <c r="H440" s="11"/>
      <c r="I440" s="11"/>
      <c r="J440" s="11"/>
      <c r="K440" s="11"/>
      <c r="L440" s="11"/>
      <c r="M440" s="11"/>
      <c r="N440" s="11"/>
      <c r="O440" s="11"/>
      <c r="P440" s="11"/>
      <c r="Q440" s="11"/>
      <c r="R440" s="11"/>
      <c r="S440" s="11"/>
      <c r="T440" s="11"/>
      <c r="U440" s="11"/>
      <c r="V440" s="11"/>
    </row>
    <row r="441" spans="1:22">
      <c r="A441" s="11"/>
      <c r="B441" s="11"/>
      <c r="C441" s="11"/>
      <c r="D441" s="11"/>
      <c r="E441" s="11"/>
      <c r="F441" s="11"/>
      <c r="G441" s="11"/>
      <c r="H441" s="11"/>
      <c r="I441" s="11"/>
      <c r="J441" s="11"/>
      <c r="K441" s="11"/>
      <c r="L441" s="11"/>
      <c r="M441" s="11"/>
      <c r="N441" s="11"/>
      <c r="O441" s="11"/>
      <c r="P441" s="11"/>
      <c r="Q441" s="11"/>
      <c r="R441" s="11"/>
      <c r="S441" s="11"/>
      <c r="T441" s="11"/>
      <c r="U441" s="11"/>
      <c r="V441" s="11"/>
    </row>
    <row r="442" spans="1:22">
      <c r="A442" s="11"/>
      <c r="B442" s="11"/>
      <c r="C442" s="11"/>
      <c r="D442" s="11"/>
      <c r="E442" s="11"/>
      <c r="F442" s="11"/>
      <c r="G442" s="11"/>
      <c r="H442" s="11"/>
      <c r="I442" s="11"/>
      <c r="J442" s="11"/>
      <c r="K442" s="11"/>
      <c r="L442" s="11"/>
      <c r="M442" s="11"/>
      <c r="N442" s="11"/>
      <c r="O442" s="11"/>
      <c r="P442" s="11"/>
      <c r="Q442" s="11"/>
      <c r="R442" s="11"/>
      <c r="S442" s="11"/>
      <c r="T442" s="11"/>
      <c r="U442" s="11"/>
      <c r="V442" s="11"/>
    </row>
    <row r="443" spans="1:22">
      <c r="A443" s="11"/>
      <c r="B443" s="11"/>
      <c r="C443" s="11"/>
      <c r="D443" s="11"/>
      <c r="E443" s="11"/>
      <c r="F443" s="11"/>
      <c r="G443" s="11"/>
      <c r="H443" s="11"/>
      <c r="I443" s="11"/>
      <c r="J443" s="11"/>
      <c r="K443" s="11"/>
      <c r="L443" s="11"/>
      <c r="M443" s="11"/>
      <c r="N443" s="11"/>
      <c r="O443" s="11"/>
      <c r="P443" s="11"/>
      <c r="Q443" s="11"/>
      <c r="R443" s="11"/>
      <c r="S443" s="11"/>
      <c r="T443" s="11"/>
      <c r="U443" s="11"/>
      <c r="V443" s="11"/>
    </row>
    <row r="444" spans="1:22">
      <c r="A444" s="11"/>
      <c r="B444" s="11"/>
      <c r="C444" s="11"/>
      <c r="D444" s="11"/>
      <c r="E444" s="11"/>
      <c r="F444" s="11"/>
      <c r="G444" s="11"/>
      <c r="H444" s="11"/>
      <c r="I444" s="11"/>
      <c r="J444" s="11"/>
      <c r="K444" s="11"/>
      <c r="L444" s="11"/>
      <c r="M444" s="11"/>
      <c r="N444" s="11"/>
      <c r="O444" s="11"/>
      <c r="P444" s="11"/>
      <c r="Q444" s="11"/>
      <c r="R444" s="11"/>
      <c r="S444" s="11"/>
      <c r="T444" s="11"/>
      <c r="U444" s="11"/>
      <c r="V444" s="11"/>
    </row>
    <row r="445" spans="1:22">
      <c r="A445" s="11"/>
      <c r="B445" s="11"/>
      <c r="C445" s="11"/>
      <c r="D445" s="11"/>
      <c r="E445" s="11"/>
      <c r="F445" s="11"/>
      <c r="G445" s="11"/>
      <c r="H445" s="11"/>
      <c r="I445" s="11"/>
      <c r="J445" s="11"/>
      <c r="K445" s="11"/>
      <c r="L445" s="11"/>
      <c r="M445" s="11"/>
      <c r="N445" s="11"/>
      <c r="O445" s="11"/>
      <c r="P445" s="11"/>
      <c r="Q445" s="11"/>
      <c r="R445" s="11"/>
      <c r="S445" s="11"/>
      <c r="T445" s="11"/>
      <c r="U445" s="11"/>
      <c r="V445" s="11"/>
    </row>
    <row r="446" spans="1:22">
      <c r="A446" s="11"/>
      <c r="B446" s="11"/>
      <c r="C446" s="11"/>
      <c r="D446" s="11"/>
      <c r="E446" s="11"/>
      <c r="F446" s="11"/>
      <c r="G446" s="11"/>
      <c r="H446" s="11"/>
      <c r="I446" s="11"/>
      <c r="J446" s="11"/>
      <c r="K446" s="11"/>
      <c r="L446" s="11"/>
      <c r="M446" s="11"/>
      <c r="N446" s="11"/>
      <c r="O446" s="11"/>
      <c r="P446" s="11"/>
      <c r="Q446" s="11"/>
      <c r="R446" s="11"/>
      <c r="S446" s="11"/>
      <c r="T446" s="11"/>
      <c r="U446" s="11"/>
      <c r="V446" s="11"/>
    </row>
    <row r="447" spans="1:22">
      <c r="A447" s="11"/>
      <c r="B447" s="11"/>
      <c r="C447" s="11"/>
      <c r="D447" s="11"/>
      <c r="E447" s="11"/>
      <c r="F447" s="11"/>
      <c r="G447" s="11"/>
      <c r="H447" s="11"/>
      <c r="I447" s="11"/>
      <c r="J447" s="11"/>
      <c r="K447" s="11"/>
      <c r="L447" s="11"/>
      <c r="M447" s="11"/>
      <c r="N447" s="11"/>
      <c r="O447" s="11"/>
      <c r="P447" s="11"/>
      <c r="Q447" s="11"/>
      <c r="R447" s="11"/>
      <c r="S447" s="11"/>
      <c r="T447" s="11"/>
      <c r="U447" s="11"/>
      <c r="V447" s="11"/>
    </row>
    <row r="448" spans="1:22">
      <c r="A448" s="11"/>
      <c r="B448" s="11"/>
      <c r="C448" s="11"/>
      <c r="D448" s="11"/>
      <c r="E448" s="11"/>
      <c r="F448" s="11"/>
      <c r="G448" s="11"/>
      <c r="H448" s="11"/>
      <c r="I448" s="11"/>
      <c r="J448" s="11"/>
      <c r="K448" s="11"/>
      <c r="L448" s="11"/>
      <c r="M448" s="11"/>
      <c r="N448" s="11"/>
      <c r="O448" s="11"/>
      <c r="P448" s="11"/>
      <c r="Q448" s="11"/>
      <c r="R448" s="11"/>
      <c r="S448" s="11"/>
      <c r="T448" s="11"/>
      <c r="U448" s="11"/>
      <c r="V448" s="11"/>
    </row>
    <row r="449" spans="1:22">
      <c r="A449" s="11"/>
      <c r="B449" s="11"/>
      <c r="C449" s="11"/>
      <c r="D449" s="11"/>
      <c r="E449" s="11"/>
      <c r="F449" s="11"/>
      <c r="G449" s="11"/>
      <c r="H449" s="11"/>
      <c r="I449" s="11"/>
      <c r="J449" s="11"/>
      <c r="K449" s="11"/>
      <c r="L449" s="11"/>
      <c r="M449" s="11"/>
      <c r="N449" s="11"/>
      <c r="O449" s="11"/>
      <c r="P449" s="11"/>
      <c r="Q449" s="11"/>
      <c r="R449" s="11"/>
      <c r="S449" s="11"/>
      <c r="T449" s="11"/>
      <c r="U449" s="11"/>
      <c r="V449" s="11"/>
    </row>
    <row r="450" spans="1:22">
      <c r="A450" s="11"/>
      <c r="B450" s="11"/>
      <c r="C450" s="11"/>
      <c r="D450" s="11"/>
      <c r="E450" s="11"/>
      <c r="F450" s="11"/>
      <c r="G450" s="11"/>
      <c r="H450" s="11"/>
      <c r="I450" s="11"/>
      <c r="J450" s="11"/>
      <c r="K450" s="11"/>
      <c r="L450" s="11"/>
      <c r="M450" s="11"/>
      <c r="N450" s="11"/>
      <c r="O450" s="11"/>
      <c r="P450" s="11"/>
      <c r="Q450" s="11"/>
      <c r="R450" s="11"/>
      <c r="S450" s="11"/>
      <c r="T450" s="11"/>
      <c r="U450" s="11"/>
      <c r="V450" s="11"/>
    </row>
    <row r="451" spans="1:22">
      <c r="A451" s="11"/>
      <c r="B451" s="11"/>
      <c r="C451" s="11"/>
      <c r="D451" s="11"/>
      <c r="E451" s="11"/>
      <c r="F451" s="11"/>
      <c r="G451" s="11"/>
      <c r="H451" s="11"/>
      <c r="I451" s="11"/>
      <c r="J451" s="11"/>
      <c r="K451" s="11"/>
      <c r="L451" s="11"/>
      <c r="M451" s="11"/>
      <c r="N451" s="11"/>
      <c r="O451" s="11"/>
      <c r="P451" s="11"/>
      <c r="Q451" s="11"/>
      <c r="R451" s="11"/>
      <c r="S451" s="11"/>
      <c r="T451" s="11"/>
      <c r="U451" s="11"/>
      <c r="V451" s="11"/>
    </row>
    <row r="452" spans="1:22">
      <c r="A452" s="11"/>
      <c r="B452" s="11"/>
      <c r="C452" s="11"/>
      <c r="D452" s="11"/>
      <c r="E452" s="11"/>
      <c r="F452" s="11"/>
      <c r="G452" s="11"/>
      <c r="H452" s="11"/>
      <c r="I452" s="11"/>
      <c r="J452" s="11"/>
      <c r="K452" s="11"/>
      <c r="L452" s="11"/>
      <c r="M452" s="11"/>
      <c r="N452" s="11"/>
      <c r="O452" s="11"/>
      <c r="P452" s="11"/>
      <c r="Q452" s="11"/>
      <c r="R452" s="11"/>
      <c r="S452" s="11"/>
      <c r="T452" s="11"/>
      <c r="U452" s="11"/>
      <c r="V452" s="11"/>
    </row>
    <row r="453" spans="1:22">
      <c r="A453" s="11"/>
      <c r="B453" s="11"/>
      <c r="C453" s="11"/>
      <c r="D453" s="11"/>
      <c r="E453" s="11"/>
      <c r="F453" s="11"/>
      <c r="G453" s="11"/>
      <c r="H453" s="11"/>
      <c r="I453" s="11"/>
      <c r="J453" s="11"/>
      <c r="K453" s="11"/>
      <c r="L453" s="11"/>
      <c r="M453" s="11"/>
      <c r="N453" s="11"/>
      <c r="O453" s="11"/>
      <c r="P453" s="11"/>
      <c r="Q453" s="11"/>
      <c r="R453" s="11"/>
      <c r="S453" s="11"/>
      <c r="T453" s="11"/>
      <c r="U453" s="11"/>
      <c r="V453" s="11"/>
    </row>
    <row r="454" spans="1:22">
      <c r="A454" s="11"/>
      <c r="B454" s="11"/>
      <c r="C454" s="11"/>
      <c r="D454" s="11"/>
      <c r="E454" s="11"/>
      <c r="F454" s="11"/>
      <c r="G454" s="11"/>
      <c r="H454" s="11"/>
      <c r="I454" s="11"/>
      <c r="J454" s="11"/>
      <c r="K454" s="11"/>
      <c r="L454" s="11"/>
      <c r="M454" s="11"/>
      <c r="N454" s="11"/>
      <c r="O454" s="11"/>
      <c r="P454" s="11"/>
      <c r="Q454" s="11"/>
      <c r="R454" s="11"/>
      <c r="S454" s="11"/>
      <c r="T454" s="11"/>
      <c r="U454" s="11"/>
      <c r="V454" s="11"/>
    </row>
    <row r="455" spans="1:22">
      <c r="A455" s="11"/>
      <c r="B455" s="11"/>
      <c r="C455" s="11"/>
      <c r="D455" s="11"/>
      <c r="E455" s="11"/>
      <c r="F455" s="11"/>
      <c r="G455" s="11"/>
      <c r="H455" s="11"/>
      <c r="I455" s="11"/>
      <c r="J455" s="11"/>
      <c r="K455" s="11"/>
      <c r="L455" s="11"/>
      <c r="M455" s="11"/>
      <c r="N455" s="11"/>
      <c r="O455" s="11"/>
      <c r="P455" s="11"/>
      <c r="Q455" s="11"/>
      <c r="R455" s="11"/>
      <c r="S455" s="11"/>
      <c r="T455" s="11"/>
      <c r="U455" s="11"/>
      <c r="V455" s="11"/>
    </row>
    <row r="456" spans="1:22">
      <c r="A456" s="11"/>
      <c r="B456" s="11"/>
      <c r="C456" s="11"/>
      <c r="D456" s="11"/>
      <c r="E456" s="11"/>
      <c r="F456" s="11"/>
      <c r="G456" s="11"/>
      <c r="H456" s="11"/>
      <c r="I456" s="11"/>
      <c r="J456" s="11"/>
      <c r="K456" s="11"/>
      <c r="L456" s="11"/>
      <c r="M456" s="11"/>
      <c r="N456" s="11"/>
      <c r="O456" s="11"/>
      <c r="P456" s="11"/>
      <c r="Q456" s="11"/>
      <c r="R456" s="11"/>
      <c r="S456" s="11"/>
      <c r="T456" s="11"/>
      <c r="U456" s="11"/>
      <c r="V456" s="11"/>
    </row>
    <row r="457" spans="1:22">
      <c r="A457" s="11"/>
      <c r="B457" s="11"/>
      <c r="C457" s="11"/>
      <c r="D457" s="11"/>
      <c r="E457" s="11"/>
      <c r="F457" s="11"/>
      <c r="G457" s="11"/>
      <c r="H457" s="11"/>
      <c r="I457" s="11"/>
      <c r="J457" s="11"/>
      <c r="K457" s="11"/>
      <c r="L457" s="11"/>
      <c r="M457" s="11"/>
      <c r="N457" s="11"/>
      <c r="O457" s="11"/>
      <c r="P457" s="11"/>
      <c r="Q457" s="11"/>
      <c r="R457" s="11"/>
      <c r="S457" s="11"/>
      <c r="T457" s="11"/>
      <c r="U457" s="11"/>
      <c r="V457" s="11"/>
    </row>
    <row r="458" spans="1:22">
      <c r="A458" s="11"/>
      <c r="B458" s="11"/>
      <c r="C458" s="11"/>
      <c r="D458" s="11"/>
      <c r="E458" s="11"/>
      <c r="F458" s="11"/>
      <c r="G458" s="11"/>
      <c r="H458" s="11"/>
      <c r="I458" s="11"/>
      <c r="J458" s="11"/>
      <c r="K458" s="11"/>
      <c r="L458" s="11"/>
      <c r="M458" s="11"/>
      <c r="N458" s="11"/>
      <c r="O458" s="11"/>
      <c r="P458" s="11"/>
      <c r="Q458" s="11"/>
      <c r="R458" s="11"/>
      <c r="S458" s="11"/>
      <c r="T458" s="11"/>
      <c r="U458" s="11"/>
      <c r="V458" s="11"/>
    </row>
    <row r="459" spans="1:22">
      <c r="A459" s="11"/>
      <c r="B459" s="11"/>
      <c r="C459" s="11"/>
      <c r="D459" s="11"/>
      <c r="E459" s="11"/>
      <c r="F459" s="11"/>
      <c r="G459" s="11"/>
      <c r="H459" s="11"/>
      <c r="I459" s="11"/>
      <c r="J459" s="11"/>
      <c r="K459" s="11"/>
      <c r="L459" s="11"/>
      <c r="M459" s="11"/>
      <c r="N459" s="11"/>
      <c r="O459" s="11"/>
      <c r="P459" s="11"/>
      <c r="Q459" s="11"/>
      <c r="R459" s="11"/>
      <c r="S459" s="11"/>
      <c r="T459" s="11"/>
      <c r="U459" s="11"/>
      <c r="V459" s="11"/>
    </row>
    <row r="460" spans="1:22">
      <c r="A460" s="11"/>
      <c r="B460" s="11"/>
      <c r="C460" s="11"/>
      <c r="D460" s="11"/>
      <c r="E460" s="11"/>
      <c r="F460" s="11"/>
      <c r="G460" s="11"/>
      <c r="H460" s="11"/>
      <c r="I460" s="11"/>
      <c r="J460" s="11"/>
      <c r="K460" s="11"/>
      <c r="L460" s="11"/>
      <c r="M460" s="11"/>
      <c r="N460" s="11"/>
      <c r="O460" s="11"/>
      <c r="P460" s="11"/>
      <c r="Q460" s="11"/>
      <c r="R460" s="11"/>
      <c r="S460" s="11"/>
      <c r="T460" s="11"/>
      <c r="U460" s="11"/>
      <c r="V460" s="11"/>
    </row>
    <row r="461" spans="1:22">
      <c r="A461" s="11"/>
      <c r="B461" s="11"/>
      <c r="C461" s="11"/>
      <c r="D461" s="11"/>
      <c r="E461" s="11"/>
      <c r="F461" s="11"/>
      <c r="G461" s="11"/>
      <c r="H461" s="11"/>
      <c r="I461" s="11"/>
      <c r="J461" s="11"/>
      <c r="K461" s="11"/>
      <c r="L461" s="11"/>
      <c r="M461" s="11"/>
      <c r="N461" s="11"/>
      <c r="O461" s="11"/>
      <c r="P461" s="11"/>
      <c r="Q461" s="11"/>
      <c r="R461" s="11"/>
      <c r="S461" s="11"/>
      <c r="T461" s="11"/>
      <c r="U461" s="11"/>
      <c r="V461" s="11"/>
    </row>
    <row r="462" spans="1:22">
      <c r="A462" s="11"/>
      <c r="B462" s="11"/>
      <c r="C462" s="11"/>
      <c r="D462" s="11"/>
      <c r="E462" s="11"/>
      <c r="F462" s="11"/>
      <c r="G462" s="11"/>
      <c r="H462" s="11"/>
      <c r="I462" s="11"/>
      <c r="J462" s="11"/>
      <c r="K462" s="11"/>
      <c r="L462" s="11"/>
      <c r="M462" s="11"/>
      <c r="N462" s="11"/>
      <c r="O462" s="11"/>
      <c r="P462" s="11"/>
      <c r="Q462" s="11"/>
      <c r="R462" s="11"/>
      <c r="S462" s="11"/>
      <c r="T462" s="11"/>
      <c r="U462" s="11"/>
      <c r="V462" s="11"/>
    </row>
    <row r="463" spans="1:22">
      <c r="A463" s="11"/>
      <c r="B463" s="11"/>
      <c r="C463" s="11"/>
      <c r="D463" s="11"/>
      <c r="E463" s="11"/>
      <c r="F463" s="11"/>
      <c r="G463" s="11"/>
      <c r="H463" s="11"/>
      <c r="I463" s="11"/>
      <c r="J463" s="11"/>
      <c r="K463" s="11"/>
      <c r="L463" s="11"/>
      <c r="M463" s="11"/>
      <c r="N463" s="11"/>
      <c r="O463" s="11"/>
      <c r="P463" s="11"/>
      <c r="Q463" s="11"/>
      <c r="R463" s="11"/>
      <c r="S463" s="11"/>
      <c r="T463" s="11"/>
      <c r="U463" s="11"/>
      <c r="V463" s="11"/>
    </row>
    <row r="464" spans="1:22">
      <c r="A464" s="11"/>
      <c r="B464" s="11"/>
      <c r="C464" s="11"/>
      <c r="D464" s="11"/>
      <c r="E464" s="11"/>
      <c r="F464" s="11"/>
      <c r="G464" s="11"/>
      <c r="H464" s="11"/>
      <c r="I464" s="11"/>
      <c r="J464" s="11"/>
      <c r="K464" s="11"/>
      <c r="L464" s="11"/>
      <c r="M464" s="11"/>
      <c r="N464" s="11"/>
      <c r="O464" s="11"/>
      <c r="P464" s="11"/>
      <c r="Q464" s="11"/>
      <c r="R464" s="11"/>
      <c r="S464" s="11"/>
      <c r="T464" s="11"/>
      <c r="U464" s="11"/>
      <c r="V464" s="11"/>
    </row>
    <row r="465" spans="1:22">
      <c r="A465" s="11"/>
      <c r="B465" s="11"/>
      <c r="C465" s="11"/>
      <c r="D465" s="11"/>
      <c r="E465" s="11"/>
      <c r="F465" s="11"/>
      <c r="G465" s="11"/>
      <c r="H465" s="11"/>
      <c r="I465" s="11"/>
      <c r="J465" s="11"/>
      <c r="K465" s="11"/>
      <c r="L465" s="11"/>
      <c r="M465" s="11"/>
      <c r="N465" s="11"/>
      <c r="O465" s="11"/>
      <c r="P465" s="11"/>
      <c r="Q465" s="11"/>
      <c r="R465" s="11"/>
      <c r="S465" s="11"/>
      <c r="T465" s="11"/>
      <c r="U465" s="11"/>
      <c r="V465" s="11"/>
    </row>
    <row r="466" spans="1:22">
      <c r="A466" s="11"/>
      <c r="B466" s="11"/>
      <c r="C466" s="11"/>
      <c r="D466" s="11"/>
      <c r="E466" s="11"/>
      <c r="F466" s="11"/>
      <c r="G466" s="11"/>
      <c r="H466" s="11"/>
      <c r="I466" s="11"/>
      <c r="J466" s="11"/>
      <c r="K466" s="11"/>
      <c r="L466" s="11"/>
      <c r="M466" s="11"/>
      <c r="N466" s="11"/>
      <c r="O466" s="11"/>
      <c r="P466" s="11"/>
      <c r="Q466" s="11"/>
      <c r="R466" s="11"/>
      <c r="S466" s="11"/>
      <c r="T466" s="11"/>
      <c r="U466" s="11"/>
      <c r="V466" s="11"/>
    </row>
    <row r="467" spans="1:22">
      <c r="A467" s="11"/>
      <c r="B467" s="11"/>
      <c r="C467" s="11"/>
      <c r="D467" s="11"/>
      <c r="E467" s="11"/>
      <c r="F467" s="11"/>
      <c r="G467" s="11"/>
      <c r="H467" s="11"/>
      <c r="I467" s="11"/>
      <c r="J467" s="11"/>
      <c r="K467" s="11"/>
      <c r="L467" s="11"/>
      <c r="M467" s="11"/>
      <c r="N467" s="11"/>
      <c r="O467" s="11"/>
      <c r="P467" s="11"/>
      <c r="Q467" s="11"/>
      <c r="R467" s="11"/>
      <c r="S467" s="11"/>
      <c r="T467" s="11"/>
      <c r="U467" s="11"/>
      <c r="V467" s="11"/>
    </row>
    <row r="468" spans="1:22">
      <c r="A468" s="11"/>
      <c r="B468" s="11"/>
      <c r="C468" s="11"/>
      <c r="D468" s="11"/>
      <c r="E468" s="11"/>
      <c r="F468" s="11"/>
      <c r="G468" s="11"/>
      <c r="H468" s="11"/>
      <c r="I468" s="11"/>
      <c r="J468" s="11"/>
      <c r="K468" s="11"/>
      <c r="L468" s="11"/>
      <c r="M468" s="11"/>
      <c r="N468" s="11"/>
      <c r="O468" s="11"/>
      <c r="P468" s="11"/>
      <c r="Q468" s="11"/>
      <c r="R468" s="11"/>
      <c r="S468" s="11"/>
      <c r="T468" s="11"/>
      <c r="U468" s="11"/>
      <c r="V468" s="11"/>
    </row>
    <row r="469" spans="1:22">
      <c r="A469" s="11"/>
      <c r="B469" s="11"/>
      <c r="C469" s="11"/>
      <c r="D469" s="11"/>
      <c r="E469" s="11"/>
      <c r="F469" s="11"/>
      <c r="G469" s="11"/>
      <c r="H469" s="11"/>
      <c r="I469" s="11"/>
      <c r="J469" s="11"/>
      <c r="K469" s="11"/>
      <c r="L469" s="11"/>
      <c r="M469" s="11"/>
      <c r="N469" s="11"/>
      <c r="O469" s="11"/>
      <c r="P469" s="11"/>
      <c r="Q469" s="11"/>
      <c r="R469" s="11"/>
      <c r="S469" s="11"/>
      <c r="T469" s="11"/>
      <c r="U469" s="11"/>
      <c r="V469" s="11"/>
    </row>
    <row r="470" spans="1:22">
      <c r="A470" s="11"/>
      <c r="B470" s="11"/>
      <c r="C470" s="11"/>
      <c r="D470" s="11"/>
      <c r="E470" s="11"/>
      <c r="F470" s="11"/>
      <c r="G470" s="11"/>
      <c r="H470" s="11"/>
      <c r="I470" s="11"/>
      <c r="J470" s="11"/>
      <c r="K470" s="11"/>
      <c r="L470" s="11"/>
      <c r="M470" s="11"/>
      <c r="N470" s="11"/>
      <c r="O470" s="11"/>
      <c r="P470" s="11"/>
      <c r="Q470" s="11"/>
      <c r="R470" s="11"/>
      <c r="S470" s="11"/>
      <c r="T470" s="11"/>
      <c r="U470" s="11"/>
      <c r="V470" s="11"/>
    </row>
    <row r="471" spans="1:22">
      <c r="A471" s="11"/>
      <c r="B471" s="11"/>
      <c r="C471" s="11"/>
      <c r="D471" s="11"/>
      <c r="E471" s="11"/>
      <c r="F471" s="11"/>
      <c r="G471" s="11"/>
      <c r="H471" s="11"/>
      <c r="I471" s="11"/>
      <c r="J471" s="11"/>
      <c r="K471" s="11"/>
      <c r="L471" s="11"/>
      <c r="M471" s="11"/>
      <c r="N471" s="11"/>
      <c r="O471" s="11"/>
      <c r="P471" s="11"/>
      <c r="Q471" s="11"/>
      <c r="R471" s="11"/>
      <c r="S471" s="11"/>
      <c r="T471" s="11"/>
      <c r="U471" s="11"/>
      <c r="V471" s="11"/>
    </row>
    <row r="472" spans="1:22">
      <c r="A472" s="11"/>
      <c r="B472" s="11"/>
      <c r="C472" s="11"/>
      <c r="D472" s="11"/>
      <c r="E472" s="11"/>
      <c r="F472" s="11"/>
      <c r="G472" s="11"/>
      <c r="H472" s="11"/>
      <c r="I472" s="11"/>
      <c r="J472" s="11"/>
      <c r="K472" s="11"/>
      <c r="L472" s="11"/>
      <c r="M472" s="11"/>
      <c r="N472" s="11"/>
      <c r="O472" s="11"/>
      <c r="P472" s="11"/>
      <c r="Q472" s="11"/>
      <c r="R472" s="11"/>
      <c r="S472" s="11"/>
      <c r="T472" s="11"/>
      <c r="U472" s="11"/>
      <c r="V472" s="11"/>
    </row>
    <row r="473" spans="1:22">
      <c r="A473" s="11"/>
      <c r="B473" s="11"/>
      <c r="C473" s="11"/>
      <c r="D473" s="11"/>
      <c r="E473" s="11"/>
      <c r="F473" s="11"/>
      <c r="G473" s="11"/>
      <c r="H473" s="11"/>
      <c r="I473" s="11"/>
      <c r="J473" s="11"/>
      <c r="K473" s="11"/>
      <c r="L473" s="11"/>
      <c r="M473" s="11"/>
      <c r="N473" s="11"/>
      <c r="O473" s="11"/>
      <c r="P473" s="11"/>
      <c r="Q473" s="11"/>
      <c r="R473" s="11"/>
      <c r="S473" s="11"/>
      <c r="T473" s="11"/>
      <c r="U473" s="11"/>
      <c r="V473" s="11"/>
    </row>
    <row r="474" spans="1:22">
      <c r="A474" s="11"/>
      <c r="B474" s="11"/>
      <c r="C474" s="11"/>
      <c r="D474" s="11"/>
      <c r="E474" s="11"/>
      <c r="F474" s="11"/>
      <c r="G474" s="11"/>
      <c r="H474" s="11"/>
      <c r="I474" s="11"/>
      <c r="J474" s="11"/>
      <c r="K474" s="11"/>
      <c r="L474" s="11"/>
      <c r="M474" s="11"/>
      <c r="N474" s="11"/>
      <c r="O474" s="11"/>
      <c r="P474" s="11"/>
      <c r="Q474" s="11"/>
      <c r="R474" s="11"/>
      <c r="S474" s="11"/>
      <c r="T474" s="11"/>
      <c r="U474" s="11"/>
      <c r="V474" s="11"/>
    </row>
    <row r="475" spans="1:22">
      <c r="A475" s="11"/>
      <c r="B475" s="11"/>
      <c r="C475" s="11"/>
      <c r="D475" s="11"/>
      <c r="E475" s="11"/>
      <c r="F475" s="11"/>
      <c r="G475" s="11"/>
      <c r="H475" s="11"/>
      <c r="I475" s="11"/>
      <c r="J475" s="11"/>
      <c r="K475" s="11"/>
      <c r="L475" s="11"/>
      <c r="M475" s="11"/>
      <c r="N475" s="11"/>
      <c r="O475" s="11"/>
      <c r="P475" s="11"/>
      <c r="Q475" s="11"/>
      <c r="R475" s="11"/>
      <c r="S475" s="11"/>
      <c r="T475" s="11"/>
      <c r="U475" s="11"/>
      <c r="V475" s="11"/>
    </row>
    <row r="476" spans="1:22">
      <c r="A476" s="11"/>
      <c r="B476" s="11"/>
      <c r="C476" s="11"/>
      <c r="D476" s="11"/>
      <c r="E476" s="11"/>
      <c r="F476" s="11"/>
      <c r="G476" s="11"/>
      <c r="H476" s="11"/>
      <c r="I476" s="11"/>
      <c r="J476" s="11"/>
      <c r="K476" s="11"/>
      <c r="L476" s="11"/>
      <c r="M476" s="11"/>
      <c r="N476" s="11"/>
      <c r="O476" s="11"/>
      <c r="P476" s="11"/>
      <c r="Q476" s="11"/>
      <c r="R476" s="11"/>
      <c r="S476" s="11"/>
      <c r="T476" s="11"/>
      <c r="U476" s="11"/>
      <c r="V476" s="11"/>
    </row>
    <row r="477" spans="1:22">
      <c r="A477" s="11"/>
      <c r="B477" s="11"/>
      <c r="C477" s="11"/>
      <c r="D477" s="11"/>
      <c r="E477" s="11"/>
      <c r="F477" s="11"/>
      <c r="G477" s="11"/>
      <c r="H477" s="11"/>
      <c r="I477" s="11"/>
      <c r="J477" s="11"/>
      <c r="K477" s="11"/>
      <c r="L477" s="11"/>
      <c r="M477" s="11"/>
      <c r="N477" s="11"/>
      <c r="O477" s="11"/>
      <c r="P477" s="11"/>
      <c r="Q477" s="11"/>
      <c r="R477" s="11"/>
      <c r="S477" s="11"/>
      <c r="T477" s="11"/>
      <c r="U477" s="11"/>
      <c r="V477" s="11"/>
    </row>
    <row r="478" spans="1:22">
      <c r="A478" s="11"/>
      <c r="B478" s="11"/>
      <c r="C478" s="11"/>
      <c r="D478" s="11"/>
      <c r="E478" s="11"/>
      <c r="F478" s="11"/>
      <c r="G478" s="11"/>
      <c r="H478" s="11"/>
      <c r="I478" s="11"/>
      <c r="J478" s="11"/>
      <c r="K478" s="11"/>
      <c r="L478" s="11"/>
      <c r="M478" s="11"/>
      <c r="N478" s="11"/>
      <c r="O478" s="11"/>
      <c r="P478" s="11"/>
      <c r="Q478" s="11"/>
      <c r="R478" s="11"/>
      <c r="S478" s="11"/>
      <c r="T478" s="11"/>
      <c r="U478" s="11"/>
      <c r="V478" s="11"/>
    </row>
    <row r="479" spans="1:22">
      <c r="A479" s="11"/>
      <c r="B479" s="11"/>
      <c r="C479" s="11"/>
      <c r="D479" s="11"/>
      <c r="E479" s="11"/>
      <c r="F479" s="11"/>
      <c r="G479" s="11"/>
      <c r="H479" s="11"/>
      <c r="I479" s="11"/>
      <c r="J479" s="11"/>
      <c r="K479" s="11"/>
      <c r="L479" s="11"/>
      <c r="M479" s="11"/>
      <c r="N479" s="11"/>
      <c r="O479" s="11"/>
      <c r="P479" s="11"/>
      <c r="Q479" s="11"/>
      <c r="R479" s="11"/>
      <c r="S479" s="11"/>
      <c r="T479" s="11"/>
      <c r="U479" s="11"/>
      <c r="V479" s="11"/>
    </row>
    <row r="480" spans="1:22">
      <c r="A480" s="11"/>
      <c r="B480" s="11"/>
      <c r="C480" s="11"/>
      <c r="D480" s="11"/>
      <c r="E480" s="11"/>
      <c r="F480" s="11"/>
      <c r="G480" s="11"/>
      <c r="H480" s="11"/>
      <c r="I480" s="11"/>
      <c r="J480" s="11"/>
      <c r="K480" s="11"/>
      <c r="L480" s="11"/>
      <c r="M480" s="11"/>
      <c r="N480" s="11"/>
      <c r="O480" s="11"/>
      <c r="P480" s="11"/>
      <c r="Q480" s="11"/>
      <c r="R480" s="11"/>
      <c r="S480" s="11"/>
      <c r="T480" s="11"/>
      <c r="U480" s="11"/>
      <c r="V480" s="11"/>
    </row>
    <row r="481" spans="1:22">
      <c r="A481" s="11"/>
      <c r="B481" s="11"/>
      <c r="C481" s="11"/>
      <c r="D481" s="11"/>
      <c r="E481" s="11"/>
      <c r="F481" s="11"/>
      <c r="G481" s="11"/>
      <c r="H481" s="11"/>
      <c r="I481" s="11"/>
      <c r="J481" s="11"/>
      <c r="K481" s="11"/>
      <c r="L481" s="11"/>
      <c r="M481" s="11"/>
      <c r="N481" s="11"/>
      <c r="O481" s="11"/>
      <c r="P481" s="11"/>
      <c r="Q481" s="11"/>
      <c r="R481" s="11"/>
      <c r="S481" s="11"/>
      <c r="T481" s="11"/>
      <c r="U481" s="11"/>
      <c r="V481" s="11"/>
    </row>
    <row r="482" spans="1:22">
      <c r="A482" s="11"/>
      <c r="B482" s="11"/>
      <c r="C482" s="11"/>
      <c r="D482" s="11"/>
      <c r="E482" s="11"/>
      <c r="F482" s="11"/>
      <c r="G482" s="11"/>
      <c r="H482" s="11"/>
      <c r="I482" s="11"/>
      <c r="J482" s="11"/>
      <c r="K482" s="11"/>
      <c r="L482" s="11"/>
      <c r="M482" s="11"/>
      <c r="N482" s="11"/>
      <c r="O482" s="11"/>
      <c r="P482" s="11"/>
      <c r="Q482" s="11"/>
      <c r="R482" s="11"/>
      <c r="S482" s="11"/>
      <c r="T482" s="11"/>
      <c r="U482" s="11"/>
      <c r="V482" s="11"/>
    </row>
    <row r="483" spans="1:22">
      <c r="A483" s="11"/>
      <c r="B483" s="11"/>
      <c r="C483" s="11"/>
      <c r="D483" s="11"/>
      <c r="E483" s="11"/>
      <c r="F483" s="11"/>
      <c r="G483" s="11"/>
      <c r="H483" s="11"/>
      <c r="I483" s="11"/>
      <c r="J483" s="11"/>
      <c r="K483" s="11"/>
      <c r="L483" s="11"/>
      <c r="M483" s="11"/>
      <c r="N483" s="11"/>
      <c r="O483" s="11"/>
      <c r="P483" s="11"/>
      <c r="Q483" s="11"/>
      <c r="R483" s="11"/>
      <c r="S483" s="11"/>
      <c r="T483" s="11"/>
      <c r="U483" s="11"/>
      <c r="V483" s="11"/>
    </row>
    <row r="484" spans="1:22">
      <c r="A484" s="11"/>
      <c r="B484" s="11"/>
      <c r="C484" s="11"/>
      <c r="D484" s="11"/>
      <c r="E484" s="11"/>
      <c r="F484" s="11"/>
      <c r="G484" s="11"/>
      <c r="H484" s="11"/>
      <c r="I484" s="11"/>
      <c r="J484" s="11"/>
      <c r="K484" s="11"/>
      <c r="L484" s="11"/>
      <c r="M484" s="11"/>
      <c r="N484" s="11"/>
      <c r="O484" s="11"/>
      <c r="P484" s="11"/>
      <c r="Q484" s="11"/>
      <c r="R484" s="11"/>
      <c r="S484" s="11"/>
      <c r="T484" s="11"/>
      <c r="U484" s="11"/>
      <c r="V484" s="11"/>
    </row>
    <row r="485" spans="1:22">
      <c r="A485" s="11"/>
      <c r="B485" s="11"/>
      <c r="C485" s="11"/>
      <c r="D485" s="11"/>
      <c r="E485" s="11"/>
      <c r="F485" s="11"/>
      <c r="G485" s="11"/>
      <c r="H485" s="11"/>
      <c r="I485" s="11"/>
      <c r="J485" s="11"/>
      <c r="K485" s="11"/>
      <c r="L485" s="11"/>
      <c r="M485" s="11"/>
      <c r="N485" s="11"/>
      <c r="O485" s="11"/>
      <c r="P485" s="11"/>
      <c r="Q485" s="11"/>
      <c r="R485" s="11"/>
      <c r="S485" s="11"/>
      <c r="T485" s="11"/>
      <c r="U485" s="11"/>
      <c r="V485" s="11"/>
    </row>
    <row r="486" spans="1:22">
      <c r="A486" s="11"/>
      <c r="B486" s="11"/>
      <c r="C486" s="11"/>
      <c r="D486" s="11"/>
      <c r="E486" s="11"/>
      <c r="F486" s="11"/>
      <c r="G486" s="11"/>
      <c r="H486" s="11"/>
      <c r="I486" s="11"/>
      <c r="J486" s="11"/>
      <c r="K486" s="11"/>
      <c r="L486" s="11"/>
      <c r="M486" s="11"/>
      <c r="N486" s="11"/>
      <c r="O486" s="11"/>
      <c r="P486" s="11"/>
      <c r="Q486" s="11"/>
      <c r="R486" s="11"/>
      <c r="S486" s="11"/>
      <c r="T486" s="11"/>
      <c r="U486" s="11"/>
      <c r="V486" s="11"/>
    </row>
    <row r="487" spans="1:22">
      <c r="A487" s="11"/>
      <c r="B487" s="11"/>
      <c r="C487" s="11"/>
      <c r="D487" s="11"/>
      <c r="E487" s="11"/>
      <c r="F487" s="11"/>
      <c r="G487" s="11"/>
      <c r="H487" s="11"/>
      <c r="I487" s="11"/>
      <c r="J487" s="11"/>
      <c r="K487" s="11"/>
      <c r="L487" s="11"/>
      <c r="M487" s="11"/>
      <c r="N487" s="11"/>
      <c r="O487" s="11"/>
      <c r="P487" s="11"/>
      <c r="Q487" s="11"/>
      <c r="R487" s="11"/>
      <c r="S487" s="11"/>
      <c r="T487" s="11"/>
      <c r="U487" s="11"/>
      <c r="V487" s="11"/>
    </row>
    <row r="488" spans="1:22">
      <c r="A488" s="11"/>
      <c r="B488" s="11"/>
      <c r="C488" s="11"/>
      <c r="D488" s="11"/>
      <c r="E488" s="11"/>
      <c r="F488" s="11"/>
      <c r="G488" s="11"/>
      <c r="H488" s="11"/>
      <c r="I488" s="11"/>
      <c r="J488" s="11"/>
      <c r="K488" s="11"/>
      <c r="L488" s="11"/>
      <c r="M488" s="11"/>
      <c r="N488" s="11"/>
      <c r="O488" s="11"/>
      <c r="P488" s="11"/>
      <c r="Q488" s="11"/>
      <c r="R488" s="11"/>
      <c r="S488" s="11"/>
      <c r="T488" s="11"/>
      <c r="U488" s="11"/>
      <c r="V488" s="11"/>
    </row>
    <row r="489" spans="1:22">
      <c r="A489" s="11"/>
      <c r="B489" s="11"/>
      <c r="C489" s="11"/>
      <c r="D489" s="11"/>
      <c r="E489" s="11"/>
      <c r="F489" s="11"/>
      <c r="G489" s="11"/>
      <c r="H489" s="11"/>
      <c r="I489" s="11"/>
      <c r="J489" s="11"/>
      <c r="K489" s="11"/>
      <c r="L489" s="11"/>
      <c r="M489" s="11"/>
      <c r="N489" s="11"/>
      <c r="O489" s="11"/>
      <c r="P489" s="11"/>
      <c r="Q489" s="11"/>
      <c r="R489" s="11"/>
      <c r="S489" s="11"/>
      <c r="T489" s="11"/>
      <c r="U489" s="11"/>
      <c r="V489" s="11"/>
    </row>
    <row r="490" spans="1:22">
      <c r="A490" s="11"/>
      <c r="B490" s="11"/>
      <c r="C490" s="11"/>
      <c r="D490" s="11"/>
      <c r="E490" s="11"/>
      <c r="F490" s="11"/>
      <c r="G490" s="11"/>
      <c r="H490" s="11"/>
      <c r="I490" s="11"/>
      <c r="J490" s="11"/>
      <c r="K490" s="11"/>
      <c r="L490" s="11"/>
      <c r="M490" s="11"/>
      <c r="N490" s="11"/>
      <c r="O490" s="11"/>
      <c r="P490" s="11"/>
      <c r="Q490" s="11"/>
      <c r="R490" s="11"/>
      <c r="S490" s="11"/>
      <c r="T490" s="11"/>
      <c r="U490" s="11"/>
      <c r="V490" s="11"/>
    </row>
    <row r="491" spans="1:22">
      <c r="A491" s="11"/>
      <c r="B491" s="11"/>
      <c r="C491" s="11"/>
      <c r="D491" s="11"/>
      <c r="E491" s="11"/>
      <c r="F491" s="11"/>
      <c r="G491" s="11"/>
      <c r="H491" s="11"/>
      <c r="I491" s="11"/>
      <c r="J491" s="11"/>
      <c r="K491" s="11"/>
      <c r="L491" s="11"/>
      <c r="M491" s="11"/>
      <c r="N491" s="11"/>
      <c r="O491" s="11"/>
      <c r="P491" s="11"/>
      <c r="Q491" s="11"/>
      <c r="R491" s="11"/>
      <c r="S491" s="11"/>
      <c r="T491" s="11"/>
      <c r="U491" s="11"/>
      <c r="V491" s="11"/>
    </row>
    <row r="492" spans="1:22">
      <c r="A492" s="11"/>
      <c r="B492" s="11"/>
      <c r="C492" s="11"/>
      <c r="D492" s="11"/>
      <c r="E492" s="11"/>
      <c r="F492" s="11"/>
      <c r="G492" s="11"/>
      <c r="H492" s="11"/>
      <c r="I492" s="11"/>
      <c r="J492" s="11"/>
      <c r="K492" s="11"/>
      <c r="L492" s="11"/>
      <c r="M492" s="11"/>
      <c r="N492" s="11"/>
      <c r="O492" s="11"/>
      <c r="P492" s="11"/>
      <c r="Q492" s="11"/>
      <c r="R492" s="11"/>
      <c r="S492" s="11"/>
      <c r="T492" s="11"/>
      <c r="U492" s="11"/>
      <c r="V492" s="11"/>
    </row>
    <row r="493" spans="1:22">
      <c r="A493" s="11"/>
      <c r="B493" s="11"/>
      <c r="C493" s="11"/>
      <c r="D493" s="11"/>
      <c r="E493" s="11"/>
      <c r="F493" s="11"/>
      <c r="G493" s="11"/>
      <c r="H493" s="11"/>
      <c r="I493" s="11"/>
      <c r="J493" s="11"/>
      <c r="K493" s="11"/>
      <c r="L493" s="11"/>
      <c r="M493" s="11"/>
      <c r="N493" s="11"/>
      <c r="O493" s="11"/>
      <c r="P493" s="11"/>
      <c r="Q493" s="11"/>
      <c r="R493" s="11"/>
      <c r="S493" s="11"/>
      <c r="T493" s="11"/>
      <c r="U493" s="11"/>
      <c r="V493" s="11"/>
    </row>
    <row r="494" spans="1:22">
      <c r="A494" s="11"/>
      <c r="B494" s="11"/>
      <c r="C494" s="11"/>
      <c r="D494" s="11"/>
      <c r="E494" s="11"/>
      <c r="F494" s="11"/>
      <c r="G494" s="11"/>
      <c r="H494" s="11"/>
      <c r="I494" s="11"/>
      <c r="J494" s="11"/>
      <c r="K494" s="11"/>
      <c r="L494" s="11"/>
      <c r="M494" s="11"/>
      <c r="N494" s="11"/>
      <c r="O494" s="11"/>
      <c r="P494" s="11"/>
      <c r="Q494" s="11"/>
      <c r="R494" s="11"/>
      <c r="S494" s="11"/>
      <c r="T494" s="11"/>
      <c r="U494" s="11"/>
      <c r="V494" s="11"/>
    </row>
    <row r="495" spans="1:22">
      <c r="A495" s="11"/>
      <c r="B495" s="11"/>
      <c r="C495" s="11"/>
      <c r="D495" s="11"/>
      <c r="E495" s="11"/>
      <c r="F495" s="11"/>
      <c r="G495" s="11"/>
      <c r="H495" s="11"/>
      <c r="I495" s="11"/>
      <c r="J495" s="11"/>
      <c r="K495" s="11"/>
      <c r="L495" s="11"/>
      <c r="M495" s="11"/>
      <c r="N495" s="11"/>
      <c r="O495" s="11"/>
      <c r="P495" s="11"/>
      <c r="Q495" s="11"/>
      <c r="R495" s="11"/>
      <c r="S495" s="11"/>
      <c r="T495" s="11"/>
      <c r="U495" s="11"/>
      <c r="V495" s="11"/>
    </row>
    <row r="496" spans="1:22">
      <c r="A496" s="11"/>
      <c r="B496" s="11"/>
      <c r="C496" s="11"/>
      <c r="D496" s="11"/>
      <c r="E496" s="11"/>
      <c r="F496" s="11"/>
      <c r="G496" s="11"/>
      <c r="H496" s="11"/>
      <c r="I496" s="11"/>
      <c r="J496" s="11"/>
      <c r="K496" s="11"/>
      <c r="L496" s="11"/>
      <c r="M496" s="11"/>
      <c r="N496" s="11"/>
      <c r="O496" s="11"/>
      <c r="P496" s="11"/>
      <c r="Q496" s="11"/>
      <c r="R496" s="11"/>
      <c r="S496" s="11"/>
      <c r="T496" s="11"/>
      <c r="U496" s="11"/>
      <c r="V496" s="11"/>
    </row>
    <row r="497" spans="1:22">
      <c r="A497" s="11"/>
      <c r="B497" s="11"/>
      <c r="C497" s="11"/>
      <c r="D497" s="11"/>
      <c r="E497" s="11"/>
      <c r="F497" s="11"/>
      <c r="G497" s="11"/>
      <c r="H497" s="11"/>
      <c r="I497" s="11"/>
      <c r="J497" s="11"/>
      <c r="K497" s="11"/>
      <c r="L497" s="11"/>
      <c r="M497" s="11"/>
      <c r="N497" s="11"/>
      <c r="O497" s="11"/>
      <c r="P497" s="11"/>
      <c r="Q497" s="11"/>
      <c r="R497" s="11"/>
      <c r="S497" s="11"/>
      <c r="T497" s="11"/>
      <c r="U497" s="11"/>
      <c r="V497" s="11"/>
    </row>
    <row r="498" spans="1:22">
      <c r="A498" s="11"/>
      <c r="B498" s="11"/>
      <c r="C498" s="11"/>
      <c r="D498" s="11"/>
      <c r="E498" s="11"/>
      <c r="F498" s="11"/>
      <c r="G498" s="11"/>
      <c r="H498" s="11"/>
      <c r="I498" s="11"/>
      <c r="J498" s="11"/>
      <c r="K498" s="11"/>
      <c r="L498" s="11"/>
      <c r="M498" s="11"/>
      <c r="N498" s="11"/>
      <c r="O498" s="11"/>
      <c r="P498" s="11"/>
      <c r="Q498" s="11"/>
      <c r="R498" s="11"/>
      <c r="S498" s="11"/>
      <c r="T498" s="11"/>
      <c r="U498" s="11"/>
      <c r="V498" s="11"/>
    </row>
    <row r="499" spans="1:22">
      <c r="A499" s="11"/>
      <c r="B499" s="11"/>
      <c r="C499" s="11"/>
      <c r="D499" s="11"/>
      <c r="E499" s="11"/>
      <c r="F499" s="11"/>
      <c r="G499" s="11"/>
      <c r="H499" s="11"/>
      <c r="I499" s="11"/>
      <c r="J499" s="11"/>
      <c r="K499" s="11"/>
      <c r="L499" s="11"/>
      <c r="M499" s="11"/>
      <c r="N499" s="11"/>
      <c r="O499" s="11"/>
      <c r="P499" s="11"/>
      <c r="Q499" s="11"/>
      <c r="R499" s="11"/>
      <c r="S499" s="11"/>
      <c r="T499" s="11"/>
      <c r="U499" s="11"/>
      <c r="V499" s="11"/>
    </row>
    <row r="500" spans="1:22">
      <c r="A500" s="11"/>
      <c r="B500" s="11"/>
      <c r="C500" s="11"/>
      <c r="D500" s="11"/>
      <c r="E500" s="11"/>
      <c r="F500" s="11"/>
      <c r="G500" s="11"/>
      <c r="H500" s="11"/>
      <c r="I500" s="11"/>
      <c r="J500" s="11"/>
      <c r="K500" s="11"/>
      <c r="L500" s="11"/>
      <c r="M500" s="11"/>
      <c r="N500" s="11"/>
      <c r="O500" s="11"/>
      <c r="P500" s="11"/>
      <c r="Q500" s="11"/>
      <c r="R500" s="11"/>
      <c r="S500" s="11"/>
      <c r="T500" s="11"/>
      <c r="U500" s="11"/>
      <c r="V500" s="11"/>
    </row>
    <row r="501" spans="1:22">
      <c r="A501" s="11"/>
      <c r="B501" s="11"/>
      <c r="C501" s="11"/>
      <c r="D501" s="11"/>
      <c r="E501" s="11"/>
      <c r="F501" s="11"/>
      <c r="G501" s="11"/>
      <c r="H501" s="11"/>
      <c r="I501" s="11"/>
      <c r="J501" s="11"/>
      <c r="K501" s="11"/>
      <c r="L501" s="11"/>
      <c r="M501" s="11"/>
      <c r="N501" s="11"/>
      <c r="O501" s="11"/>
      <c r="P501" s="11"/>
      <c r="Q501" s="11"/>
      <c r="R501" s="11"/>
      <c r="S501" s="11"/>
      <c r="T501" s="11"/>
      <c r="U501" s="11"/>
      <c r="V501" s="11"/>
    </row>
    <row r="502" spans="1:22">
      <c r="A502" s="11"/>
      <c r="B502" s="11"/>
      <c r="C502" s="11"/>
      <c r="D502" s="11"/>
      <c r="E502" s="11"/>
      <c r="F502" s="11"/>
      <c r="G502" s="11"/>
      <c r="H502" s="11"/>
      <c r="I502" s="11"/>
      <c r="J502" s="11"/>
      <c r="K502" s="11"/>
      <c r="L502" s="11"/>
      <c r="M502" s="11"/>
      <c r="N502" s="11"/>
      <c r="O502" s="11"/>
      <c r="P502" s="11"/>
      <c r="Q502" s="11"/>
      <c r="R502" s="11"/>
      <c r="S502" s="11"/>
      <c r="T502" s="11"/>
      <c r="U502" s="11"/>
      <c r="V502" s="11"/>
    </row>
    <row r="503" spans="1:22">
      <c r="A503" s="11"/>
      <c r="B503" s="11"/>
      <c r="C503" s="11"/>
      <c r="D503" s="11"/>
      <c r="E503" s="11"/>
      <c r="F503" s="11"/>
      <c r="G503" s="11"/>
      <c r="H503" s="11"/>
      <c r="I503" s="11"/>
      <c r="J503" s="11"/>
      <c r="K503" s="11"/>
      <c r="L503" s="11"/>
      <c r="M503" s="11"/>
      <c r="N503" s="11"/>
      <c r="O503" s="11"/>
      <c r="P503" s="11"/>
      <c r="Q503" s="11"/>
      <c r="R503" s="11"/>
      <c r="S503" s="11"/>
      <c r="T503" s="11"/>
      <c r="U503" s="11"/>
      <c r="V503" s="11"/>
    </row>
    <row r="504" spans="1:22">
      <c r="A504" s="11"/>
      <c r="B504" s="11"/>
      <c r="C504" s="11"/>
      <c r="D504" s="11"/>
      <c r="E504" s="11"/>
      <c r="F504" s="11"/>
      <c r="G504" s="11"/>
      <c r="H504" s="11"/>
      <c r="I504" s="11"/>
      <c r="J504" s="11"/>
      <c r="K504" s="11"/>
      <c r="L504" s="11"/>
      <c r="M504" s="11"/>
      <c r="N504" s="11"/>
      <c r="O504" s="11"/>
      <c r="P504" s="11"/>
      <c r="Q504" s="11"/>
      <c r="R504" s="11"/>
      <c r="S504" s="11"/>
      <c r="T504" s="11"/>
      <c r="U504" s="11"/>
      <c r="V504" s="11"/>
    </row>
    <row r="505" spans="1:22">
      <c r="A505" s="11"/>
      <c r="B505" s="11"/>
      <c r="C505" s="11"/>
      <c r="D505" s="11"/>
      <c r="E505" s="11"/>
      <c r="F505" s="11"/>
      <c r="G505" s="11"/>
      <c r="H505" s="11"/>
      <c r="I505" s="11"/>
      <c r="J505" s="11"/>
      <c r="K505" s="11"/>
      <c r="L505" s="11"/>
      <c r="M505" s="11"/>
      <c r="N505" s="11"/>
      <c r="O505" s="11"/>
      <c r="P505" s="11"/>
      <c r="Q505" s="11"/>
      <c r="R505" s="11"/>
      <c r="S505" s="11"/>
      <c r="T505" s="11"/>
      <c r="U505" s="11"/>
      <c r="V505" s="11"/>
    </row>
  </sheetData>
  <autoFilter ref="A4:V505" xr:uid="{00000000-0009-0000-0000-000022000000}"/>
  <mergeCells count="2">
    <mergeCell ref="A2:V2"/>
    <mergeCell ref="A1:V1"/>
  </mergeCells>
  <dataValidations count="3">
    <dataValidation type="list" allowBlank="1" showInputMessage="1" showErrorMessage="1" errorTitle="Valeur non reconnue" error="Choisir une valeur du référentiel." promptTitle="Saisie ToTAL" prompt="Sélectionner une valeur contrôlée." sqref="H6:H505" xr:uid="{00000000-0002-0000-2200-000000000000}">
      <formula1>Liste_02</formula1>
    </dataValidation>
    <dataValidation type="list" allowBlank="1" showInputMessage="1" showErrorMessage="1" errorTitle="Valeur non reconnue" error="Choisir une valeur du référentiel." promptTitle="Saisie ToTAL" prompt="Sélectionner une valeur contrôlée." sqref="I6:I505" xr:uid="{00000000-0002-0000-2200-000001000000}">
      <formula1>Liste_03</formula1>
    </dataValidation>
    <dataValidation type="list" allowBlank="1" showInputMessage="1" showErrorMessage="1" errorTitle="Valeur non reconnue" error="Choisir une valeur du référentiel." promptTitle="Saisie ToTAL" prompt="Sélectionner une valeur contrôlée." sqref="V6:V505" xr:uid="{00000000-0002-0000-2200-000002000000}">
      <formula1>Liste_04</formula1>
    </dataValidation>
  </dataValidation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O505"/>
  <sheetViews>
    <sheetView showGridLines="0" workbookViewId="0">
      <pane ySplit="4" topLeftCell="A5" activePane="bottomLeft" state="frozen"/>
      <selection pane="bottomLeft"/>
    </sheetView>
  </sheetViews>
  <sheetFormatPr defaultRowHeight="15"/>
  <cols>
    <col min="1" max="1" width="12" customWidth="1"/>
    <col min="2" max="2" width="28" customWidth="1"/>
    <col min="3" max="3" width="26" customWidth="1"/>
    <col min="4" max="4" width="38" customWidth="1"/>
    <col min="5" max="5" width="30" customWidth="1"/>
    <col min="6" max="6" width="26" customWidth="1"/>
    <col min="7" max="7" width="24" customWidth="1"/>
    <col min="8" max="9" width="18" customWidth="1"/>
    <col min="10" max="10" width="28" customWidth="1"/>
    <col min="11" max="11" width="30" customWidth="1"/>
    <col min="12" max="13" width="28" customWidth="1"/>
    <col min="14" max="14" width="24" customWidth="1"/>
    <col min="15" max="15" width="30" customWidth="1"/>
  </cols>
  <sheetData>
    <row r="1" spans="1:15" ht="26.1" customHeight="1">
      <c r="A1" s="52" t="s">
        <v>2993</v>
      </c>
      <c r="B1" s="30"/>
      <c r="C1" s="30"/>
      <c r="D1" s="30"/>
      <c r="E1" s="30"/>
      <c r="F1" s="30"/>
      <c r="G1" s="30"/>
      <c r="H1" s="30"/>
      <c r="I1" s="30"/>
      <c r="J1" s="30"/>
      <c r="K1" s="30"/>
      <c r="L1" s="30"/>
      <c r="M1" s="30"/>
      <c r="N1" s="30"/>
      <c r="O1" s="30"/>
    </row>
    <row r="2" spans="1:15" ht="35.1" customHeight="1">
      <c r="A2" s="28" t="s">
        <v>4475</v>
      </c>
      <c r="B2" s="30"/>
      <c r="C2" s="30"/>
      <c r="D2" s="30"/>
      <c r="E2" s="30"/>
      <c r="F2" s="30"/>
      <c r="G2" s="30"/>
      <c r="H2" s="30"/>
      <c r="I2" s="30"/>
      <c r="J2" s="30"/>
      <c r="K2" s="30"/>
      <c r="L2" s="30"/>
      <c r="M2" s="30"/>
      <c r="N2" s="30"/>
      <c r="O2" s="30"/>
    </row>
    <row r="4" spans="1:15">
      <c r="A4" s="58" t="s">
        <v>188</v>
      </c>
      <c r="B4" s="58" t="s">
        <v>3090</v>
      </c>
      <c r="C4" s="58" t="s">
        <v>4435</v>
      </c>
      <c r="D4" s="58" t="s">
        <v>4476</v>
      </c>
      <c r="E4" s="58" t="s">
        <v>4477</v>
      </c>
      <c r="F4" s="58" t="s">
        <v>4478</v>
      </c>
      <c r="G4" s="58" t="s">
        <v>4268</v>
      </c>
      <c r="H4" s="58" t="s">
        <v>4444</v>
      </c>
      <c r="I4" s="58" t="s">
        <v>4479</v>
      </c>
      <c r="J4" s="58" t="s">
        <v>4480</v>
      </c>
      <c r="K4" s="58" t="s">
        <v>4481</v>
      </c>
      <c r="L4" s="58" t="s">
        <v>4482</v>
      </c>
      <c r="M4" s="58" t="s">
        <v>4483</v>
      </c>
      <c r="N4" s="58" t="s">
        <v>130</v>
      </c>
      <c r="O4" s="58" t="s">
        <v>4452</v>
      </c>
    </row>
    <row r="5" spans="1:15" ht="62.1" customHeight="1">
      <c r="A5" s="8" t="s">
        <v>4416</v>
      </c>
      <c r="B5" s="8" t="s">
        <v>4484</v>
      </c>
      <c r="C5" s="8" t="s">
        <v>4455</v>
      </c>
      <c r="D5" s="8" t="s">
        <v>4485</v>
      </c>
      <c r="E5" s="8" t="s">
        <v>4486</v>
      </c>
      <c r="F5" s="8" t="s">
        <v>4487</v>
      </c>
      <c r="G5" s="8" t="s">
        <v>4488</v>
      </c>
      <c r="H5" s="8" t="s">
        <v>4464</v>
      </c>
      <c r="I5" s="8" t="s">
        <v>4489</v>
      </c>
      <c r="J5" s="8" t="s">
        <v>4490</v>
      </c>
      <c r="K5" s="8" t="s">
        <v>4491</v>
      </c>
      <c r="L5" s="8" t="s">
        <v>4492</v>
      </c>
      <c r="M5" s="8" t="s">
        <v>4493</v>
      </c>
      <c r="N5" s="8" t="s">
        <v>4494</v>
      </c>
      <c r="O5" s="8" t="s">
        <v>4495</v>
      </c>
    </row>
    <row r="6" spans="1:15">
      <c r="A6" s="11"/>
      <c r="B6" s="11"/>
      <c r="C6" s="11"/>
      <c r="D6" s="11"/>
      <c r="E6" s="11"/>
      <c r="F6" s="11"/>
      <c r="G6" s="11"/>
      <c r="H6" s="11"/>
      <c r="I6" s="11"/>
      <c r="J6" s="11"/>
      <c r="K6" s="11"/>
      <c r="L6" s="11"/>
      <c r="M6" s="11"/>
      <c r="N6" s="11"/>
      <c r="O6" s="11"/>
    </row>
    <row r="7" spans="1:15">
      <c r="A7" s="11"/>
      <c r="B7" s="11"/>
      <c r="C7" s="11"/>
      <c r="D7" s="11"/>
      <c r="E7" s="11"/>
      <c r="F7" s="11"/>
      <c r="G7" s="11"/>
      <c r="H7" s="11"/>
      <c r="I7" s="11"/>
      <c r="J7" s="11"/>
      <c r="K7" s="11"/>
      <c r="L7" s="11"/>
      <c r="M7" s="11"/>
      <c r="N7" s="11"/>
      <c r="O7" s="11"/>
    </row>
    <row r="8" spans="1:15">
      <c r="A8" s="11"/>
      <c r="B8" s="11"/>
      <c r="C8" s="11"/>
      <c r="D8" s="11"/>
      <c r="E8" s="11"/>
      <c r="F8" s="11"/>
      <c r="G8" s="11"/>
      <c r="H8" s="11"/>
      <c r="I8" s="11"/>
      <c r="J8" s="11"/>
      <c r="K8" s="11"/>
      <c r="L8" s="11"/>
      <c r="M8" s="11"/>
      <c r="N8" s="11"/>
      <c r="O8" s="11"/>
    </row>
    <row r="9" spans="1:15">
      <c r="A9" s="11"/>
      <c r="B9" s="11"/>
      <c r="C9" s="11"/>
      <c r="D9" s="11"/>
      <c r="E9" s="11"/>
      <c r="F9" s="11"/>
      <c r="G9" s="11"/>
      <c r="H9" s="11"/>
      <c r="I9" s="11"/>
      <c r="J9" s="11"/>
      <c r="K9" s="11"/>
      <c r="L9" s="11"/>
      <c r="M9" s="11"/>
      <c r="N9" s="11"/>
      <c r="O9" s="11"/>
    </row>
    <row r="10" spans="1:15">
      <c r="A10" s="11"/>
      <c r="B10" s="11"/>
      <c r="C10" s="11"/>
      <c r="D10" s="11"/>
      <c r="E10" s="11"/>
      <c r="F10" s="11"/>
      <c r="G10" s="11"/>
      <c r="H10" s="11"/>
      <c r="I10" s="11"/>
      <c r="J10" s="11"/>
      <c r="K10" s="11"/>
      <c r="L10" s="11"/>
      <c r="M10" s="11"/>
      <c r="N10" s="11"/>
      <c r="O10" s="11"/>
    </row>
    <row r="11" spans="1:15">
      <c r="A11" s="11"/>
      <c r="B11" s="11"/>
      <c r="C11" s="11"/>
      <c r="D11" s="11"/>
      <c r="E11" s="11"/>
      <c r="F11" s="11"/>
      <c r="G11" s="11"/>
      <c r="H11" s="11"/>
      <c r="I11" s="11"/>
      <c r="J11" s="11"/>
      <c r="K11" s="11"/>
      <c r="L11" s="11"/>
      <c r="M11" s="11"/>
      <c r="N11" s="11"/>
      <c r="O11" s="11"/>
    </row>
    <row r="12" spans="1:15">
      <c r="A12" s="11"/>
      <c r="B12" s="11"/>
      <c r="C12" s="11"/>
      <c r="D12" s="11"/>
      <c r="E12" s="11"/>
      <c r="F12" s="11"/>
      <c r="G12" s="11"/>
      <c r="H12" s="11"/>
      <c r="I12" s="11"/>
      <c r="J12" s="11"/>
      <c r="K12" s="11"/>
      <c r="L12" s="11"/>
      <c r="M12" s="11"/>
      <c r="N12" s="11"/>
      <c r="O12" s="11"/>
    </row>
    <row r="13" spans="1:15">
      <c r="A13" s="11"/>
      <c r="B13" s="11"/>
      <c r="C13" s="11"/>
      <c r="D13" s="11"/>
      <c r="E13" s="11"/>
      <c r="F13" s="11"/>
      <c r="G13" s="11"/>
      <c r="H13" s="11"/>
      <c r="I13" s="11"/>
      <c r="J13" s="11"/>
      <c r="K13" s="11"/>
      <c r="L13" s="11"/>
      <c r="M13" s="11"/>
      <c r="N13" s="11"/>
      <c r="O13" s="11"/>
    </row>
    <row r="14" spans="1:15">
      <c r="A14" s="11"/>
      <c r="B14" s="11"/>
      <c r="C14" s="11"/>
      <c r="D14" s="11"/>
      <c r="E14" s="11"/>
      <c r="F14" s="11"/>
      <c r="G14" s="11"/>
      <c r="H14" s="11"/>
      <c r="I14" s="11"/>
      <c r="J14" s="11"/>
      <c r="K14" s="11"/>
      <c r="L14" s="11"/>
      <c r="M14" s="11"/>
      <c r="N14" s="11"/>
      <c r="O14" s="11"/>
    </row>
    <row r="15" spans="1:15">
      <c r="A15" s="11"/>
      <c r="B15" s="11"/>
      <c r="C15" s="11"/>
      <c r="D15" s="11"/>
      <c r="E15" s="11"/>
      <c r="F15" s="11"/>
      <c r="G15" s="11"/>
      <c r="H15" s="11"/>
      <c r="I15" s="11"/>
      <c r="J15" s="11"/>
      <c r="K15" s="11"/>
      <c r="L15" s="11"/>
      <c r="M15" s="11"/>
      <c r="N15" s="11"/>
      <c r="O15" s="11"/>
    </row>
    <row r="16" spans="1:15">
      <c r="A16" s="11"/>
      <c r="B16" s="11"/>
      <c r="C16" s="11"/>
      <c r="D16" s="11"/>
      <c r="E16" s="11"/>
      <c r="F16" s="11"/>
      <c r="G16" s="11"/>
      <c r="H16" s="11"/>
      <c r="I16" s="11"/>
      <c r="J16" s="11"/>
      <c r="K16" s="11"/>
      <c r="L16" s="11"/>
      <c r="M16" s="11"/>
      <c r="N16" s="11"/>
      <c r="O16" s="11"/>
    </row>
    <row r="17" spans="1:15">
      <c r="A17" s="11"/>
      <c r="B17" s="11"/>
      <c r="C17" s="11"/>
      <c r="D17" s="11"/>
      <c r="E17" s="11"/>
      <c r="F17" s="11"/>
      <c r="G17" s="11"/>
      <c r="H17" s="11"/>
      <c r="I17" s="11"/>
      <c r="J17" s="11"/>
      <c r="K17" s="11"/>
      <c r="L17" s="11"/>
      <c r="M17" s="11"/>
      <c r="N17" s="11"/>
      <c r="O17" s="11"/>
    </row>
    <row r="18" spans="1:15">
      <c r="A18" s="11"/>
      <c r="B18" s="11"/>
      <c r="C18" s="11"/>
      <c r="D18" s="11"/>
      <c r="E18" s="11"/>
      <c r="F18" s="11"/>
      <c r="G18" s="11"/>
      <c r="H18" s="11"/>
      <c r="I18" s="11"/>
      <c r="J18" s="11"/>
      <c r="K18" s="11"/>
      <c r="L18" s="11"/>
      <c r="M18" s="11"/>
      <c r="N18" s="11"/>
      <c r="O18" s="11"/>
    </row>
    <row r="19" spans="1:15">
      <c r="A19" s="11"/>
      <c r="B19" s="11"/>
      <c r="C19" s="11"/>
      <c r="D19" s="11"/>
      <c r="E19" s="11"/>
      <c r="F19" s="11"/>
      <c r="G19" s="11"/>
      <c r="H19" s="11"/>
      <c r="I19" s="11"/>
      <c r="J19" s="11"/>
      <c r="K19" s="11"/>
      <c r="L19" s="11"/>
      <c r="M19" s="11"/>
      <c r="N19" s="11"/>
      <c r="O19" s="11"/>
    </row>
    <row r="20" spans="1:15">
      <c r="A20" s="11"/>
      <c r="B20" s="11"/>
      <c r="C20" s="11"/>
      <c r="D20" s="11"/>
      <c r="E20" s="11"/>
      <c r="F20" s="11"/>
      <c r="G20" s="11"/>
      <c r="H20" s="11"/>
      <c r="I20" s="11"/>
      <c r="J20" s="11"/>
      <c r="K20" s="11"/>
      <c r="L20" s="11"/>
      <c r="M20" s="11"/>
      <c r="N20" s="11"/>
      <c r="O20" s="11"/>
    </row>
    <row r="21" spans="1:15">
      <c r="A21" s="11"/>
      <c r="B21" s="11"/>
      <c r="C21" s="11"/>
      <c r="D21" s="11"/>
      <c r="E21" s="11"/>
      <c r="F21" s="11"/>
      <c r="G21" s="11"/>
      <c r="H21" s="11"/>
      <c r="I21" s="11"/>
      <c r="J21" s="11"/>
      <c r="K21" s="11"/>
      <c r="L21" s="11"/>
      <c r="M21" s="11"/>
      <c r="N21" s="11"/>
      <c r="O21" s="11"/>
    </row>
    <row r="22" spans="1:15">
      <c r="A22" s="11"/>
      <c r="B22" s="11"/>
      <c r="C22" s="11"/>
      <c r="D22" s="11"/>
      <c r="E22" s="11"/>
      <c r="F22" s="11"/>
      <c r="G22" s="11"/>
      <c r="H22" s="11"/>
      <c r="I22" s="11"/>
      <c r="J22" s="11"/>
      <c r="K22" s="11"/>
      <c r="L22" s="11"/>
      <c r="M22" s="11"/>
      <c r="N22" s="11"/>
      <c r="O22" s="11"/>
    </row>
    <row r="23" spans="1:15">
      <c r="A23" s="11"/>
      <c r="B23" s="11"/>
      <c r="C23" s="11"/>
      <c r="D23" s="11"/>
      <c r="E23" s="11"/>
      <c r="F23" s="11"/>
      <c r="G23" s="11"/>
      <c r="H23" s="11"/>
      <c r="I23" s="11"/>
      <c r="J23" s="11"/>
      <c r="K23" s="11"/>
      <c r="L23" s="11"/>
      <c r="M23" s="11"/>
      <c r="N23" s="11"/>
      <c r="O23" s="11"/>
    </row>
    <row r="24" spans="1:15">
      <c r="A24" s="11"/>
      <c r="B24" s="11"/>
      <c r="C24" s="11"/>
      <c r="D24" s="11"/>
      <c r="E24" s="11"/>
      <c r="F24" s="11"/>
      <c r="G24" s="11"/>
      <c r="H24" s="11"/>
      <c r="I24" s="11"/>
      <c r="J24" s="11"/>
      <c r="K24" s="11"/>
      <c r="L24" s="11"/>
      <c r="M24" s="11"/>
      <c r="N24" s="11"/>
      <c r="O24" s="11"/>
    </row>
    <row r="25" spans="1:15">
      <c r="A25" s="11"/>
      <c r="B25" s="11"/>
      <c r="C25" s="11"/>
      <c r="D25" s="11"/>
      <c r="E25" s="11"/>
      <c r="F25" s="11"/>
      <c r="G25" s="11"/>
      <c r="H25" s="11"/>
      <c r="I25" s="11"/>
      <c r="J25" s="11"/>
      <c r="K25" s="11"/>
      <c r="L25" s="11"/>
      <c r="M25" s="11"/>
      <c r="N25" s="11"/>
      <c r="O25" s="11"/>
    </row>
    <row r="26" spans="1:15">
      <c r="A26" s="11"/>
      <c r="B26" s="11"/>
      <c r="C26" s="11"/>
      <c r="D26" s="11"/>
      <c r="E26" s="11"/>
      <c r="F26" s="11"/>
      <c r="G26" s="11"/>
      <c r="H26" s="11"/>
      <c r="I26" s="11"/>
      <c r="J26" s="11"/>
      <c r="K26" s="11"/>
      <c r="L26" s="11"/>
      <c r="M26" s="11"/>
      <c r="N26" s="11"/>
      <c r="O26" s="11"/>
    </row>
    <row r="27" spans="1:15">
      <c r="A27" s="11"/>
      <c r="B27" s="11"/>
      <c r="C27" s="11"/>
      <c r="D27" s="11"/>
      <c r="E27" s="11"/>
      <c r="F27" s="11"/>
      <c r="G27" s="11"/>
      <c r="H27" s="11"/>
      <c r="I27" s="11"/>
      <c r="J27" s="11"/>
      <c r="K27" s="11"/>
      <c r="L27" s="11"/>
      <c r="M27" s="11"/>
      <c r="N27" s="11"/>
      <c r="O27" s="11"/>
    </row>
    <row r="28" spans="1:15">
      <c r="A28" s="11"/>
      <c r="B28" s="11"/>
      <c r="C28" s="11"/>
      <c r="D28" s="11"/>
      <c r="E28" s="11"/>
      <c r="F28" s="11"/>
      <c r="G28" s="11"/>
      <c r="H28" s="11"/>
      <c r="I28" s="11"/>
      <c r="J28" s="11"/>
      <c r="K28" s="11"/>
      <c r="L28" s="11"/>
      <c r="M28" s="11"/>
      <c r="N28" s="11"/>
      <c r="O28" s="11"/>
    </row>
    <row r="29" spans="1:15">
      <c r="A29" s="11"/>
      <c r="B29" s="11"/>
      <c r="C29" s="11"/>
      <c r="D29" s="11"/>
      <c r="E29" s="11"/>
      <c r="F29" s="11"/>
      <c r="G29" s="11"/>
      <c r="H29" s="11"/>
      <c r="I29" s="11"/>
      <c r="J29" s="11"/>
      <c r="K29" s="11"/>
      <c r="L29" s="11"/>
      <c r="M29" s="11"/>
      <c r="N29" s="11"/>
      <c r="O29" s="11"/>
    </row>
    <row r="30" spans="1:15">
      <c r="A30" s="11"/>
      <c r="B30" s="11"/>
      <c r="C30" s="11"/>
      <c r="D30" s="11"/>
      <c r="E30" s="11"/>
      <c r="F30" s="11"/>
      <c r="G30" s="11"/>
      <c r="H30" s="11"/>
      <c r="I30" s="11"/>
      <c r="J30" s="11"/>
      <c r="K30" s="11"/>
      <c r="L30" s="11"/>
      <c r="M30" s="11"/>
      <c r="N30" s="11"/>
      <c r="O30" s="11"/>
    </row>
    <row r="31" spans="1:15">
      <c r="A31" s="11"/>
      <c r="B31" s="11"/>
      <c r="C31" s="11"/>
      <c r="D31" s="11"/>
      <c r="E31" s="11"/>
      <c r="F31" s="11"/>
      <c r="G31" s="11"/>
      <c r="H31" s="11"/>
      <c r="I31" s="11"/>
      <c r="J31" s="11"/>
      <c r="K31" s="11"/>
      <c r="L31" s="11"/>
      <c r="M31" s="11"/>
      <c r="N31" s="11"/>
      <c r="O31" s="11"/>
    </row>
    <row r="32" spans="1:15">
      <c r="A32" s="11"/>
      <c r="B32" s="11"/>
      <c r="C32" s="11"/>
      <c r="D32" s="11"/>
      <c r="E32" s="11"/>
      <c r="F32" s="11"/>
      <c r="G32" s="11"/>
      <c r="H32" s="11"/>
      <c r="I32" s="11"/>
      <c r="J32" s="11"/>
      <c r="K32" s="11"/>
      <c r="L32" s="11"/>
      <c r="M32" s="11"/>
      <c r="N32" s="11"/>
      <c r="O32" s="11"/>
    </row>
    <row r="33" spans="1:15">
      <c r="A33" s="11"/>
      <c r="B33" s="11"/>
      <c r="C33" s="11"/>
      <c r="D33" s="11"/>
      <c r="E33" s="11"/>
      <c r="F33" s="11"/>
      <c r="G33" s="11"/>
      <c r="H33" s="11"/>
      <c r="I33" s="11"/>
      <c r="J33" s="11"/>
      <c r="K33" s="11"/>
      <c r="L33" s="11"/>
      <c r="M33" s="11"/>
      <c r="N33" s="11"/>
      <c r="O33" s="11"/>
    </row>
    <row r="34" spans="1:15">
      <c r="A34" s="11"/>
      <c r="B34" s="11"/>
      <c r="C34" s="11"/>
      <c r="D34" s="11"/>
      <c r="E34" s="11"/>
      <c r="F34" s="11"/>
      <c r="G34" s="11"/>
      <c r="H34" s="11"/>
      <c r="I34" s="11"/>
      <c r="J34" s="11"/>
      <c r="K34" s="11"/>
      <c r="L34" s="11"/>
      <c r="M34" s="11"/>
      <c r="N34" s="11"/>
      <c r="O34" s="11"/>
    </row>
    <row r="35" spans="1:15">
      <c r="A35" s="11"/>
      <c r="B35" s="11"/>
      <c r="C35" s="11"/>
      <c r="D35" s="11"/>
      <c r="E35" s="11"/>
      <c r="F35" s="11"/>
      <c r="G35" s="11"/>
      <c r="H35" s="11"/>
      <c r="I35" s="11"/>
      <c r="J35" s="11"/>
      <c r="K35" s="11"/>
      <c r="L35" s="11"/>
      <c r="M35" s="11"/>
      <c r="N35" s="11"/>
      <c r="O35" s="11"/>
    </row>
    <row r="36" spans="1:15">
      <c r="A36" s="11"/>
      <c r="B36" s="11"/>
      <c r="C36" s="11"/>
      <c r="D36" s="11"/>
      <c r="E36" s="11"/>
      <c r="F36" s="11"/>
      <c r="G36" s="11"/>
      <c r="H36" s="11"/>
      <c r="I36" s="11"/>
      <c r="J36" s="11"/>
      <c r="K36" s="11"/>
      <c r="L36" s="11"/>
      <c r="M36" s="11"/>
      <c r="N36" s="11"/>
      <c r="O36" s="11"/>
    </row>
    <row r="37" spans="1:15">
      <c r="A37" s="11"/>
      <c r="B37" s="11"/>
      <c r="C37" s="11"/>
      <c r="D37" s="11"/>
      <c r="E37" s="11"/>
      <c r="F37" s="11"/>
      <c r="G37" s="11"/>
      <c r="H37" s="11"/>
      <c r="I37" s="11"/>
      <c r="J37" s="11"/>
      <c r="K37" s="11"/>
      <c r="L37" s="11"/>
      <c r="M37" s="11"/>
      <c r="N37" s="11"/>
      <c r="O37" s="11"/>
    </row>
    <row r="38" spans="1:15">
      <c r="A38" s="11"/>
      <c r="B38" s="11"/>
      <c r="C38" s="11"/>
      <c r="D38" s="11"/>
      <c r="E38" s="11"/>
      <c r="F38" s="11"/>
      <c r="G38" s="11"/>
      <c r="H38" s="11"/>
      <c r="I38" s="11"/>
      <c r="J38" s="11"/>
      <c r="K38" s="11"/>
      <c r="L38" s="11"/>
      <c r="M38" s="11"/>
      <c r="N38" s="11"/>
      <c r="O38" s="11"/>
    </row>
    <row r="39" spans="1:15">
      <c r="A39" s="11"/>
      <c r="B39" s="11"/>
      <c r="C39" s="11"/>
      <c r="D39" s="11"/>
      <c r="E39" s="11"/>
      <c r="F39" s="11"/>
      <c r="G39" s="11"/>
      <c r="H39" s="11"/>
      <c r="I39" s="11"/>
      <c r="J39" s="11"/>
      <c r="K39" s="11"/>
      <c r="L39" s="11"/>
      <c r="M39" s="11"/>
      <c r="N39" s="11"/>
      <c r="O39" s="11"/>
    </row>
    <row r="40" spans="1:15">
      <c r="A40" s="11"/>
      <c r="B40" s="11"/>
      <c r="C40" s="11"/>
      <c r="D40" s="11"/>
      <c r="E40" s="11"/>
      <c r="F40" s="11"/>
      <c r="G40" s="11"/>
      <c r="H40" s="11"/>
      <c r="I40" s="11"/>
      <c r="J40" s="11"/>
      <c r="K40" s="11"/>
      <c r="L40" s="11"/>
      <c r="M40" s="11"/>
      <c r="N40" s="11"/>
      <c r="O40" s="11"/>
    </row>
    <row r="41" spans="1:15">
      <c r="A41" s="11"/>
      <c r="B41" s="11"/>
      <c r="C41" s="11"/>
      <c r="D41" s="11"/>
      <c r="E41" s="11"/>
      <c r="F41" s="11"/>
      <c r="G41" s="11"/>
      <c r="H41" s="11"/>
      <c r="I41" s="11"/>
      <c r="J41" s="11"/>
      <c r="K41" s="11"/>
      <c r="L41" s="11"/>
      <c r="M41" s="11"/>
      <c r="N41" s="11"/>
      <c r="O41" s="11"/>
    </row>
    <row r="42" spans="1:15">
      <c r="A42" s="11"/>
      <c r="B42" s="11"/>
      <c r="C42" s="11"/>
      <c r="D42" s="11"/>
      <c r="E42" s="11"/>
      <c r="F42" s="11"/>
      <c r="G42" s="11"/>
      <c r="H42" s="11"/>
      <c r="I42" s="11"/>
      <c r="J42" s="11"/>
      <c r="K42" s="11"/>
      <c r="L42" s="11"/>
      <c r="M42" s="11"/>
      <c r="N42" s="11"/>
      <c r="O42" s="11"/>
    </row>
    <row r="43" spans="1:15">
      <c r="A43" s="11"/>
      <c r="B43" s="11"/>
      <c r="C43" s="11"/>
      <c r="D43" s="11"/>
      <c r="E43" s="11"/>
      <c r="F43" s="11"/>
      <c r="G43" s="11"/>
      <c r="H43" s="11"/>
      <c r="I43" s="11"/>
      <c r="J43" s="11"/>
      <c r="K43" s="11"/>
      <c r="L43" s="11"/>
      <c r="M43" s="11"/>
      <c r="N43" s="11"/>
      <c r="O43" s="11"/>
    </row>
    <row r="44" spans="1:15">
      <c r="A44" s="11"/>
      <c r="B44" s="11"/>
      <c r="C44" s="11"/>
      <c r="D44" s="11"/>
      <c r="E44" s="11"/>
      <c r="F44" s="11"/>
      <c r="G44" s="11"/>
      <c r="H44" s="11"/>
      <c r="I44" s="11"/>
      <c r="J44" s="11"/>
      <c r="K44" s="11"/>
      <c r="L44" s="11"/>
      <c r="M44" s="11"/>
      <c r="N44" s="11"/>
      <c r="O44" s="11"/>
    </row>
    <row r="45" spans="1:15">
      <c r="A45" s="11"/>
      <c r="B45" s="11"/>
      <c r="C45" s="11"/>
      <c r="D45" s="11"/>
      <c r="E45" s="11"/>
      <c r="F45" s="11"/>
      <c r="G45" s="11"/>
      <c r="H45" s="11"/>
      <c r="I45" s="11"/>
      <c r="J45" s="11"/>
      <c r="K45" s="11"/>
      <c r="L45" s="11"/>
      <c r="M45" s="11"/>
      <c r="N45" s="11"/>
      <c r="O45" s="11"/>
    </row>
    <row r="46" spans="1:15">
      <c r="A46" s="11"/>
      <c r="B46" s="11"/>
      <c r="C46" s="11"/>
      <c r="D46" s="11"/>
      <c r="E46" s="11"/>
      <c r="F46" s="11"/>
      <c r="G46" s="11"/>
      <c r="H46" s="11"/>
      <c r="I46" s="11"/>
      <c r="J46" s="11"/>
      <c r="K46" s="11"/>
      <c r="L46" s="11"/>
      <c r="M46" s="11"/>
      <c r="N46" s="11"/>
      <c r="O46" s="11"/>
    </row>
    <row r="47" spans="1:15">
      <c r="A47" s="11"/>
      <c r="B47" s="11"/>
      <c r="C47" s="11"/>
      <c r="D47" s="11"/>
      <c r="E47" s="11"/>
      <c r="F47" s="11"/>
      <c r="G47" s="11"/>
      <c r="H47" s="11"/>
      <c r="I47" s="11"/>
      <c r="J47" s="11"/>
      <c r="K47" s="11"/>
      <c r="L47" s="11"/>
      <c r="M47" s="11"/>
      <c r="N47" s="11"/>
      <c r="O47" s="11"/>
    </row>
    <row r="48" spans="1:15">
      <c r="A48" s="11"/>
      <c r="B48" s="11"/>
      <c r="C48" s="11"/>
      <c r="D48" s="11"/>
      <c r="E48" s="11"/>
      <c r="F48" s="11"/>
      <c r="G48" s="11"/>
      <c r="H48" s="11"/>
      <c r="I48" s="11"/>
      <c r="J48" s="11"/>
      <c r="K48" s="11"/>
      <c r="L48" s="11"/>
      <c r="M48" s="11"/>
      <c r="N48" s="11"/>
      <c r="O48" s="11"/>
    </row>
    <row r="49" spans="1:15">
      <c r="A49" s="11"/>
      <c r="B49" s="11"/>
      <c r="C49" s="11"/>
      <c r="D49" s="11"/>
      <c r="E49" s="11"/>
      <c r="F49" s="11"/>
      <c r="G49" s="11"/>
      <c r="H49" s="11"/>
      <c r="I49" s="11"/>
      <c r="J49" s="11"/>
      <c r="K49" s="11"/>
      <c r="L49" s="11"/>
      <c r="M49" s="11"/>
      <c r="N49" s="11"/>
      <c r="O49" s="11"/>
    </row>
    <row r="50" spans="1:15">
      <c r="A50" s="11"/>
      <c r="B50" s="11"/>
      <c r="C50" s="11"/>
      <c r="D50" s="11"/>
      <c r="E50" s="11"/>
      <c r="F50" s="11"/>
      <c r="G50" s="11"/>
      <c r="H50" s="11"/>
      <c r="I50" s="11"/>
      <c r="J50" s="11"/>
      <c r="K50" s="11"/>
      <c r="L50" s="11"/>
      <c r="M50" s="11"/>
      <c r="N50" s="11"/>
      <c r="O50" s="11"/>
    </row>
    <row r="51" spans="1:15">
      <c r="A51" s="11"/>
      <c r="B51" s="11"/>
      <c r="C51" s="11"/>
      <c r="D51" s="11"/>
      <c r="E51" s="11"/>
      <c r="F51" s="11"/>
      <c r="G51" s="11"/>
      <c r="H51" s="11"/>
      <c r="I51" s="11"/>
      <c r="J51" s="11"/>
      <c r="K51" s="11"/>
      <c r="L51" s="11"/>
      <c r="M51" s="11"/>
      <c r="N51" s="11"/>
      <c r="O51" s="11"/>
    </row>
    <row r="52" spans="1:15">
      <c r="A52" s="11"/>
      <c r="B52" s="11"/>
      <c r="C52" s="11"/>
      <c r="D52" s="11"/>
      <c r="E52" s="11"/>
      <c r="F52" s="11"/>
      <c r="G52" s="11"/>
      <c r="H52" s="11"/>
      <c r="I52" s="11"/>
      <c r="J52" s="11"/>
      <c r="K52" s="11"/>
      <c r="L52" s="11"/>
      <c r="M52" s="11"/>
      <c r="N52" s="11"/>
      <c r="O52" s="11"/>
    </row>
    <row r="53" spans="1:15">
      <c r="A53" s="11"/>
      <c r="B53" s="11"/>
      <c r="C53" s="11"/>
      <c r="D53" s="11"/>
      <c r="E53" s="11"/>
      <c r="F53" s="11"/>
      <c r="G53" s="11"/>
      <c r="H53" s="11"/>
      <c r="I53" s="11"/>
      <c r="J53" s="11"/>
      <c r="K53" s="11"/>
      <c r="L53" s="11"/>
      <c r="M53" s="11"/>
      <c r="N53" s="11"/>
      <c r="O53" s="11"/>
    </row>
    <row r="54" spans="1:15">
      <c r="A54" s="11"/>
      <c r="B54" s="11"/>
      <c r="C54" s="11"/>
      <c r="D54" s="11"/>
      <c r="E54" s="11"/>
      <c r="F54" s="11"/>
      <c r="G54" s="11"/>
      <c r="H54" s="11"/>
      <c r="I54" s="11"/>
      <c r="J54" s="11"/>
      <c r="K54" s="11"/>
      <c r="L54" s="11"/>
      <c r="M54" s="11"/>
      <c r="N54" s="11"/>
      <c r="O54" s="11"/>
    </row>
    <row r="55" spans="1:15">
      <c r="A55" s="11"/>
      <c r="B55" s="11"/>
      <c r="C55" s="11"/>
      <c r="D55" s="11"/>
      <c r="E55" s="11"/>
      <c r="F55" s="11"/>
      <c r="G55" s="11"/>
      <c r="H55" s="11"/>
      <c r="I55" s="11"/>
      <c r="J55" s="11"/>
      <c r="K55" s="11"/>
      <c r="L55" s="11"/>
      <c r="M55" s="11"/>
      <c r="N55" s="11"/>
      <c r="O55" s="11"/>
    </row>
    <row r="56" spans="1:15">
      <c r="A56" s="11"/>
      <c r="B56" s="11"/>
      <c r="C56" s="11"/>
      <c r="D56" s="11"/>
      <c r="E56" s="11"/>
      <c r="F56" s="11"/>
      <c r="G56" s="11"/>
      <c r="H56" s="11"/>
      <c r="I56" s="11"/>
      <c r="J56" s="11"/>
      <c r="K56" s="11"/>
      <c r="L56" s="11"/>
      <c r="M56" s="11"/>
      <c r="N56" s="11"/>
      <c r="O56" s="11"/>
    </row>
    <row r="57" spans="1:15">
      <c r="A57" s="11"/>
      <c r="B57" s="11"/>
      <c r="C57" s="11"/>
      <c r="D57" s="11"/>
      <c r="E57" s="11"/>
      <c r="F57" s="11"/>
      <c r="G57" s="11"/>
      <c r="H57" s="11"/>
      <c r="I57" s="11"/>
      <c r="J57" s="11"/>
      <c r="K57" s="11"/>
      <c r="L57" s="11"/>
      <c r="M57" s="11"/>
      <c r="N57" s="11"/>
      <c r="O57" s="11"/>
    </row>
    <row r="58" spans="1:15">
      <c r="A58" s="11"/>
      <c r="B58" s="11"/>
      <c r="C58" s="11"/>
      <c r="D58" s="11"/>
      <c r="E58" s="11"/>
      <c r="F58" s="11"/>
      <c r="G58" s="11"/>
      <c r="H58" s="11"/>
      <c r="I58" s="11"/>
      <c r="J58" s="11"/>
      <c r="K58" s="11"/>
      <c r="L58" s="11"/>
      <c r="M58" s="11"/>
      <c r="N58" s="11"/>
      <c r="O58" s="11"/>
    </row>
    <row r="59" spans="1:15">
      <c r="A59" s="11"/>
      <c r="B59" s="11"/>
      <c r="C59" s="11"/>
      <c r="D59" s="11"/>
      <c r="E59" s="11"/>
      <c r="F59" s="11"/>
      <c r="G59" s="11"/>
      <c r="H59" s="11"/>
      <c r="I59" s="11"/>
      <c r="J59" s="11"/>
      <c r="K59" s="11"/>
      <c r="L59" s="11"/>
      <c r="M59" s="11"/>
      <c r="N59" s="11"/>
      <c r="O59" s="11"/>
    </row>
    <row r="60" spans="1:15">
      <c r="A60" s="11"/>
      <c r="B60" s="11"/>
      <c r="C60" s="11"/>
      <c r="D60" s="11"/>
      <c r="E60" s="11"/>
      <c r="F60" s="11"/>
      <c r="G60" s="11"/>
      <c r="H60" s="11"/>
      <c r="I60" s="11"/>
      <c r="J60" s="11"/>
      <c r="K60" s="11"/>
      <c r="L60" s="11"/>
      <c r="M60" s="11"/>
      <c r="N60" s="11"/>
      <c r="O60" s="11"/>
    </row>
    <row r="61" spans="1:15">
      <c r="A61" s="11"/>
      <c r="B61" s="11"/>
      <c r="C61" s="11"/>
      <c r="D61" s="11"/>
      <c r="E61" s="11"/>
      <c r="F61" s="11"/>
      <c r="G61" s="11"/>
      <c r="H61" s="11"/>
      <c r="I61" s="11"/>
      <c r="J61" s="11"/>
      <c r="K61" s="11"/>
      <c r="L61" s="11"/>
      <c r="M61" s="11"/>
      <c r="N61" s="11"/>
      <c r="O61" s="11"/>
    </row>
    <row r="62" spans="1:15">
      <c r="A62" s="11"/>
      <c r="B62" s="11"/>
      <c r="C62" s="11"/>
      <c r="D62" s="11"/>
      <c r="E62" s="11"/>
      <c r="F62" s="11"/>
      <c r="G62" s="11"/>
      <c r="H62" s="11"/>
      <c r="I62" s="11"/>
      <c r="J62" s="11"/>
      <c r="K62" s="11"/>
      <c r="L62" s="11"/>
      <c r="M62" s="11"/>
      <c r="N62" s="11"/>
      <c r="O62" s="11"/>
    </row>
    <row r="63" spans="1:15">
      <c r="A63" s="11"/>
      <c r="B63" s="11"/>
      <c r="C63" s="11"/>
      <c r="D63" s="11"/>
      <c r="E63" s="11"/>
      <c r="F63" s="11"/>
      <c r="G63" s="11"/>
      <c r="H63" s="11"/>
      <c r="I63" s="11"/>
      <c r="J63" s="11"/>
      <c r="K63" s="11"/>
      <c r="L63" s="11"/>
      <c r="M63" s="11"/>
      <c r="N63" s="11"/>
      <c r="O63" s="11"/>
    </row>
    <row r="64" spans="1:15">
      <c r="A64" s="11"/>
      <c r="B64" s="11"/>
      <c r="C64" s="11"/>
      <c r="D64" s="11"/>
      <c r="E64" s="11"/>
      <c r="F64" s="11"/>
      <c r="G64" s="11"/>
      <c r="H64" s="11"/>
      <c r="I64" s="11"/>
      <c r="J64" s="11"/>
      <c r="K64" s="11"/>
      <c r="L64" s="11"/>
      <c r="M64" s="11"/>
      <c r="N64" s="11"/>
      <c r="O64" s="11"/>
    </row>
    <row r="65" spans="1:15">
      <c r="A65" s="11"/>
      <c r="B65" s="11"/>
      <c r="C65" s="11"/>
      <c r="D65" s="11"/>
      <c r="E65" s="11"/>
      <c r="F65" s="11"/>
      <c r="G65" s="11"/>
      <c r="H65" s="11"/>
      <c r="I65" s="11"/>
      <c r="J65" s="11"/>
      <c r="K65" s="11"/>
      <c r="L65" s="11"/>
      <c r="M65" s="11"/>
      <c r="N65" s="11"/>
      <c r="O65" s="11"/>
    </row>
    <row r="66" spans="1:15">
      <c r="A66" s="11"/>
      <c r="B66" s="11"/>
      <c r="C66" s="11"/>
      <c r="D66" s="11"/>
      <c r="E66" s="11"/>
      <c r="F66" s="11"/>
      <c r="G66" s="11"/>
      <c r="H66" s="11"/>
      <c r="I66" s="11"/>
      <c r="J66" s="11"/>
      <c r="K66" s="11"/>
      <c r="L66" s="11"/>
      <c r="M66" s="11"/>
      <c r="N66" s="11"/>
      <c r="O66" s="11"/>
    </row>
    <row r="67" spans="1:15">
      <c r="A67" s="11"/>
      <c r="B67" s="11"/>
      <c r="C67" s="11"/>
      <c r="D67" s="11"/>
      <c r="E67" s="11"/>
      <c r="F67" s="11"/>
      <c r="G67" s="11"/>
      <c r="H67" s="11"/>
      <c r="I67" s="11"/>
      <c r="J67" s="11"/>
      <c r="K67" s="11"/>
      <c r="L67" s="11"/>
      <c r="M67" s="11"/>
      <c r="N67" s="11"/>
      <c r="O67" s="11"/>
    </row>
    <row r="68" spans="1:15">
      <c r="A68" s="11"/>
      <c r="B68" s="11"/>
      <c r="C68" s="11"/>
      <c r="D68" s="11"/>
      <c r="E68" s="11"/>
      <c r="F68" s="11"/>
      <c r="G68" s="11"/>
      <c r="H68" s="11"/>
      <c r="I68" s="11"/>
      <c r="J68" s="11"/>
      <c r="K68" s="11"/>
      <c r="L68" s="11"/>
      <c r="M68" s="11"/>
      <c r="N68" s="11"/>
      <c r="O68" s="11"/>
    </row>
    <row r="69" spans="1:15">
      <c r="A69" s="11"/>
      <c r="B69" s="11"/>
      <c r="C69" s="11"/>
      <c r="D69" s="11"/>
      <c r="E69" s="11"/>
      <c r="F69" s="11"/>
      <c r="G69" s="11"/>
      <c r="H69" s="11"/>
      <c r="I69" s="11"/>
      <c r="J69" s="11"/>
      <c r="K69" s="11"/>
      <c r="L69" s="11"/>
      <c r="M69" s="11"/>
      <c r="N69" s="11"/>
      <c r="O69" s="11"/>
    </row>
    <row r="70" spans="1:15">
      <c r="A70" s="11"/>
      <c r="B70" s="11"/>
      <c r="C70" s="11"/>
      <c r="D70" s="11"/>
      <c r="E70" s="11"/>
      <c r="F70" s="11"/>
      <c r="G70" s="11"/>
      <c r="H70" s="11"/>
      <c r="I70" s="11"/>
      <c r="J70" s="11"/>
      <c r="K70" s="11"/>
      <c r="L70" s="11"/>
      <c r="M70" s="11"/>
      <c r="N70" s="11"/>
      <c r="O70" s="11"/>
    </row>
    <row r="71" spans="1:15">
      <c r="A71" s="11"/>
      <c r="B71" s="11"/>
      <c r="C71" s="11"/>
      <c r="D71" s="11"/>
      <c r="E71" s="11"/>
      <c r="F71" s="11"/>
      <c r="G71" s="11"/>
      <c r="H71" s="11"/>
      <c r="I71" s="11"/>
      <c r="J71" s="11"/>
      <c r="K71" s="11"/>
      <c r="L71" s="11"/>
      <c r="M71" s="11"/>
      <c r="N71" s="11"/>
      <c r="O71" s="11"/>
    </row>
    <row r="72" spans="1:15">
      <c r="A72" s="11"/>
      <c r="B72" s="11"/>
      <c r="C72" s="11"/>
      <c r="D72" s="11"/>
      <c r="E72" s="11"/>
      <c r="F72" s="11"/>
      <c r="G72" s="11"/>
      <c r="H72" s="11"/>
      <c r="I72" s="11"/>
      <c r="J72" s="11"/>
      <c r="K72" s="11"/>
      <c r="L72" s="11"/>
      <c r="M72" s="11"/>
      <c r="N72" s="11"/>
      <c r="O72" s="11"/>
    </row>
    <row r="73" spans="1:15">
      <c r="A73" s="11"/>
      <c r="B73" s="11"/>
      <c r="C73" s="11"/>
      <c r="D73" s="11"/>
      <c r="E73" s="11"/>
      <c r="F73" s="11"/>
      <c r="G73" s="11"/>
      <c r="H73" s="11"/>
      <c r="I73" s="11"/>
      <c r="J73" s="11"/>
      <c r="K73" s="11"/>
      <c r="L73" s="11"/>
      <c r="M73" s="11"/>
      <c r="N73" s="11"/>
      <c r="O73" s="11"/>
    </row>
    <row r="74" spans="1:15">
      <c r="A74" s="11"/>
      <c r="B74" s="11"/>
      <c r="C74" s="11"/>
      <c r="D74" s="11"/>
      <c r="E74" s="11"/>
      <c r="F74" s="11"/>
      <c r="G74" s="11"/>
      <c r="H74" s="11"/>
      <c r="I74" s="11"/>
      <c r="J74" s="11"/>
      <c r="K74" s="11"/>
      <c r="L74" s="11"/>
      <c r="M74" s="11"/>
      <c r="N74" s="11"/>
      <c r="O74" s="11"/>
    </row>
    <row r="75" spans="1:15">
      <c r="A75" s="11"/>
      <c r="B75" s="11"/>
      <c r="C75" s="11"/>
      <c r="D75" s="11"/>
      <c r="E75" s="11"/>
      <c r="F75" s="11"/>
      <c r="G75" s="11"/>
      <c r="H75" s="11"/>
      <c r="I75" s="11"/>
      <c r="J75" s="11"/>
      <c r="K75" s="11"/>
      <c r="L75" s="11"/>
      <c r="M75" s="11"/>
      <c r="N75" s="11"/>
      <c r="O75" s="11"/>
    </row>
    <row r="76" spans="1:15">
      <c r="A76" s="11"/>
      <c r="B76" s="11"/>
      <c r="C76" s="11"/>
      <c r="D76" s="11"/>
      <c r="E76" s="11"/>
      <c r="F76" s="11"/>
      <c r="G76" s="11"/>
      <c r="H76" s="11"/>
      <c r="I76" s="11"/>
      <c r="J76" s="11"/>
      <c r="K76" s="11"/>
      <c r="L76" s="11"/>
      <c r="M76" s="11"/>
      <c r="N76" s="11"/>
      <c r="O76" s="11"/>
    </row>
    <row r="77" spans="1:15">
      <c r="A77" s="11"/>
      <c r="B77" s="11"/>
      <c r="C77" s="11"/>
      <c r="D77" s="11"/>
      <c r="E77" s="11"/>
      <c r="F77" s="11"/>
      <c r="G77" s="11"/>
      <c r="H77" s="11"/>
      <c r="I77" s="11"/>
      <c r="J77" s="11"/>
      <c r="K77" s="11"/>
      <c r="L77" s="11"/>
      <c r="M77" s="11"/>
      <c r="N77" s="11"/>
      <c r="O77" s="11"/>
    </row>
    <row r="78" spans="1:15">
      <c r="A78" s="11"/>
      <c r="B78" s="11"/>
      <c r="C78" s="11"/>
      <c r="D78" s="11"/>
      <c r="E78" s="11"/>
      <c r="F78" s="11"/>
      <c r="G78" s="11"/>
      <c r="H78" s="11"/>
      <c r="I78" s="11"/>
      <c r="J78" s="11"/>
      <c r="K78" s="11"/>
      <c r="L78" s="11"/>
      <c r="M78" s="11"/>
      <c r="N78" s="11"/>
      <c r="O78" s="11"/>
    </row>
    <row r="79" spans="1:15">
      <c r="A79" s="11"/>
      <c r="B79" s="11"/>
      <c r="C79" s="11"/>
      <c r="D79" s="11"/>
      <c r="E79" s="11"/>
      <c r="F79" s="11"/>
      <c r="G79" s="11"/>
      <c r="H79" s="11"/>
      <c r="I79" s="11"/>
      <c r="J79" s="11"/>
      <c r="K79" s="11"/>
      <c r="L79" s="11"/>
      <c r="M79" s="11"/>
      <c r="N79" s="11"/>
      <c r="O79" s="11"/>
    </row>
    <row r="80" spans="1:15">
      <c r="A80" s="11"/>
      <c r="B80" s="11"/>
      <c r="C80" s="11"/>
      <c r="D80" s="11"/>
      <c r="E80" s="11"/>
      <c r="F80" s="11"/>
      <c r="G80" s="11"/>
      <c r="H80" s="11"/>
      <c r="I80" s="11"/>
      <c r="J80" s="11"/>
      <c r="K80" s="11"/>
      <c r="L80" s="11"/>
      <c r="M80" s="11"/>
      <c r="N80" s="11"/>
      <c r="O80" s="11"/>
    </row>
    <row r="81" spans="1:15">
      <c r="A81" s="11"/>
      <c r="B81" s="11"/>
      <c r="C81" s="11"/>
      <c r="D81" s="11"/>
      <c r="E81" s="11"/>
      <c r="F81" s="11"/>
      <c r="G81" s="11"/>
      <c r="H81" s="11"/>
      <c r="I81" s="11"/>
      <c r="J81" s="11"/>
      <c r="K81" s="11"/>
      <c r="L81" s="11"/>
      <c r="M81" s="11"/>
      <c r="N81" s="11"/>
      <c r="O81" s="11"/>
    </row>
    <row r="82" spans="1:15">
      <c r="A82" s="11"/>
      <c r="B82" s="11"/>
      <c r="C82" s="11"/>
      <c r="D82" s="11"/>
      <c r="E82" s="11"/>
      <c r="F82" s="11"/>
      <c r="G82" s="11"/>
      <c r="H82" s="11"/>
      <c r="I82" s="11"/>
      <c r="J82" s="11"/>
      <c r="K82" s="11"/>
      <c r="L82" s="11"/>
      <c r="M82" s="11"/>
      <c r="N82" s="11"/>
      <c r="O82" s="11"/>
    </row>
    <row r="83" spans="1:15">
      <c r="A83" s="11"/>
      <c r="B83" s="11"/>
      <c r="C83" s="11"/>
      <c r="D83" s="11"/>
      <c r="E83" s="11"/>
      <c r="F83" s="11"/>
      <c r="G83" s="11"/>
      <c r="H83" s="11"/>
      <c r="I83" s="11"/>
      <c r="J83" s="11"/>
      <c r="K83" s="11"/>
      <c r="L83" s="11"/>
      <c r="M83" s="11"/>
      <c r="N83" s="11"/>
      <c r="O83" s="11"/>
    </row>
    <row r="84" spans="1:15">
      <c r="A84" s="11"/>
      <c r="B84" s="11"/>
      <c r="C84" s="11"/>
      <c r="D84" s="11"/>
      <c r="E84" s="11"/>
      <c r="F84" s="11"/>
      <c r="G84" s="11"/>
      <c r="H84" s="11"/>
      <c r="I84" s="11"/>
      <c r="J84" s="11"/>
      <c r="K84" s="11"/>
      <c r="L84" s="11"/>
      <c r="M84" s="11"/>
      <c r="N84" s="11"/>
      <c r="O84" s="11"/>
    </row>
    <row r="85" spans="1:15">
      <c r="A85" s="11"/>
      <c r="B85" s="11"/>
      <c r="C85" s="11"/>
      <c r="D85" s="11"/>
      <c r="E85" s="11"/>
      <c r="F85" s="11"/>
      <c r="G85" s="11"/>
      <c r="H85" s="11"/>
      <c r="I85" s="11"/>
      <c r="J85" s="11"/>
      <c r="K85" s="11"/>
      <c r="L85" s="11"/>
      <c r="M85" s="11"/>
      <c r="N85" s="11"/>
      <c r="O85" s="11"/>
    </row>
    <row r="86" spans="1:15">
      <c r="A86" s="11"/>
      <c r="B86" s="11"/>
      <c r="C86" s="11"/>
      <c r="D86" s="11"/>
      <c r="E86" s="11"/>
      <c r="F86" s="11"/>
      <c r="G86" s="11"/>
      <c r="H86" s="11"/>
      <c r="I86" s="11"/>
      <c r="J86" s="11"/>
      <c r="K86" s="11"/>
      <c r="L86" s="11"/>
      <c r="M86" s="11"/>
      <c r="N86" s="11"/>
      <c r="O86" s="11"/>
    </row>
    <row r="87" spans="1:15">
      <c r="A87" s="11"/>
      <c r="B87" s="11"/>
      <c r="C87" s="11"/>
      <c r="D87" s="11"/>
      <c r="E87" s="11"/>
      <c r="F87" s="11"/>
      <c r="G87" s="11"/>
      <c r="H87" s="11"/>
      <c r="I87" s="11"/>
      <c r="J87" s="11"/>
      <c r="K87" s="11"/>
      <c r="L87" s="11"/>
      <c r="M87" s="11"/>
      <c r="N87" s="11"/>
      <c r="O87" s="11"/>
    </row>
    <row r="88" spans="1:15">
      <c r="A88" s="11"/>
      <c r="B88" s="11"/>
      <c r="C88" s="11"/>
      <c r="D88" s="11"/>
      <c r="E88" s="11"/>
      <c r="F88" s="11"/>
      <c r="G88" s="11"/>
      <c r="H88" s="11"/>
      <c r="I88" s="11"/>
      <c r="J88" s="11"/>
      <c r="K88" s="11"/>
      <c r="L88" s="11"/>
      <c r="M88" s="11"/>
      <c r="N88" s="11"/>
      <c r="O88" s="11"/>
    </row>
    <row r="89" spans="1:15">
      <c r="A89" s="11"/>
      <c r="B89" s="11"/>
      <c r="C89" s="11"/>
      <c r="D89" s="11"/>
      <c r="E89" s="11"/>
      <c r="F89" s="11"/>
      <c r="G89" s="11"/>
      <c r="H89" s="11"/>
      <c r="I89" s="11"/>
      <c r="J89" s="11"/>
      <c r="K89" s="11"/>
      <c r="L89" s="11"/>
      <c r="M89" s="11"/>
      <c r="N89" s="11"/>
      <c r="O89" s="11"/>
    </row>
    <row r="90" spans="1:15">
      <c r="A90" s="11"/>
      <c r="B90" s="11"/>
      <c r="C90" s="11"/>
      <c r="D90" s="11"/>
      <c r="E90" s="11"/>
      <c r="F90" s="11"/>
      <c r="G90" s="11"/>
      <c r="H90" s="11"/>
      <c r="I90" s="11"/>
      <c r="J90" s="11"/>
      <c r="K90" s="11"/>
      <c r="L90" s="11"/>
      <c r="M90" s="11"/>
      <c r="N90" s="11"/>
      <c r="O90" s="11"/>
    </row>
    <row r="91" spans="1:15">
      <c r="A91" s="11"/>
      <c r="B91" s="11"/>
      <c r="C91" s="11"/>
      <c r="D91" s="11"/>
      <c r="E91" s="11"/>
      <c r="F91" s="11"/>
      <c r="G91" s="11"/>
      <c r="H91" s="11"/>
      <c r="I91" s="11"/>
      <c r="J91" s="11"/>
      <c r="K91" s="11"/>
      <c r="L91" s="11"/>
      <c r="M91" s="11"/>
      <c r="N91" s="11"/>
      <c r="O91" s="11"/>
    </row>
    <row r="92" spans="1:15">
      <c r="A92" s="11"/>
      <c r="B92" s="11"/>
      <c r="C92" s="11"/>
      <c r="D92" s="11"/>
      <c r="E92" s="11"/>
      <c r="F92" s="11"/>
      <c r="G92" s="11"/>
      <c r="H92" s="11"/>
      <c r="I92" s="11"/>
      <c r="J92" s="11"/>
      <c r="K92" s="11"/>
      <c r="L92" s="11"/>
      <c r="M92" s="11"/>
      <c r="N92" s="11"/>
      <c r="O92" s="11"/>
    </row>
    <row r="93" spans="1:15">
      <c r="A93" s="11"/>
      <c r="B93" s="11"/>
      <c r="C93" s="11"/>
      <c r="D93" s="11"/>
      <c r="E93" s="11"/>
      <c r="F93" s="11"/>
      <c r="G93" s="11"/>
      <c r="H93" s="11"/>
      <c r="I93" s="11"/>
      <c r="J93" s="11"/>
      <c r="K93" s="11"/>
      <c r="L93" s="11"/>
      <c r="M93" s="11"/>
      <c r="N93" s="11"/>
      <c r="O93" s="11"/>
    </row>
    <row r="94" spans="1:15">
      <c r="A94" s="11"/>
      <c r="B94" s="11"/>
      <c r="C94" s="11"/>
      <c r="D94" s="11"/>
      <c r="E94" s="11"/>
      <c r="F94" s="11"/>
      <c r="G94" s="11"/>
      <c r="H94" s="11"/>
      <c r="I94" s="11"/>
      <c r="J94" s="11"/>
      <c r="K94" s="11"/>
      <c r="L94" s="11"/>
      <c r="M94" s="11"/>
      <c r="N94" s="11"/>
      <c r="O94" s="11"/>
    </row>
    <row r="95" spans="1:15">
      <c r="A95" s="11"/>
      <c r="B95" s="11"/>
      <c r="C95" s="11"/>
      <c r="D95" s="11"/>
      <c r="E95" s="11"/>
      <c r="F95" s="11"/>
      <c r="G95" s="11"/>
      <c r="H95" s="11"/>
      <c r="I95" s="11"/>
      <c r="J95" s="11"/>
      <c r="K95" s="11"/>
      <c r="L95" s="11"/>
      <c r="M95" s="11"/>
      <c r="N95" s="11"/>
      <c r="O95" s="11"/>
    </row>
    <row r="96" spans="1:15">
      <c r="A96" s="11"/>
      <c r="B96" s="11"/>
      <c r="C96" s="11"/>
      <c r="D96" s="11"/>
      <c r="E96" s="11"/>
      <c r="F96" s="11"/>
      <c r="G96" s="11"/>
      <c r="H96" s="11"/>
      <c r="I96" s="11"/>
      <c r="J96" s="11"/>
      <c r="K96" s="11"/>
      <c r="L96" s="11"/>
      <c r="M96" s="11"/>
      <c r="N96" s="11"/>
      <c r="O96" s="11"/>
    </row>
    <row r="97" spans="1:15">
      <c r="A97" s="11"/>
      <c r="B97" s="11"/>
      <c r="C97" s="11"/>
      <c r="D97" s="11"/>
      <c r="E97" s="11"/>
      <c r="F97" s="11"/>
      <c r="G97" s="11"/>
      <c r="H97" s="11"/>
      <c r="I97" s="11"/>
      <c r="J97" s="11"/>
      <c r="K97" s="11"/>
      <c r="L97" s="11"/>
      <c r="M97" s="11"/>
      <c r="N97" s="11"/>
      <c r="O97" s="11"/>
    </row>
    <row r="98" spans="1:15">
      <c r="A98" s="11"/>
      <c r="B98" s="11"/>
      <c r="C98" s="11"/>
      <c r="D98" s="11"/>
      <c r="E98" s="11"/>
      <c r="F98" s="11"/>
      <c r="G98" s="11"/>
      <c r="H98" s="11"/>
      <c r="I98" s="11"/>
      <c r="J98" s="11"/>
      <c r="K98" s="11"/>
      <c r="L98" s="11"/>
      <c r="M98" s="11"/>
      <c r="N98" s="11"/>
      <c r="O98" s="11"/>
    </row>
    <row r="99" spans="1:15">
      <c r="A99" s="11"/>
      <c r="B99" s="11"/>
      <c r="C99" s="11"/>
      <c r="D99" s="11"/>
      <c r="E99" s="11"/>
      <c r="F99" s="11"/>
      <c r="G99" s="11"/>
      <c r="H99" s="11"/>
      <c r="I99" s="11"/>
      <c r="J99" s="11"/>
      <c r="K99" s="11"/>
      <c r="L99" s="11"/>
      <c r="M99" s="11"/>
      <c r="N99" s="11"/>
      <c r="O99" s="11"/>
    </row>
    <row r="100" spans="1:15">
      <c r="A100" s="11"/>
      <c r="B100" s="11"/>
      <c r="C100" s="11"/>
      <c r="D100" s="11"/>
      <c r="E100" s="11"/>
      <c r="F100" s="11"/>
      <c r="G100" s="11"/>
      <c r="H100" s="11"/>
      <c r="I100" s="11"/>
      <c r="J100" s="11"/>
      <c r="K100" s="11"/>
      <c r="L100" s="11"/>
      <c r="M100" s="11"/>
      <c r="N100" s="11"/>
      <c r="O100" s="11"/>
    </row>
    <row r="101" spans="1:15">
      <c r="A101" s="11"/>
      <c r="B101" s="11"/>
      <c r="C101" s="11"/>
      <c r="D101" s="11"/>
      <c r="E101" s="11"/>
      <c r="F101" s="11"/>
      <c r="G101" s="11"/>
      <c r="H101" s="11"/>
      <c r="I101" s="11"/>
      <c r="J101" s="11"/>
      <c r="K101" s="11"/>
      <c r="L101" s="11"/>
      <c r="M101" s="11"/>
      <c r="N101" s="11"/>
      <c r="O101" s="11"/>
    </row>
    <row r="102" spans="1:15">
      <c r="A102" s="11"/>
      <c r="B102" s="11"/>
      <c r="C102" s="11"/>
      <c r="D102" s="11"/>
      <c r="E102" s="11"/>
      <c r="F102" s="11"/>
      <c r="G102" s="11"/>
      <c r="H102" s="11"/>
      <c r="I102" s="11"/>
      <c r="J102" s="11"/>
      <c r="K102" s="11"/>
      <c r="L102" s="11"/>
      <c r="M102" s="11"/>
      <c r="N102" s="11"/>
      <c r="O102" s="11"/>
    </row>
    <row r="103" spans="1:15">
      <c r="A103" s="11"/>
      <c r="B103" s="11"/>
      <c r="C103" s="11"/>
      <c r="D103" s="11"/>
      <c r="E103" s="11"/>
      <c r="F103" s="11"/>
      <c r="G103" s="11"/>
      <c r="H103" s="11"/>
      <c r="I103" s="11"/>
      <c r="J103" s="11"/>
      <c r="K103" s="11"/>
      <c r="L103" s="11"/>
      <c r="M103" s="11"/>
      <c r="N103" s="11"/>
      <c r="O103" s="11"/>
    </row>
    <row r="104" spans="1:15">
      <c r="A104" s="11"/>
      <c r="B104" s="11"/>
      <c r="C104" s="11"/>
      <c r="D104" s="11"/>
      <c r="E104" s="11"/>
      <c r="F104" s="11"/>
      <c r="G104" s="11"/>
      <c r="H104" s="11"/>
      <c r="I104" s="11"/>
      <c r="J104" s="11"/>
      <c r="K104" s="11"/>
      <c r="L104" s="11"/>
      <c r="M104" s="11"/>
      <c r="N104" s="11"/>
      <c r="O104" s="11"/>
    </row>
    <row r="105" spans="1:15">
      <c r="A105" s="11"/>
      <c r="B105" s="11"/>
      <c r="C105" s="11"/>
      <c r="D105" s="11"/>
      <c r="E105" s="11"/>
      <c r="F105" s="11"/>
      <c r="G105" s="11"/>
      <c r="H105" s="11"/>
      <c r="I105" s="11"/>
      <c r="J105" s="11"/>
      <c r="K105" s="11"/>
      <c r="L105" s="11"/>
      <c r="M105" s="11"/>
      <c r="N105" s="11"/>
      <c r="O105" s="11"/>
    </row>
    <row r="106" spans="1:15">
      <c r="A106" s="11"/>
      <c r="B106" s="11"/>
      <c r="C106" s="11"/>
      <c r="D106" s="11"/>
      <c r="E106" s="11"/>
      <c r="F106" s="11"/>
      <c r="G106" s="11"/>
      <c r="H106" s="11"/>
      <c r="I106" s="11"/>
      <c r="J106" s="11"/>
      <c r="K106" s="11"/>
      <c r="L106" s="11"/>
      <c r="M106" s="11"/>
      <c r="N106" s="11"/>
      <c r="O106" s="11"/>
    </row>
    <row r="107" spans="1:15">
      <c r="A107" s="11"/>
      <c r="B107" s="11"/>
      <c r="C107" s="11"/>
      <c r="D107" s="11"/>
      <c r="E107" s="11"/>
      <c r="F107" s="11"/>
      <c r="G107" s="11"/>
      <c r="H107" s="11"/>
      <c r="I107" s="11"/>
      <c r="J107" s="11"/>
      <c r="K107" s="11"/>
      <c r="L107" s="11"/>
      <c r="M107" s="11"/>
      <c r="N107" s="11"/>
      <c r="O107" s="11"/>
    </row>
    <row r="108" spans="1:15">
      <c r="A108" s="11"/>
      <c r="B108" s="11"/>
      <c r="C108" s="11"/>
      <c r="D108" s="11"/>
      <c r="E108" s="11"/>
      <c r="F108" s="11"/>
      <c r="G108" s="11"/>
      <c r="H108" s="11"/>
      <c r="I108" s="11"/>
      <c r="J108" s="11"/>
      <c r="K108" s="11"/>
      <c r="L108" s="11"/>
      <c r="M108" s="11"/>
      <c r="N108" s="11"/>
      <c r="O108" s="11"/>
    </row>
    <row r="109" spans="1:15">
      <c r="A109" s="11"/>
      <c r="B109" s="11"/>
      <c r="C109" s="11"/>
      <c r="D109" s="11"/>
      <c r="E109" s="11"/>
      <c r="F109" s="11"/>
      <c r="G109" s="11"/>
      <c r="H109" s="11"/>
      <c r="I109" s="11"/>
      <c r="J109" s="11"/>
      <c r="K109" s="11"/>
      <c r="L109" s="11"/>
      <c r="M109" s="11"/>
      <c r="N109" s="11"/>
      <c r="O109" s="11"/>
    </row>
    <row r="110" spans="1:15">
      <c r="A110" s="11"/>
      <c r="B110" s="11"/>
      <c r="C110" s="11"/>
      <c r="D110" s="11"/>
      <c r="E110" s="11"/>
      <c r="F110" s="11"/>
      <c r="G110" s="11"/>
      <c r="H110" s="11"/>
      <c r="I110" s="11"/>
      <c r="J110" s="11"/>
      <c r="K110" s="11"/>
      <c r="L110" s="11"/>
      <c r="M110" s="11"/>
      <c r="N110" s="11"/>
      <c r="O110" s="11"/>
    </row>
    <row r="111" spans="1:15">
      <c r="A111" s="11"/>
      <c r="B111" s="11"/>
      <c r="C111" s="11"/>
      <c r="D111" s="11"/>
      <c r="E111" s="11"/>
      <c r="F111" s="11"/>
      <c r="G111" s="11"/>
      <c r="H111" s="11"/>
      <c r="I111" s="11"/>
      <c r="J111" s="11"/>
      <c r="K111" s="11"/>
      <c r="L111" s="11"/>
      <c r="M111" s="11"/>
      <c r="N111" s="11"/>
      <c r="O111" s="11"/>
    </row>
    <row r="112" spans="1:15">
      <c r="A112" s="11"/>
      <c r="B112" s="11"/>
      <c r="C112" s="11"/>
      <c r="D112" s="11"/>
      <c r="E112" s="11"/>
      <c r="F112" s="11"/>
      <c r="G112" s="11"/>
      <c r="H112" s="11"/>
      <c r="I112" s="11"/>
      <c r="J112" s="11"/>
      <c r="K112" s="11"/>
      <c r="L112" s="11"/>
      <c r="M112" s="11"/>
      <c r="N112" s="11"/>
      <c r="O112" s="11"/>
    </row>
    <row r="113" spans="1:15">
      <c r="A113" s="11"/>
      <c r="B113" s="11"/>
      <c r="C113" s="11"/>
      <c r="D113" s="11"/>
      <c r="E113" s="11"/>
      <c r="F113" s="11"/>
      <c r="G113" s="11"/>
      <c r="H113" s="11"/>
      <c r="I113" s="11"/>
      <c r="J113" s="11"/>
      <c r="K113" s="11"/>
      <c r="L113" s="11"/>
      <c r="M113" s="11"/>
      <c r="N113" s="11"/>
      <c r="O113" s="11"/>
    </row>
    <row r="114" spans="1:15">
      <c r="A114" s="11"/>
      <c r="B114" s="11"/>
      <c r="C114" s="11"/>
      <c r="D114" s="11"/>
      <c r="E114" s="11"/>
      <c r="F114" s="11"/>
      <c r="G114" s="11"/>
      <c r="H114" s="11"/>
      <c r="I114" s="11"/>
      <c r="J114" s="11"/>
      <c r="K114" s="11"/>
      <c r="L114" s="11"/>
      <c r="M114" s="11"/>
      <c r="N114" s="11"/>
      <c r="O114" s="11"/>
    </row>
    <row r="115" spans="1:15">
      <c r="A115" s="11"/>
      <c r="B115" s="11"/>
      <c r="C115" s="11"/>
      <c r="D115" s="11"/>
      <c r="E115" s="11"/>
      <c r="F115" s="11"/>
      <c r="G115" s="11"/>
      <c r="H115" s="11"/>
      <c r="I115" s="11"/>
      <c r="J115" s="11"/>
      <c r="K115" s="11"/>
      <c r="L115" s="11"/>
      <c r="M115" s="11"/>
      <c r="N115" s="11"/>
      <c r="O115" s="11"/>
    </row>
    <row r="116" spans="1:15">
      <c r="A116" s="11"/>
      <c r="B116" s="11"/>
      <c r="C116" s="11"/>
      <c r="D116" s="11"/>
      <c r="E116" s="11"/>
      <c r="F116" s="11"/>
      <c r="G116" s="11"/>
      <c r="H116" s="11"/>
      <c r="I116" s="11"/>
      <c r="J116" s="11"/>
      <c r="K116" s="11"/>
      <c r="L116" s="11"/>
      <c r="M116" s="11"/>
      <c r="N116" s="11"/>
      <c r="O116" s="11"/>
    </row>
    <row r="117" spans="1:15">
      <c r="A117" s="11"/>
      <c r="B117" s="11"/>
      <c r="C117" s="11"/>
      <c r="D117" s="11"/>
      <c r="E117" s="11"/>
      <c r="F117" s="11"/>
      <c r="G117" s="11"/>
      <c r="H117" s="11"/>
      <c r="I117" s="11"/>
      <c r="J117" s="11"/>
      <c r="K117" s="11"/>
      <c r="L117" s="11"/>
      <c r="M117" s="11"/>
      <c r="N117" s="11"/>
      <c r="O117" s="11"/>
    </row>
    <row r="118" spans="1:15">
      <c r="A118" s="11"/>
      <c r="B118" s="11"/>
      <c r="C118" s="11"/>
      <c r="D118" s="11"/>
      <c r="E118" s="11"/>
      <c r="F118" s="11"/>
      <c r="G118" s="11"/>
      <c r="H118" s="11"/>
      <c r="I118" s="11"/>
      <c r="J118" s="11"/>
      <c r="K118" s="11"/>
      <c r="L118" s="11"/>
      <c r="M118" s="11"/>
      <c r="N118" s="11"/>
      <c r="O118" s="11"/>
    </row>
    <row r="119" spans="1:15">
      <c r="A119" s="11"/>
      <c r="B119" s="11"/>
      <c r="C119" s="11"/>
      <c r="D119" s="11"/>
      <c r="E119" s="11"/>
      <c r="F119" s="11"/>
      <c r="G119" s="11"/>
      <c r="H119" s="11"/>
      <c r="I119" s="11"/>
      <c r="J119" s="11"/>
      <c r="K119" s="11"/>
      <c r="L119" s="11"/>
      <c r="M119" s="11"/>
      <c r="N119" s="11"/>
      <c r="O119" s="11"/>
    </row>
    <row r="120" spans="1:15">
      <c r="A120" s="11"/>
      <c r="B120" s="11"/>
      <c r="C120" s="11"/>
      <c r="D120" s="11"/>
      <c r="E120" s="11"/>
      <c r="F120" s="11"/>
      <c r="G120" s="11"/>
      <c r="H120" s="11"/>
      <c r="I120" s="11"/>
      <c r="J120" s="11"/>
      <c r="K120" s="11"/>
      <c r="L120" s="11"/>
      <c r="M120" s="11"/>
      <c r="N120" s="11"/>
      <c r="O120" s="11"/>
    </row>
    <row r="121" spans="1:15">
      <c r="A121" s="11"/>
      <c r="B121" s="11"/>
      <c r="C121" s="11"/>
      <c r="D121" s="11"/>
      <c r="E121" s="11"/>
      <c r="F121" s="11"/>
      <c r="G121" s="11"/>
      <c r="H121" s="11"/>
      <c r="I121" s="11"/>
      <c r="J121" s="11"/>
      <c r="K121" s="11"/>
      <c r="L121" s="11"/>
      <c r="M121" s="11"/>
      <c r="N121" s="11"/>
      <c r="O121" s="11"/>
    </row>
    <row r="122" spans="1:15">
      <c r="A122" s="11"/>
      <c r="B122" s="11"/>
      <c r="C122" s="11"/>
      <c r="D122" s="11"/>
      <c r="E122" s="11"/>
      <c r="F122" s="11"/>
      <c r="G122" s="11"/>
      <c r="H122" s="11"/>
      <c r="I122" s="11"/>
      <c r="J122" s="11"/>
      <c r="K122" s="11"/>
      <c r="L122" s="11"/>
      <c r="M122" s="11"/>
      <c r="N122" s="11"/>
      <c r="O122" s="11"/>
    </row>
    <row r="123" spans="1:15">
      <c r="A123" s="11"/>
      <c r="B123" s="11"/>
      <c r="C123" s="11"/>
      <c r="D123" s="11"/>
      <c r="E123" s="11"/>
      <c r="F123" s="11"/>
      <c r="G123" s="11"/>
      <c r="H123" s="11"/>
      <c r="I123" s="11"/>
      <c r="J123" s="11"/>
      <c r="K123" s="11"/>
      <c r="L123" s="11"/>
      <c r="M123" s="11"/>
      <c r="N123" s="11"/>
      <c r="O123" s="11"/>
    </row>
    <row r="124" spans="1:15">
      <c r="A124" s="11"/>
      <c r="B124" s="11"/>
      <c r="C124" s="11"/>
      <c r="D124" s="11"/>
      <c r="E124" s="11"/>
      <c r="F124" s="11"/>
      <c r="G124" s="11"/>
      <c r="H124" s="11"/>
      <c r="I124" s="11"/>
      <c r="J124" s="11"/>
      <c r="K124" s="11"/>
      <c r="L124" s="11"/>
      <c r="M124" s="11"/>
      <c r="N124" s="11"/>
      <c r="O124" s="11"/>
    </row>
    <row r="125" spans="1:15">
      <c r="A125" s="11"/>
      <c r="B125" s="11"/>
      <c r="C125" s="11"/>
      <c r="D125" s="11"/>
      <c r="E125" s="11"/>
      <c r="F125" s="11"/>
      <c r="G125" s="11"/>
      <c r="H125" s="11"/>
      <c r="I125" s="11"/>
      <c r="J125" s="11"/>
      <c r="K125" s="11"/>
      <c r="L125" s="11"/>
      <c r="M125" s="11"/>
      <c r="N125" s="11"/>
      <c r="O125" s="11"/>
    </row>
    <row r="126" spans="1:15">
      <c r="A126" s="11"/>
      <c r="B126" s="11"/>
      <c r="C126" s="11"/>
      <c r="D126" s="11"/>
      <c r="E126" s="11"/>
      <c r="F126" s="11"/>
      <c r="G126" s="11"/>
      <c r="H126" s="11"/>
      <c r="I126" s="11"/>
      <c r="J126" s="11"/>
      <c r="K126" s="11"/>
      <c r="L126" s="11"/>
      <c r="M126" s="11"/>
      <c r="N126" s="11"/>
      <c r="O126" s="11"/>
    </row>
    <row r="127" spans="1:15">
      <c r="A127" s="11"/>
      <c r="B127" s="11"/>
      <c r="C127" s="11"/>
      <c r="D127" s="11"/>
      <c r="E127" s="11"/>
      <c r="F127" s="11"/>
      <c r="G127" s="11"/>
      <c r="H127" s="11"/>
      <c r="I127" s="11"/>
      <c r="J127" s="11"/>
      <c r="K127" s="11"/>
      <c r="L127" s="11"/>
      <c r="M127" s="11"/>
      <c r="N127" s="11"/>
      <c r="O127" s="11"/>
    </row>
    <row r="128" spans="1:15">
      <c r="A128" s="11"/>
      <c r="B128" s="11"/>
      <c r="C128" s="11"/>
      <c r="D128" s="11"/>
      <c r="E128" s="11"/>
      <c r="F128" s="11"/>
      <c r="G128" s="11"/>
      <c r="H128" s="11"/>
      <c r="I128" s="11"/>
      <c r="J128" s="11"/>
      <c r="K128" s="11"/>
      <c r="L128" s="11"/>
      <c r="M128" s="11"/>
      <c r="N128" s="11"/>
      <c r="O128" s="11"/>
    </row>
    <row r="129" spans="1:15">
      <c r="A129" s="11"/>
      <c r="B129" s="11"/>
      <c r="C129" s="11"/>
      <c r="D129" s="11"/>
      <c r="E129" s="11"/>
      <c r="F129" s="11"/>
      <c r="G129" s="11"/>
      <c r="H129" s="11"/>
      <c r="I129" s="11"/>
      <c r="J129" s="11"/>
      <c r="K129" s="11"/>
      <c r="L129" s="11"/>
      <c r="M129" s="11"/>
      <c r="N129" s="11"/>
      <c r="O129" s="11"/>
    </row>
    <row r="130" spans="1:15">
      <c r="A130" s="11"/>
      <c r="B130" s="11"/>
      <c r="C130" s="11"/>
      <c r="D130" s="11"/>
      <c r="E130" s="11"/>
      <c r="F130" s="11"/>
      <c r="G130" s="11"/>
      <c r="H130" s="11"/>
      <c r="I130" s="11"/>
      <c r="J130" s="11"/>
      <c r="K130" s="11"/>
      <c r="L130" s="11"/>
      <c r="M130" s="11"/>
      <c r="N130" s="11"/>
      <c r="O130" s="11"/>
    </row>
    <row r="131" spans="1:15">
      <c r="A131" s="11"/>
      <c r="B131" s="11"/>
      <c r="C131" s="11"/>
      <c r="D131" s="11"/>
      <c r="E131" s="11"/>
      <c r="F131" s="11"/>
      <c r="G131" s="11"/>
      <c r="H131" s="11"/>
      <c r="I131" s="11"/>
      <c r="J131" s="11"/>
      <c r="K131" s="11"/>
      <c r="L131" s="11"/>
      <c r="M131" s="11"/>
      <c r="N131" s="11"/>
      <c r="O131" s="11"/>
    </row>
    <row r="132" spans="1:15">
      <c r="A132" s="11"/>
      <c r="B132" s="11"/>
      <c r="C132" s="11"/>
      <c r="D132" s="11"/>
      <c r="E132" s="11"/>
      <c r="F132" s="11"/>
      <c r="G132" s="11"/>
      <c r="H132" s="11"/>
      <c r="I132" s="11"/>
      <c r="J132" s="11"/>
      <c r="K132" s="11"/>
      <c r="L132" s="11"/>
      <c r="M132" s="11"/>
      <c r="N132" s="11"/>
      <c r="O132" s="11"/>
    </row>
    <row r="133" spans="1:15">
      <c r="A133" s="11"/>
      <c r="B133" s="11"/>
      <c r="C133" s="11"/>
      <c r="D133" s="11"/>
      <c r="E133" s="11"/>
      <c r="F133" s="11"/>
      <c r="G133" s="11"/>
      <c r="H133" s="11"/>
      <c r="I133" s="11"/>
      <c r="J133" s="11"/>
      <c r="K133" s="11"/>
      <c r="L133" s="11"/>
      <c r="M133" s="11"/>
      <c r="N133" s="11"/>
      <c r="O133" s="11"/>
    </row>
    <row r="134" spans="1:15">
      <c r="A134" s="11"/>
      <c r="B134" s="11"/>
      <c r="C134" s="11"/>
      <c r="D134" s="11"/>
      <c r="E134" s="11"/>
      <c r="F134" s="11"/>
      <c r="G134" s="11"/>
      <c r="H134" s="11"/>
      <c r="I134" s="11"/>
      <c r="J134" s="11"/>
      <c r="K134" s="11"/>
      <c r="L134" s="11"/>
      <c r="M134" s="11"/>
      <c r="N134" s="11"/>
      <c r="O134" s="11"/>
    </row>
    <row r="135" spans="1:15">
      <c r="A135" s="11"/>
      <c r="B135" s="11"/>
      <c r="C135" s="11"/>
      <c r="D135" s="11"/>
      <c r="E135" s="11"/>
      <c r="F135" s="11"/>
      <c r="G135" s="11"/>
      <c r="H135" s="11"/>
      <c r="I135" s="11"/>
      <c r="J135" s="11"/>
      <c r="K135" s="11"/>
      <c r="L135" s="11"/>
      <c r="M135" s="11"/>
      <c r="N135" s="11"/>
      <c r="O135" s="11"/>
    </row>
    <row r="136" spans="1:15">
      <c r="A136" s="11"/>
      <c r="B136" s="11"/>
      <c r="C136" s="11"/>
      <c r="D136" s="11"/>
      <c r="E136" s="11"/>
      <c r="F136" s="11"/>
      <c r="G136" s="11"/>
      <c r="H136" s="11"/>
      <c r="I136" s="11"/>
      <c r="J136" s="11"/>
      <c r="K136" s="11"/>
      <c r="L136" s="11"/>
      <c r="M136" s="11"/>
      <c r="N136" s="11"/>
      <c r="O136" s="11"/>
    </row>
    <row r="137" spans="1:15">
      <c r="A137" s="11"/>
      <c r="B137" s="11"/>
      <c r="C137" s="11"/>
      <c r="D137" s="11"/>
      <c r="E137" s="11"/>
      <c r="F137" s="11"/>
      <c r="G137" s="11"/>
      <c r="H137" s="11"/>
      <c r="I137" s="11"/>
      <c r="J137" s="11"/>
      <c r="K137" s="11"/>
      <c r="L137" s="11"/>
      <c r="M137" s="11"/>
      <c r="N137" s="11"/>
      <c r="O137" s="11"/>
    </row>
    <row r="138" spans="1:15">
      <c r="A138" s="11"/>
      <c r="B138" s="11"/>
      <c r="C138" s="11"/>
      <c r="D138" s="11"/>
      <c r="E138" s="11"/>
      <c r="F138" s="11"/>
      <c r="G138" s="11"/>
      <c r="H138" s="11"/>
      <c r="I138" s="11"/>
      <c r="J138" s="11"/>
      <c r="K138" s="11"/>
      <c r="L138" s="11"/>
      <c r="M138" s="11"/>
      <c r="N138" s="11"/>
      <c r="O138" s="11"/>
    </row>
    <row r="139" spans="1:15">
      <c r="A139" s="11"/>
      <c r="B139" s="11"/>
      <c r="C139" s="11"/>
      <c r="D139" s="11"/>
      <c r="E139" s="11"/>
      <c r="F139" s="11"/>
      <c r="G139" s="11"/>
      <c r="H139" s="11"/>
      <c r="I139" s="11"/>
      <c r="J139" s="11"/>
      <c r="K139" s="11"/>
      <c r="L139" s="11"/>
      <c r="M139" s="11"/>
      <c r="N139" s="11"/>
      <c r="O139" s="11"/>
    </row>
    <row r="140" spans="1:15">
      <c r="A140" s="11"/>
      <c r="B140" s="11"/>
      <c r="C140" s="11"/>
      <c r="D140" s="11"/>
      <c r="E140" s="11"/>
      <c r="F140" s="11"/>
      <c r="G140" s="11"/>
      <c r="H140" s="11"/>
      <c r="I140" s="11"/>
      <c r="J140" s="11"/>
      <c r="K140" s="11"/>
      <c r="L140" s="11"/>
      <c r="M140" s="11"/>
      <c r="N140" s="11"/>
      <c r="O140" s="11"/>
    </row>
    <row r="141" spans="1:15">
      <c r="A141" s="11"/>
      <c r="B141" s="11"/>
      <c r="C141" s="11"/>
      <c r="D141" s="11"/>
      <c r="E141" s="11"/>
      <c r="F141" s="11"/>
      <c r="G141" s="11"/>
      <c r="H141" s="11"/>
      <c r="I141" s="11"/>
      <c r="J141" s="11"/>
      <c r="K141" s="11"/>
      <c r="L141" s="11"/>
      <c r="M141" s="11"/>
      <c r="N141" s="11"/>
      <c r="O141" s="11"/>
    </row>
    <row r="142" spans="1:15">
      <c r="A142" s="11"/>
      <c r="B142" s="11"/>
      <c r="C142" s="11"/>
      <c r="D142" s="11"/>
      <c r="E142" s="11"/>
      <c r="F142" s="11"/>
      <c r="G142" s="11"/>
      <c r="H142" s="11"/>
      <c r="I142" s="11"/>
      <c r="J142" s="11"/>
      <c r="K142" s="11"/>
      <c r="L142" s="11"/>
      <c r="M142" s="11"/>
      <c r="N142" s="11"/>
      <c r="O142" s="11"/>
    </row>
    <row r="143" spans="1:15">
      <c r="A143" s="11"/>
      <c r="B143" s="11"/>
      <c r="C143" s="11"/>
      <c r="D143" s="11"/>
      <c r="E143" s="11"/>
      <c r="F143" s="11"/>
      <c r="G143" s="11"/>
      <c r="H143" s="11"/>
      <c r="I143" s="11"/>
      <c r="J143" s="11"/>
      <c r="K143" s="11"/>
      <c r="L143" s="11"/>
      <c r="M143" s="11"/>
      <c r="N143" s="11"/>
      <c r="O143" s="11"/>
    </row>
    <row r="144" spans="1:15">
      <c r="A144" s="11"/>
      <c r="B144" s="11"/>
      <c r="C144" s="11"/>
      <c r="D144" s="11"/>
      <c r="E144" s="11"/>
      <c r="F144" s="11"/>
      <c r="G144" s="11"/>
      <c r="H144" s="11"/>
      <c r="I144" s="11"/>
      <c r="J144" s="11"/>
      <c r="K144" s="11"/>
      <c r="L144" s="11"/>
      <c r="M144" s="11"/>
      <c r="N144" s="11"/>
      <c r="O144" s="11"/>
    </row>
    <row r="145" spans="1:15">
      <c r="A145" s="11"/>
      <c r="B145" s="11"/>
      <c r="C145" s="11"/>
      <c r="D145" s="11"/>
      <c r="E145" s="11"/>
      <c r="F145" s="11"/>
      <c r="G145" s="11"/>
      <c r="H145" s="11"/>
      <c r="I145" s="11"/>
      <c r="J145" s="11"/>
      <c r="K145" s="11"/>
      <c r="L145" s="11"/>
      <c r="M145" s="11"/>
      <c r="N145" s="11"/>
      <c r="O145" s="11"/>
    </row>
    <row r="146" spans="1:15">
      <c r="A146" s="11"/>
      <c r="B146" s="11"/>
      <c r="C146" s="11"/>
      <c r="D146" s="11"/>
      <c r="E146" s="11"/>
      <c r="F146" s="11"/>
      <c r="G146" s="11"/>
      <c r="H146" s="11"/>
      <c r="I146" s="11"/>
      <c r="J146" s="11"/>
      <c r="K146" s="11"/>
      <c r="L146" s="11"/>
      <c r="M146" s="11"/>
      <c r="N146" s="11"/>
      <c r="O146" s="11"/>
    </row>
    <row r="147" spans="1:15">
      <c r="A147" s="11"/>
      <c r="B147" s="11"/>
      <c r="C147" s="11"/>
      <c r="D147" s="11"/>
      <c r="E147" s="11"/>
      <c r="F147" s="11"/>
      <c r="G147" s="11"/>
      <c r="H147" s="11"/>
      <c r="I147" s="11"/>
      <c r="J147" s="11"/>
      <c r="K147" s="11"/>
      <c r="L147" s="11"/>
      <c r="M147" s="11"/>
      <c r="N147" s="11"/>
      <c r="O147" s="11"/>
    </row>
    <row r="148" spans="1:15">
      <c r="A148" s="11"/>
      <c r="B148" s="11"/>
      <c r="C148" s="11"/>
      <c r="D148" s="11"/>
      <c r="E148" s="11"/>
      <c r="F148" s="11"/>
      <c r="G148" s="11"/>
      <c r="H148" s="11"/>
      <c r="I148" s="11"/>
      <c r="J148" s="11"/>
      <c r="K148" s="11"/>
      <c r="L148" s="11"/>
      <c r="M148" s="11"/>
      <c r="N148" s="11"/>
      <c r="O148" s="11"/>
    </row>
    <row r="149" spans="1:15">
      <c r="A149" s="11"/>
      <c r="B149" s="11"/>
      <c r="C149" s="11"/>
      <c r="D149" s="11"/>
      <c r="E149" s="11"/>
      <c r="F149" s="11"/>
      <c r="G149" s="11"/>
      <c r="H149" s="11"/>
      <c r="I149" s="11"/>
      <c r="J149" s="11"/>
      <c r="K149" s="11"/>
      <c r="L149" s="11"/>
      <c r="M149" s="11"/>
      <c r="N149" s="11"/>
      <c r="O149" s="11"/>
    </row>
    <row r="150" spans="1:15">
      <c r="A150" s="11"/>
      <c r="B150" s="11"/>
      <c r="C150" s="11"/>
      <c r="D150" s="11"/>
      <c r="E150" s="11"/>
      <c r="F150" s="11"/>
      <c r="G150" s="11"/>
      <c r="H150" s="11"/>
      <c r="I150" s="11"/>
      <c r="J150" s="11"/>
      <c r="K150" s="11"/>
      <c r="L150" s="11"/>
      <c r="M150" s="11"/>
      <c r="N150" s="11"/>
      <c r="O150" s="11"/>
    </row>
    <row r="151" spans="1:15">
      <c r="A151" s="11"/>
      <c r="B151" s="11"/>
      <c r="C151" s="11"/>
      <c r="D151" s="11"/>
      <c r="E151" s="11"/>
      <c r="F151" s="11"/>
      <c r="G151" s="11"/>
      <c r="H151" s="11"/>
      <c r="I151" s="11"/>
      <c r="J151" s="11"/>
      <c r="K151" s="11"/>
      <c r="L151" s="11"/>
      <c r="M151" s="11"/>
      <c r="N151" s="11"/>
      <c r="O151" s="11"/>
    </row>
    <row r="152" spans="1:15">
      <c r="A152" s="11"/>
      <c r="B152" s="11"/>
      <c r="C152" s="11"/>
      <c r="D152" s="11"/>
      <c r="E152" s="11"/>
      <c r="F152" s="11"/>
      <c r="G152" s="11"/>
      <c r="H152" s="11"/>
      <c r="I152" s="11"/>
      <c r="J152" s="11"/>
      <c r="K152" s="11"/>
      <c r="L152" s="11"/>
      <c r="M152" s="11"/>
      <c r="N152" s="11"/>
      <c r="O152" s="11"/>
    </row>
    <row r="153" spans="1:15">
      <c r="A153" s="11"/>
      <c r="B153" s="11"/>
      <c r="C153" s="11"/>
      <c r="D153" s="11"/>
      <c r="E153" s="11"/>
      <c r="F153" s="11"/>
      <c r="G153" s="11"/>
      <c r="H153" s="11"/>
      <c r="I153" s="11"/>
      <c r="J153" s="11"/>
      <c r="K153" s="11"/>
      <c r="L153" s="11"/>
      <c r="M153" s="11"/>
      <c r="N153" s="11"/>
      <c r="O153" s="11"/>
    </row>
    <row r="154" spans="1:15">
      <c r="A154" s="11"/>
      <c r="B154" s="11"/>
      <c r="C154" s="11"/>
      <c r="D154" s="11"/>
      <c r="E154" s="11"/>
      <c r="F154" s="11"/>
      <c r="G154" s="11"/>
      <c r="H154" s="11"/>
      <c r="I154" s="11"/>
      <c r="J154" s="11"/>
      <c r="K154" s="11"/>
      <c r="L154" s="11"/>
      <c r="M154" s="11"/>
      <c r="N154" s="11"/>
      <c r="O154" s="11"/>
    </row>
    <row r="155" spans="1:15">
      <c r="A155" s="11"/>
      <c r="B155" s="11"/>
      <c r="C155" s="11"/>
      <c r="D155" s="11"/>
      <c r="E155" s="11"/>
      <c r="F155" s="11"/>
      <c r="G155" s="11"/>
      <c r="H155" s="11"/>
      <c r="I155" s="11"/>
      <c r="J155" s="11"/>
      <c r="K155" s="11"/>
      <c r="L155" s="11"/>
      <c r="M155" s="11"/>
      <c r="N155" s="11"/>
      <c r="O155" s="11"/>
    </row>
    <row r="156" spans="1:15">
      <c r="A156" s="11"/>
      <c r="B156" s="11"/>
      <c r="C156" s="11"/>
      <c r="D156" s="11"/>
      <c r="E156" s="11"/>
      <c r="F156" s="11"/>
      <c r="G156" s="11"/>
      <c r="H156" s="11"/>
      <c r="I156" s="11"/>
      <c r="J156" s="11"/>
      <c r="K156" s="11"/>
      <c r="L156" s="11"/>
      <c r="M156" s="11"/>
      <c r="N156" s="11"/>
      <c r="O156" s="11"/>
    </row>
    <row r="157" spans="1:15">
      <c r="A157" s="11"/>
      <c r="B157" s="11"/>
      <c r="C157" s="11"/>
      <c r="D157" s="11"/>
      <c r="E157" s="11"/>
      <c r="F157" s="11"/>
      <c r="G157" s="11"/>
      <c r="H157" s="11"/>
      <c r="I157" s="11"/>
      <c r="J157" s="11"/>
      <c r="K157" s="11"/>
      <c r="L157" s="11"/>
      <c r="M157" s="11"/>
      <c r="N157" s="11"/>
      <c r="O157" s="11"/>
    </row>
    <row r="158" spans="1:15">
      <c r="A158" s="11"/>
      <c r="B158" s="11"/>
      <c r="C158" s="11"/>
      <c r="D158" s="11"/>
      <c r="E158" s="11"/>
      <c r="F158" s="11"/>
      <c r="G158" s="11"/>
      <c r="H158" s="11"/>
      <c r="I158" s="11"/>
      <c r="J158" s="11"/>
      <c r="K158" s="11"/>
      <c r="L158" s="11"/>
      <c r="M158" s="11"/>
      <c r="N158" s="11"/>
      <c r="O158" s="11"/>
    </row>
    <row r="159" spans="1:15">
      <c r="A159" s="11"/>
      <c r="B159" s="11"/>
      <c r="C159" s="11"/>
      <c r="D159" s="11"/>
      <c r="E159" s="11"/>
      <c r="F159" s="11"/>
      <c r="G159" s="11"/>
      <c r="H159" s="11"/>
      <c r="I159" s="11"/>
      <c r="J159" s="11"/>
      <c r="K159" s="11"/>
      <c r="L159" s="11"/>
      <c r="M159" s="11"/>
      <c r="N159" s="11"/>
      <c r="O159" s="11"/>
    </row>
    <row r="160" spans="1:15">
      <c r="A160" s="11"/>
      <c r="B160" s="11"/>
      <c r="C160" s="11"/>
      <c r="D160" s="11"/>
      <c r="E160" s="11"/>
      <c r="F160" s="11"/>
      <c r="G160" s="11"/>
      <c r="H160" s="11"/>
      <c r="I160" s="11"/>
      <c r="J160" s="11"/>
      <c r="K160" s="11"/>
      <c r="L160" s="11"/>
      <c r="M160" s="11"/>
      <c r="N160" s="11"/>
      <c r="O160" s="11"/>
    </row>
    <row r="161" spans="1:15">
      <c r="A161" s="11"/>
      <c r="B161" s="11"/>
      <c r="C161" s="11"/>
      <c r="D161" s="11"/>
      <c r="E161" s="11"/>
      <c r="F161" s="11"/>
      <c r="G161" s="11"/>
      <c r="H161" s="11"/>
      <c r="I161" s="11"/>
      <c r="J161" s="11"/>
      <c r="K161" s="11"/>
      <c r="L161" s="11"/>
      <c r="M161" s="11"/>
      <c r="N161" s="11"/>
      <c r="O161" s="11"/>
    </row>
    <row r="162" spans="1:15">
      <c r="A162" s="11"/>
      <c r="B162" s="11"/>
      <c r="C162" s="11"/>
      <c r="D162" s="11"/>
      <c r="E162" s="11"/>
      <c r="F162" s="11"/>
      <c r="G162" s="11"/>
      <c r="H162" s="11"/>
      <c r="I162" s="11"/>
      <c r="J162" s="11"/>
      <c r="K162" s="11"/>
      <c r="L162" s="11"/>
      <c r="M162" s="11"/>
      <c r="N162" s="11"/>
      <c r="O162" s="11"/>
    </row>
    <row r="163" spans="1:15">
      <c r="A163" s="11"/>
      <c r="B163" s="11"/>
      <c r="C163" s="11"/>
      <c r="D163" s="11"/>
      <c r="E163" s="11"/>
      <c r="F163" s="11"/>
      <c r="G163" s="11"/>
      <c r="H163" s="11"/>
      <c r="I163" s="11"/>
      <c r="J163" s="11"/>
      <c r="K163" s="11"/>
      <c r="L163" s="11"/>
      <c r="M163" s="11"/>
      <c r="N163" s="11"/>
      <c r="O163" s="11"/>
    </row>
    <row r="164" spans="1:15">
      <c r="A164" s="11"/>
      <c r="B164" s="11"/>
      <c r="C164" s="11"/>
      <c r="D164" s="11"/>
      <c r="E164" s="11"/>
      <c r="F164" s="11"/>
      <c r="G164" s="11"/>
      <c r="H164" s="11"/>
      <c r="I164" s="11"/>
      <c r="J164" s="11"/>
      <c r="K164" s="11"/>
      <c r="L164" s="11"/>
      <c r="M164" s="11"/>
      <c r="N164" s="11"/>
      <c r="O164" s="11"/>
    </row>
    <row r="165" spans="1:15">
      <c r="A165" s="11"/>
      <c r="B165" s="11"/>
      <c r="C165" s="11"/>
      <c r="D165" s="11"/>
      <c r="E165" s="11"/>
      <c r="F165" s="11"/>
      <c r="G165" s="11"/>
      <c r="H165" s="11"/>
      <c r="I165" s="11"/>
      <c r="J165" s="11"/>
      <c r="K165" s="11"/>
      <c r="L165" s="11"/>
      <c r="M165" s="11"/>
      <c r="N165" s="11"/>
      <c r="O165" s="11"/>
    </row>
    <row r="166" spans="1:15">
      <c r="A166" s="11"/>
      <c r="B166" s="11"/>
      <c r="C166" s="11"/>
      <c r="D166" s="11"/>
      <c r="E166" s="11"/>
      <c r="F166" s="11"/>
      <c r="G166" s="11"/>
      <c r="H166" s="11"/>
      <c r="I166" s="11"/>
      <c r="J166" s="11"/>
      <c r="K166" s="11"/>
      <c r="L166" s="11"/>
      <c r="M166" s="11"/>
      <c r="N166" s="11"/>
      <c r="O166" s="11"/>
    </row>
    <row r="167" spans="1:15">
      <c r="A167" s="11"/>
      <c r="B167" s="11"/>
      <c r="C167" s="11"/>
      <c r="D167" s="11"/>
      <c r="E167" s="11"/>
      <c r="F167" s="11"/>
      <c r="G167" s="11"/>
      <c r="H167" s="11"/>
      <c r="I167" s="11"/>
      <c r="J167" s="11"/>
      <c r="K167" s="11"/>
      <c r="L167" s="11"/>
      <c r="M167" s="11"/>
      <c r="N167" s="11"/>
      <c r="O167" s="11"/>
    </row>
    <row r="168" spans="1:15">
      <c r="A168" s="11"/>
      <c r="B168" s="11"/>
      <c r="C168" s="11"/>
      <c r="D168" s="11"/>
      <c r="E168" s="11"/>
      <c r="F168" s="11"/>
      <c r="G168" s="11"/>
      <c r="H168" s="11"/>
      <c r="I168" s="11"/>
      <c r="J168" s="11"/>
      <c r="K168" s="11"/>
      <c r="L168" s="11"/>
      <c r="M168" s="11"/>
      <c r="N168" s="11"/>
      <c r="O168" s="11"/>
    </row>
    <row r="169" spans="1:15">
      <c r="A169" s="11"/>
      <c r="B169" s="11"/>
      <c r="C169" s="11"/>
      <c r="D169" s="11"/>
      <c r="E169" s="11"/>
      <c r="F169" s="11"/>
      <c r="G169" s="11"/>
      <c r="H169" s="11"/>
      <c r="I169" s="11"/>
      <c r="J169" s="11"/>
      <c r="K169" s="11"/>
      <c r="L169" s="11"/>
      <c r="M169" s="11"/>
      <c r="N169" s="11"/>
      <c r="O169" s="11"/>
    </row>
    <row r="170" spans="1:15">
      <c r="A170" s="11"/>
      <c r="B170" s="11"/>
      <c r="C170" s="11"/>
      <c r="D170" s="11"/>
      <c r="E170" s="11"/>
      <c r="F170" s="11"/>
      <c r="G170" s="11"/>
      <c r="H170" s="11"/>
      <c r="I170" s="11"/>
      <c r="J170" s="11"/>
      <c r="K170" s="11"/>
      <c r="L170" s="11"/>
      <c r="M170" s="11"/>
      <c r="N170" s="11"/>
      <c r="O170" s="11"/>
    </row>
    <row r="171" spans="1:15">
      <c r="A171" s="11"/>
      <c r="B171" s="11"/>
      <c r="C171" s="11"/>
      <c r="D171" s="11"/>
      <c r="E171" s="11"/>
      <c r="F171" s="11"/>
      <c r="G171" s="11"/>
      <c r="H171" s="11"/>
      <c r="I171" s="11"/>
      <c r="J171" s="11"/>
      <c r="K171" s="11"/>
      <c r="L171" s="11"/>
      <c r="M171" s="11"/>
      <c r="N171" s="11"/>
      <c r="O171" s="11"/>
    </row>
    <row r="172" spans="1:15">
      <c r="A172" s="11"/>
      <c r="B172" s="11"/>
      <c r="C172" s="11"/>
      <c r="D172" s="11"/>
      <c r="E172" s="11"/>
      <c r="F172" s="11"/>
      <c r="G172" s="11"/>
      <c r="H172" s="11"/>
      <c r="I172" s="11"/>
      <c r="J172" s="11"/>
      <c r="K172" s="11"/>
      <c r="L172" s="11"/>
      <c r="M172" s="11"/>
      <c r="N172" s="11"/>
      <c r="O172" s="11"/>
    </row>
    <row r="173" spans="1:15">
      <c r="A173" s="11"/>
      <c r="B173" s="11"/>
      <c r="C173" s="11"/>
      <c r="D173" s="11"/>
      <c r="E173" s="11"/>
      <c r="F173" s="11"/>
      <c r="G173" s="11"/>
      <c r="H173" s="11"/>
      <c r="I173" s="11"/>
      <c r="J173" s="11"/>
      <c r="K173" s="11"/>
      <c r="L173" s="11"/>
      <c r="M173" s="11"/>
      <c r="N173" s="11"/>
      <c r="O173" s="11"/>
    </row>
    <row r="174" spans="1:15">
      <c r="A174" s="11"/>
      <c r="B174" s="11"/>
      <c r="C174" s="11"/>
      <c r="D174" s="11"/>
      <c r="E174" s="11"/>
      <c r="F174" s="11"/>
      <c r="G174" s="11"/>
      <c r="H174" s="11"/>
      <c r="I174" s="11"/>
      <c r="J174" s="11"/>
      <c r="K174" s="11"/>
      <c r="L174" s="11"/>
      <c r="M174" s="11"/>
      <c r="N174" s="11"/>
      <c r="O174" s="11"/>
    </row>
    <row r="175" spans="1:15">
      <c r="A175" s="11"/>
      <c r="B175" s="11"/>
      <c r="C175" s="11"/>
      <c r="D175" s="11"/>
      <c r="E175" s="11"/>
      <c r="F175" s="11"/>
      <c r="G175" s="11"/>
      <c r="H175" s="11"/>
      <c r="I175" s="11"/>
      <c r="J175" s="11"/>
      <c r="K175" s="11"/>
      <c r="L175" s="11"/>
      <c r="M175" s="11"/>
      <c r="N175" s="11"/>
      <c r="O175" s="11"/>
    </row>
    <row r="176" spans="1:15">
      <c r="A176" s="11"/>
      <c r="B176" s="11"/>
      <c r="C176" s="11"/>
      <c r="D176" s="11"/>
      <c r="E176" s="11"/>
      <c r="F176" s="11"/>
      <c r="G176" s="11"/>
      <c r="H176" s="11"/>
      <c r="I176" s="11"/>
      <c r="J176" s="11"/>
      <c r="K176" s="11"/>
      <c r="L176" s="11"/>
      <c r="M176" s="11"/>
      <c r="N176" s="11"/>
      <c r="O176" s="11"/>
    </row>
    <row r="177" spans="1:15">
      <c r="A177" s="11"/>
      <c r="B177" s="11"/>
      <c r="C177" s="11"/>
      <c r="D177" s="11"/>
      <c r="E177" s="11"/>
      <c r="F177" s="11"/>
      <c r="G177" s="11"/>
      <c r="H177" s="11"/>
      <c r="I177" s="11"/>
      <c r="J177" s="11"/>
      <c r="K177" s="11"/>
      <c r="L177" s="11"/>
      <c r="M177" s="11"/>
      <c r="N177" s="11"/>
      <c r="O177" s="11"/>
    </row>
    <row r="178" spans="1:15">
      <c r="A178" s="11"/>
      <c r="B178" s="11"/>
      <c r="C178" s="11"/>
      <c r="D178" s="11"/>
      <c r="E178" s="11"/>
      <c r="F178" s="11"/>
      <c r="G178" s="11"/>
      <c r="H178" s="11"/>
      <c r="I178" s="11"/>
      <c r="J178" s="11"/>
      <c r="K178" s="11"/>
      <c r="L178" s="11"/>
      <c r="M178" s="11"/>
      <c r="N178" s="11"/>
      <c r="O178" s="11"/>
    </row>
    <row r="179" spans="1:15">
      <c r="A179" s="11"/>
      <c r="B179" s="11"/>
      <c r="C179" s="11"/>
      <c r="D179" s="11"/>
      <c r="E179" s="11"/>
      <c r="F179" s="11"/>
      <c r="G179" s="11"/>
      <c r="H179" s="11"/>
      <c r="I179" s="11"/>
      <c r="J179" s="11"/>
      <c r="K179" s="11"/>
      <c r="L179" s="11"/>
      <c r="M179" s="11"/>
      <c r="N179" s="11"/>
      <c r="O179" s="11"/>
    </row>
    <row r="180" spans="1:15">
      <c r="A180" s="11"/>
      <c r="B180" s="11"/>
      <c r="C180" s="11"/>
      <c r="D180" s="11"/>
      <c r="E180" s="11"/>
      <c r="F180" s="11"/>
      <c r="G180" s="11"/>
      <c r="H180" s="11"/>
      <c r="I180" s="11"/>
      <c r="J180" s="11"/>
      <c r="K180" s="11"/>
      <c r="L180" s="11"/>
      <c r="M180" s="11"/>
      <c r="N180" s="11"/>
      <c r="O180" s="11"/>
    </row>
    <row r="181" spans="1:15">
      <c r="A181" s="11"/>
      <c r="B181" s="11"/>
      <c r="C181" s="11"/>
      <c r="D181" s="11"/>
      <c r="E181" s="11"/>
      <c r="F181" s="11"/>
      <c r="G181" s="11"/>
      <c r="H181" s="11"/>
      <c r="I181" s="11"/>
      <c r="J181" s="11"/>
      <c r="K181" s="11"/>
      <c r="L181" s="11"/>
      <c r="M181" s="11"/>
      <c r="N181" s="11"/>
      <c r="O181" s="11"/>
    </row>
    <row r="182" spans="1:15">
      <c r="A182" s="11"/>
      <c r="B182" s="11"/>
      <c r="C182" s="11"/>
      <c r="D182" s="11"/>
      <c r="E182" s="11"/>
      <c r="F182" s="11"/>
      <c r="G182" s="11"/>
      <c r="H182" s="11"/>
      <c r="I182" s="11"/>
      <c r="J182" s="11"/>
      <c r="K182" s="11"/>
      <c r="L182" s="11"/>
      <c r="M182" s="11"/>
      <c r="N182" s="11"/>
      <c r="O182" s="11"/>
    </row>
    <row r="183" spans="1:15">
      <c r="A183" s="11"/>
      <c r="B183" s="11"/>
      <c r="C183" s="11"/>
      <c r="D183" s="11"/>
      <c r="E183" s="11"/>
      <c r="F183" s="11"/>
      <c r="G183" s="11"/>
      <c r="H183" s="11"/>
      <c r="I183" s="11"/>
      <c r="J183" s="11"/>
      <c r="K183" s="11"/>
      <c r="L183" s="11"/>
      <c r="M183" s="11"/>
      <c r="N183" s="11"/>
      <c r="O183" s="11"/>
    </row>
    <row r="184" spans="1:15">
      <c r="A184" s="11"/>
      <c r="B184" s="11"/>
      <c r="C184" s="11"/>
      <c r="D184" s="11"/>
      <c r="E184" s="11"/>
      <c r="F184" s="11"/>
      <c r="G184" s="11"/>
      <c r="H184" s="11"/>
      <c r="I184" s="11"/>
      <c r="J184" s="11"/>
      <c r="K184" s="11"/>
      <c r="L184" s="11"/>
      <c r="M184" s="11"/>
      <c r="N184" s="11"/>
      <c r="O184" s="11"/>
    </row>
    <row r="185" spans="1:15">
      <c r="A185" s="11"/>
      <c r="B185" s="11"/>
      <c r="C185" s="11"/>
      <c r="D185" s="11"/>
      <c r="E185" s="11"/>
      <c r="F185" s="11"/>
      <c r="G185" s="11"/>
      <c r="H185" s="11"/>
      <c r="I185" s="11"/>
      <c r="J185" s="11"/>
      <c r="K185" s="11"/>
      <c r="L185" s="11"/>
      <c r="M185" s="11"/>
      <c r="N185" s="11"/>
      <c r="O185" s="11"/>
    </row>
    <row r="186" spans="1:15">
      <c r="A186" s="11"/>
      <c r="B186" s="11"/>
      <c r="C186" s="11"/>
      <c r="D186" s="11"/>
      <c r="E186" s="11"/>
      <c r="F186" s="11"/>
      <c r="G186" s="11"/>
      <c r="H186" s="11"/>
      <c r="I186" s="11"/>
      <c r="J186" s="11"/>
      <c r="K186" s="11"/>
      <c r="L186" s="11"/>
      <c r="M186" s="11"/>
      <c r="N186" s="11"/>
      <c r="O186" s="11"/>
    </row>
    <row r="187" spans="1:15">
      <c r="A187" s="11"/>
      <c r="B187" s="11"/>
      <c r="C187" s="11"/>
      <c r="D187" s="11"/>
      <c r="E187" s="11"/>
      <c r="F187" s="11"/>
      <c r="G187" s="11"/>
      <c r="H187" s="11"/>
      <c r="I187" s="11"/>
      <c r="J187" s="11"/>
      <c r="K187" s="11"/>
      <c r="L187" s="11"/>
      <c r="M187" s="11"/>
      <c r="N187" s="11"/>
      <c r="O187" s="11"/>
    </row>
    <row r="188" spans="1:15">
      <c r="A188" s="11"/>
      <c r="B188" s="11"/>
      <c r="C188" s="11"/>
      <c r="D188" s="11"/>
      <c r="E188" s="11"/>
      <c r="F188" s="11"/>
      <c r="G188" s="11"/>
      <c r="H188" s="11"/>
      <c r="I188" s="11"/>
      <c r="J188" s="11"/>
      <c r="K188" s="11"/>
      <c r="L188" s="11"/>
      <c r="M188" s="11"/>
      <c r="N188" s="11"/>
      <c r="O188" s="11"/>
    </row>
    <row r="189" spans="1:15">
      <c r="A189" s="11"/>
      <c r="B189" s="11"/>
      <c r="C189" s="11"/>
      <c r="D189" s="11"/>
      <c r="E189" s="11"/>
      <c r="F189" s="11"/>
      <c r="G189" s="11"/>
      <c r="H189" s="11"/>
      <c r="I189" s="11"/>
      <c r="J189" s="11"/>
      <c r="K189" s="11"/>
      <c r="L189" s="11"/>
      <c r="M189" s="11"/>
      <c r="N189" s="11"/>
      <c r="O189" s="11"/>
    </row>
    <row r="190" spans="1:15">
      <c r="A190" s="11"/>
      <c r="B190" s="11"/>
      <c r="C190" s="11"/>
      <c r="D190" s="11"/>
      <c r="E190" s="11"/>
      <c r="F190" s="11"/>
      <c r="G190" s="11"/>
      <c r="H190" s="11"/>
      <c r="I190" s="11"/>
      <c r="J190" s="11"/>
      <c r="K190" s="11"/>
      <c r="L190" s="11"/>
      <c r="M190" s="11"/>
      <c r="N190" s="11"/>
      <c r="O190" s="11"/>
    </row>
    <row r="191" spans="1:15">
      <c r="A191" s="11"/>
      <c r="B191" s="11"/>
      <c r="C191" s="11"/>
      <c r="D191" s="11"/>
      <c r="E191" s="11"/>
      <c r="F191" s="11"/>
      <c r="G191" s="11"/>
      <c r="H191" s="11"/>
      <c r="I191" s="11"/>
      <c r="J191" s="11"/>
      <c r="K191" s="11"/>
      <c r="L191" s="11"/>
      <c r="M191" s="11"/>
      <c r="N191" s="11"/>
      <c r="O191" s="11"/>
    </row>
    <row r="192" spans="1:15">
      <c r="A192" s="11"/>
      <c r="B192" s="11"/>
      <c r="C192" s="11"/>
      <c r="D192" s="11"/>
      <c r="E192" s="11"/>
      <c r="F192" s="11"/>
      <c r="G192" s="11"/>
      <c r="H192" s="11"/>
      <c r="I192" s="11"/>
      <c r="J192" s="11"/>
      <c r="K192" s="11"/>
      <c r="L192" s="11"/>
      <c r="M192" s="11"/>
      <c r="N192" s="11"/>
      <c r="O192" s="11"/>
    </row>
    <row r="193" spans="1:15">
      <c r="A193" s="11"/>
      <c r="B193" s="11"/>
      <c r="C193" s="11"/>
      <c r="D193" s="11"/>
      <c r="E193" s="11"/>
      <c r="F193" s="11"/>
      <c r="G193" s="11"/>
      <c r="H193" s="11"/>
      <c r="I193" s="11"/>
      <c r="J193" s="11"/>
      <c r="K193" s="11"/>
      <c r="L193" s="11"/>
      <c r="M193" s="11"/>
      <c r="N193" s="11"/>
      <c r="O193" s="11"/>
    </row>
    <row r="194" spans="1:15">
      <c r="A194" s="11"/>
      <c r="B194" s="11"/>
      <c r="C194" s="11"/>
      <c r="D194" s="11"/>
      <c r="E194" s="11"/>
      <c r="F194" s="11"/>
      <c r="G194" s="11"/>
      <c r="H194" s="11"/>
      <c r="I194" s="11"/>
      <c r="J194" s="11"/>
      <c r="K194" s="11"/>
      <c r="L194" s="11"/>
      <c r="M194" s="11"/>
      <c r="N194" s="11"/>
      <c r="O194" s="11"/>
    </row>
    <row r="195" spans="1:15">
      <c r="A195" s="11"/>
      <c r="B195" s="11"/>
      <c r="C195" s="11"/>
      <c r="D195" s="11"/>
      <c r="E195" s="11"/>
      <c r="F195" s="11"/>
      <c r="G195" s="11"/>
      <c r="H195" s="11"/>
      <c r="I195" s="11"/>
      <c r="J195" s="11"/>
      <c r="K195" s="11"/>
      <c r="L195" s="11"/>
      <c r="M195" s="11"/>
      <c r="N195" s="11"/>
      <c r="O195" s="11"/>
    </row>
    <row r="196" spans="1:15">
      <c r="A196" s="11"/>
      <c r="B196" s="11"/>
      <c r="C196" s="11"/>
      <c r="D196" s="11"/>
      <c r="E196" s="11"/>
      <c r="F196" s="11"/>
      <c r="G196" s="11"/>
      <c r="H196" s="11"/>
      <c r="I196" s="11"/>
      <c r="J196" s="11"/>
      <c r="K196" s="11"/>
      <c r="L196" s="11"/>
      <c r="M196" s="11"/>
      <c r="N196" s="11"/>
      <c r="O196" s="11"/>
    </row>
    <row r="197" spans="1:15">
      <c r="A197" s="11"/>
      <c r="B197" s="11"/>
      <c r="C197" s="11"/>
      <c r="D197" s="11"/>
      <c r="E197" s="11"/>
      <c r="F197" s="11"/>
      <c r="G197" s="11"/>
      <c r="H197" s="11"/>
      <c r="I197" s="11"/>
      <c r="J197" s="11"/>
      <c r="K197" s="11"/>
      <c r="L197" s="11"/>
      <c r="M197" s="11"/>
      <c r="N197" s="11"/>
      <c r="O197" s="11"/>
    </row>
    <row r="198" spans="1:15">
      <c r="A198" s="11"/>
      <c r="B198" s="11"/>
      <c r="C198" s="11"/>
      <c r="D198" s="11"/>
      <c r="E198" s="11"/>
      <c r="F198" s="11"/>
      <c r="G198" s="11"/>
      <c r="H198" s="11"/>
      <c r="I198" s="11"/>
      <c r="J198" s="11"/>
      <c r="K198" s="11"/>
      <c r="L198" s="11"/>
      <c r="M198" s="11"/>
      <c r="N198" s="11"/>
      <c r="O198" s="11"/>
    </row>
    <row r="199" spans="1:15">
      <c r="A199" s="11"/>
      <c r="B199" s="11"/>
      <c r="C199" s="11"/>
      <c r="D199" s="11"/>
      <c r="E199" s="11"/>
      <c r="F199" s="11"/>
      <c r="G199" s="11"/>
      <c r="H199" s="11"/>
      <c r="I199" s="11"/>
      <c r="J199" s="11"/>
      <c r="K199" s="11"/>
      <c r="L199" s="11"/>
      <c r="M199" s="11"/>
      <c r="N199" s="11"/>
      <c r="O199" s="11"/>
    </row>
    <row r="200" spans="1:15">
      <c r="A200" s="11"/>
      <c r="B200" s="11"/>
      <c r="C200" s="11"/>
      <c r="D200" s="11"/>
      <c r="E200" s="11"/>
      <c r="F200" s="11"/>
      <c r="G200" s="11"/>
      <c r="H200" s="11"/>
      <c r="I200" s="11"/>
      <c r="J200" s="11"/>
      <c r="K200" s="11"/>
      <c r="L200" s="11"/>
      <c r="M200" s="11"/>
      <c r="N200" s="11"/>
      <c r="O200" s="11"/>
    </row>
    <row r="201" spans="1:15">
      <c r="A201" s="11"/>
      <c r="B201" s="11"/>
      <c r="C201" s="11"/>
      <c r="D201" s="11"/>
      <c r="E201" s="11"/>
      <c r="F201" s="11"/>
      <c r="G201" s="11"/>
      <c r="H201" s="11"/>
      <c r="I201" s="11"/>
      <c r="J201" s="11"/>
      <c r="K201" s="11"/>
      <c r="L201" s="11"/>
      <c r="M201" s="11"/>
      <c r="N201" s="11"/>
      <c r="O201" s="11"/>
    </row>
    <row r="202" spans="1:15">
      <c r="A202" s="11"/>
      <c r="B202" s="11"/>
      <c r="C202" s="11"/>
      <c r="D202" s="11"/>
      <c r="E202" s="11"/>
      <c r="F202" s="11"/>
      <c r="G202" s="11"/>
      <c r="H202" s="11"/>
      <c r="I202" s="11"/>
      <c r="J202" s="11"/>
      <c r="K202" s="11"/>
      <c r="L202" s="11"/>
      <c r="M202" s="11"/>
      <c r="N202" s="11"/>
      <c r="O202" s="11"/>
    </row>
    <row r="203" spans="1:15">
      <c r="A203" s="11"/>
      <c r="B203" s="11"/>
      <c r="C203" s="11"/>
      <c r="D203" s="11"/>
      <c r="E203" s="11"/>
      <c r="F203" s="11"/>
      <c r="G203" s="11"/>
      <c r="H203" s="11"/>
      <c r="I203" s="11"/>
      <c r="J203" s="11"/>
      <c r="K203" s="11"/>
      <c r="L203" s="11"/>
      <c r="M203" s="11"/>
      <c r="N203" s="11"/>
      <c r="O203" s="11"/>
    </row>
    <row r="204" spans="1:15">
      <c r="A204" s="11"/>
      <c r="B204" s="11"/>
      <c r="C204" s="11"/>
      <c r="D204" s="11"/>
      <c r="E204" s="11"/>
      <c r="F204" s="11"/>
      <c r="G204" s="11"/>
      <c r="H204" s="11"/>
      <c r="I204" s="11"/>
      <c r="J204" s="11"/>
      <c r="K204" s="11"/>
      <c r="L204" s="11"/>
      <c r="M204" s="11"/>
      <c r="N204" s="11"/>
      <c r="O204" s="11"/>
    </row>
    <row r="205" spans="1:15">
      <c r="A205" s="11"/>
      <c r="B205" s="11"/>
      <c r="C205" s="11"/>
      <c r="D205" s="11"/>
      <c r="E205" s="11"/>
      <c r="F205" s="11"/>
      <c r="G205" s="11"/>
      <c r="H205" s="11"/>
      <c r="I205" s="11"/>
      <c r="J205" s="11"/>
      <c r="K205" s="11"/>
      <c r="L205" s="11"/>
      <c r="M205" s="11"/>
      <c r="N205" s="11"/>
      <c r="O205" s="11"/>
    </row>
    <row r="206" spans="1:15">
      <c r="A206" s="11"/>
      <c r="B206" s="11"/>
      <c r="C206" s="11"/>
      <c r="D206" s="11"/>
      <c r="E206" s="11"/>
      <c r="F206" s="11"/>
      <c r="G206" s="11"/>
      <c r="H206" s="11"/>
      <c r="I206" s="11"/>
      <c r="J206" s="11"/>
      <c r="K206" s="11"/>
      <c r="L206" s="11"/>
      <c r="M206" s="11"/>
      <c r="N206" s="11"/>
      <c r="O206" s="11"/>
    </row>
    <row r="207" spans="1:15">
      <c r="A207" s="11"/>
      <c r="B207" s="11"/>
      <c r="C207" s="11"/>
      <c r="D207" s="11"/>
      <c r="E207" s="11"/>
      <c r="F207" s="11"/>
      <c r="G207" s="11"/>
      <c r="H207" s="11"/>
      <c r="I207" s="11"/>
      <c r="J207" s="11"/>
      <c r="K207" s="11"/>
      <c r="L207" s="11"/>
      <c r="M207" s="11"/>
      <c r="N207" s="11"/>
      <c r="O207" s="11"/>
    </row>
    <row r="208" spans="1:15">
      <c r="A208" s="11"/>
      <c r="B208" s="11"/>
      <c r="C208" s="11"/>
      <c r="D208" s="11"/>
      <c r="E208" s="11"/>
      <c r="F208" s="11"/>
      <c r="G208" s="11"/>
      <c r="H208" s="11"/>
      <c r="I208" s="11"/>
      <c r="J208" s="11"/>
      <c r="K208" s="11"/>
      <c r="L208" s="11"/>
      <c r="M208" s="11"/>
      <c r="N208" s="11"/>
      <c r="O208" s="11"/>
    </row>
    <row r="209" spans="1:15">
      <c r="A209" s="11"/>
      <c r="B209" s="11"/>
      <c r="C209" s="11"/>
      <c r="D209" s="11"/>
      <c r="E209" s="11"/>
      <c r="F209" s="11"/>
      <c r="G209" s="11"/>
      <c r="H209" s="11"/>
      <c r="I209" s="11"/>
      <c r="J209" s="11"/>
      <c r="K209" s="11"/>
      <c r="L209" s="11"/>
      <c r="M209" s="11"/>
      <c r="N209" s="11"/>
      <c r="O209" s="11"/>
    </row>
    <row r="210" spans="1:15">
      <c r="A210" s="11"/>
      <c r="B210" s="11"/>
      <c r="C210" s="11"/>
      <c r="D210" s="11"/>
      <c r="E210" s="11"/>
      <c r="F210" s="11"/>
      <c r="G210" s="11"/>
      <c r="H210" s="11"/>
      <c r="I210" s="11"/>
      <c r="J210" s="11"/>
      <c r="K210" s="11"/>
      <c r="L210" s="11"/>
      <c r="M210" s="11"/>
      <c r="N210" s="11"/>
      <c r="O210" s="11"/>
    </row>
    <row r="211" spans="1:15">
      <c r="A211" s="11"/>
      <c r="B211" s="11"/>
      <c r="C211" s="11"/>
      <c r="D211" s="11"/>
      <c r="E211" s="11"/>
      <c r="F211" s="11"/>
      <c r="G211" s="11"/>
      <c r="H211" s="11"/>
      <c r="I211" s="11"/>
      <c r="J211" s="11"/>
      <c r="K211" s="11"/>
      <c r="L211" s="11"/>
      <c r="M211" s="11"/>
      <c r="N211" s="11"/>
      <c r="O211" s="11"/>
    </row>
    <row r="212" spans="1:15">
      <c r="A212" s="11"/>
      <c r="B212" s="11"/>
      <c r="C212" s="11"/>
      <c r="D212" s="11"/>
      <c r="E212" s="11"/>
      <c r="F212" s="11"/>
      <c r="G212" s="11"/>
      <c r="H212" s="11"/>
      <c r="I212" s="11"/>
      <c r="J212" s="11"/>
      <c r="K212" s="11"/>
      <c r="L212" s="11"/>
      <c r="M212" s="11"/>
      <c r="N212" s="11"/>
      <c r="O212" s="11"/>
    </row>
    <row r="213" spans="1:15">
      <c r="A213" s="11"/>
      <c r="B213" s="11"/>
      <c r="C213" s="11"/>
      <c r="D213" s="11"/>
      <c r="E213" s="11"/>
      <c r="F213" s="11"/>
      <c r="G213" s="11"/>
      <c r="H213" s="11"/>
      <c r="I213" s="11"/>
      <c r="J213" s="11"/>
      <c r="K213" s="11"/>
      <c r="L213" s="11"/>
      <c r="M213" s="11"/>
      <c r="N213" s="11"/>
      <c r="O213" s="11"/>
    </row>
    <row r="214" spans="1:15">
      <c r="A214" s="11"/>
      <c r="B214" s="11"/>
      <c r="C214" s="11"/>
      <c r="D214" s="11"/>
      <c r="E214" s="11"/>
      <c r="F214" s="11"/>
      <c r="G214" s="11"/>
      <c r="H214" s="11"/>
      <c r="I214" s="11"/>
      <c r="J214" s="11"/>
      <c r="K214" s="11"/>
      <c r="L214" s="11"/>
      <c r="M214" s="11"/>
      <c r="N214" s="11"/>
      <c r="O214" s="11"/>
    </row>
    <row r="215" spans="1:15">
      <c r="A215" s="11"/>
      <c r="B215" s="11"/>
      <c r="C215" s="11"/>
      <c r="D215" s="11"/>
      <c r="E215" s="11"/>
      <c r="F215" s="11"/>
      <c r="G215" s="11"/>
      <c r="H215" s="11"/>
      <c r="I215" s="11"/>
      <c r="J215" s="11"/>
      <c r="K215" s="11"/>
      <c r="L215" s="11"/>
      <c r="M215" s="11"/>
      <c r="N215" s="11"/>
      <c r="O215" s="11"/>
    </row>
    <row r="216" spans="1:15">
      <c r="A216" s="11"/>
      <c r="B216" s="11"/>
      <c r="C216" s="11"/>
      <c r="D216" s="11"/>
      <c r="E216" s="11"/>
      <c r="F216" s="11"/>
      <c r="G216" s="11"/>
      <c r="H216" s="11"/>
      <c r="I216" s="11"/>
      <c r="J216" s="11"/>
      <c r="K216" s="11"/>
      <c r="L216" s="11"/>
      <c r="M216" s="11"/>
      <c r="N216" s="11"/>
      <c r="O216" s="11"/>
    </row>
    <row r="217" spans="1:15">
      <c r="A217" s="11"/>
      <c r="B217" s="11"/>
      <c r="C217" s="11"/>
      <c r="D217" s="11"/>
      <c r="E217" s="11"/>
      <c r="F217" s="11"/>
      <c r="G217" s="11"/>
      <c r="H217" s="11"/>
      <c r="I217" s="11"/>
      <c r="J217" s="11"/>
      <c r="K217" s="11"/>
      <c r="L217" s="11"/>
      <c r="M217" s="11"/>
      <c r="N217" s="11"/>
      <c r="O217" s="11"/>
    </row>
    <row r="218" spans="1:15">
      <c r="A218" s="11"/>
      <c r="B218" s="11"/>
      <c r="C218" s="11"/>
      <c r="D218" s="11"/>
      <c r="E218" s="11"/>
      <c r="F218" s="11"/>
      <c r="G218" s="11"/>
      <c r="H218" s="11"/>
      <c r="I218" s="11"/>
      <c r="J218" s="11"/>
      <c r="K218" s="11"/>
      <c r="L218" s="11"/>
      <c r="M218" s="11"/>
      <c r="N218" s="11"/>
      <c r="O218" s="11"/>
    </row>
    <row r="219" spans="1:15">
      <c r="A219" s="11"/>
      <c r="B219" s="11"/>
      <c r="C219" s="11"/>
      <c r="D219" s="11"/>
      <c r="E219" s="11"/>
      <c r="F219" s="11"/>
      <c r="G219" s="11"/>
      <c r="H219" s="11"/>
      <c r="I219" s="11"/>
      <c r="J219" s="11"/>
      <c r="K219" s="11"/>
      <c r="L219" s="11"/>
      <c r="M219" s="11"/>
      <c r="N219" s="11"/>
      <c r="O219" s="11"/>
    </row>
    <row r="220" spans="1:15">
      <c r="A220" s="11"/>
      <c r="B220" s="11"/>
      <c r="C220" s="11"/>
      <c r="D220" s="11"/>
      <c r="E220" s="11"/>
      <c r="F220" s="11"/>
      <c r="G220" s="11"/>
      <c r="H220" s="11"/>
      <c r="I220" s="11"/>
      <c r="J220" s="11"/>
      <c r="K220" s="11"/>
      <c r="L220" s="11"/>
      <c r="M220" s="11"/>
      <c r="N220" s="11"/>
      <c r="O220" s="11"/>
    </row>
    <row r="221" spans="1:15">
      <c r="A221" s="11"/>
      <c r="B221" s="11"/>
      <c r="C221" s="11"/>
      <c r="D221" s="11"/>
      <c r="E221" s="11"/>
      <c r="F221" s="11"/>
      <c r="G221" s="11"/>
      <c r="H221" s="11"/>
      <c r="I221" s="11"/>
      <c r="J221" s="11"/>
      <c r="K221" s="11"/>
      <c r="L221" s="11"/>
      <c r="M221" s="11"/>
      <c r="N221" s="11"/>
      <c r="O221" s="11"/>
    </row>
    <row r="222" spans="1:15">
      <c r="A222" s="11"/>
      <c r="B222" s="11"/>
      <c r="C222" s="11"/>
      <c r="D222" s="11"/>
      <c r="E222" s="11"/>
      <c r="F222" s="11"/>
      <c r="G222" s="11"/>
      <c r="H222" s="11"/>
      <c r="I222" s="11"/>
      <c r="J222" s="11"/>
      <c r="K222" s="11"/>
      <c r="L222" s="11"/>
      <c r="M222" s="11"/>
      <c r="N222" s="11"/>
      <c r="O222" s="11"/>
    </row>
    <row r="223" spans="1:15">
      <c r="A223" s="11"/>
      <c r="B223" s="11"/>
      <c r="C223" s="11"/>
      <c r="D223" s="11"/>
      <c r="E223" s="11"/>
      <c r="F223" s="11"/>
      <c r="G223" s="11"/>
      <c r="H223" s="11"/>
      <c r="I223" s="11"/>
      <c r="J223" s="11"/>
      <c r="K223" s="11"/>
      <c r="L223" s="11"/>
      <c r="M223" s="11"/>
      <c r="N223" s="11"/>
      <c r="O223" s="11"/>
    </row>
    <row r="224" spans="1:15">
      <c r="A224" s="11"/>
      <c r="B224" s="11"/>
      <c r="C224" s="11"/>
      <c r="D224" s="11"/>
      <c r="E224" s="11"/>
      <c r="F224" s="11"/>
      <c r="G224" s="11"/>
      <c r="H224" s="11"/>
      <c r="I224" s="11"/>
      <c r="J224" s="11"/>
      <c r="K224" s="11"/>
      <c r="L224" s="11"/>
      <c r="M224" s="11"/>
      <c r="N224" s="11"/>
      <c r="O224" s="11"/>
    </row>
    <row r="225" spans="1:15">
      <c r="A225" s="11"/>
      <c r="B225" s="11"/>
      <c r="C225" s="11"/>
      <c r="D225" s="11"/>
      <c r="E225" s="11"/>
      <c r="F225" s="11"/>
      <c r="G225" s="11"/>
      <c r="H225" s="11"/>
      <c r="I225" s="11"/>
      <c r="J225" s="11"/>
      <c r="K225" s="11"/>
      <c r="L225" s="11"/>
      <c r="M225" s="11"/>
      <c r="N225" s="11"/>
      <c r="O225" s="11"/>
    </row>
    <row r="226" spans="1:15">
      <c r="A226" s="11"/>
      <c r="B226" s="11"/>
      <c r="C226" s="11"/>
      <c r="D226" s="11"/>
      <c r="E226" s="11"/>
      <c r="F226" s="11"/>
      <c r="G226" s="11"/>
      <c r="H226" s="11"/>
      <c r="I226" s="11"/>
      <c r="J226" s="11"/>
      <c r="K226" s="11"/>
      <c r="L226" s="11"/>
      <c r="M226" s="11"/>
      <c r="N226" s="11"/>
      <c r="O226" s="11"/>
    </row>
    <row r="227" spans="1:15">
      <c r="A227" s="11"/>
      <c r="B227" s="11"/>
      <c r="C227" s="11"/>
      <c r="D227" s="11"/>
      <c r="E227" s="11"/>
      <c r="F227" s="11"/>
      <c r="G227" s="11"/>
      <c r="H227" s="11"/>
      <c r="I227" s="11"/>
      <c r="J227" s="11"/>
      <c r="K227" s="11"/>
      <c r="L227" s="11"/>
      <c r="M227" s="11"/>
      <c r="N227" s="11"/>
      <c r="O227" s="11"/>
    </row>
    <row r="228" spans="1:15">
      <c r="A228" s="11"/>
      <c r="B228" s="11"/>
      <c r="C228" s="11"/>
      <c r="D228" s="11"/>
      <c r="E228" s="11"/>
      <c r="F228" s="11"/>
      <c r="G228" s="11"/>
      <c r="H228" s="11"/>
      <c r="I228" s="11"/>
      <c r="J228" s="11"/>
      <c r="K228" s="11"/>
      <c r="L228" s="11"/>
      <c r="M228" s="11"/>
      <c r="N228" s="11"/>
      <c r="O228" s="11"/>
    </row>
    <row r="229" spans="1:15">
      <c r="A229" s="11"/>
      <c r="B229" s="11"/>
      <c r="C229" s="11"/>
      <c r="D229" s="11"/>
      <c r="E229" s="11"/>
      <c r="F229" s="11"/>
      <c r="G229" s="11"/>
      <c r="H229" s="11"/>
      <c r="I229" s="11"/>
      <c r="J229" s="11"/>
      <c r="K229" s="11"/>
      <c r="L229" s="11"/>
      <c r="M229" s="11"/>
      <c r="N229" s="11"/>
      <c r="O229" s="11"/>
    </row>
    <row r="230" spans="1:15">
      <c r="A230" s="11"/>
      <c r="B230" s="11"/>
      <c r="C230" s="11"/>
      <c r="D230" s="11"/>
      <c r="E230" s="11"/>
      <c r="F230" s="11"/>
      <c r="G230" s="11"/>
      <c r="H230" s="11"/>
      <c r="I230" s="11"/>
      <c r="J230" s="11"/>
      <c r="K230" s="11"/>
      <c r="L230" s="11"/>
      <c r="M230" s="11"/>
      <c r="N230" s="11"/>
      <c r="O230" s="11"/>
    </row>
    <row r="231" spans="1:15">
      <c r="A231" s="11"/>
      <c r="B231" s="11"/>
      <c r="C231" s="11"/>
      <c r="D231" s="11"/>
      <c r="E231" s="11"/>
      <c r="F231" s="11"/>
      <c r="G231" s="11"/>
      <c r="H231" s="11"/>
      <c r="I231" s="11"/>
      <c r="J231" s="11"/>
      <c r="K231" s="11"/>
      <c r="L231" s="11"/>
      <c r="M231" s="11"/>
      <c r="N231" s="11"/>
      <c r="O231" s="11"/>
    </row>
    <row r="232" spans="1:15">
      <c r="A232" s="11"/>
      <c r="B232" s="11"/>
      <c r="C232" s="11"/>
      <c r="D232" s="11"/>
      <c r="E232" s="11"/>
      <c r="F232" s="11"/>
      <c r="G232" s="11"/>
      <c r="H232" s="11"/>
      <c r="I232" s="11"/>
      <c r="J232" s="11"/>
      <c r="K232" s="11"/>
      <c r="L232" s="11"/>
      <c r="M232" s="11"/>
      <c r="N232" s="11"/>
      <c r="O232" s="11"/>
    </row>
    <row r="233" spans="1:15">
      <c r="A233" s="11"/>
      <c r="B233" s="11"/>
      <c r="C233" s="11"/>
      <c r="D233" s="11"/>
      <c r="E233" s="11"/>
      <c r="F233" s="11"/>
      <c r="G233" s="11"/>
      <c r="H233" s="11"/>
      <c r="I233" s="11"/>
      <c r="J233" s="11"/>
      <c r="K233" s="11"/>
      <c r="L233" s="11"/>
      <c r="M233" s="11"/>
      <c r="N233" s="11"/>
      <c r="O233" s="11"/>
    </row>
    <row r="234" spans="1:15">
      <c r="A234" s="11"/>
      <c r="B234" s="11"/>
      <c r="C234" s="11"/>
      <c r="D234" s="11"/>
      <c r="E234" s="11"/>
      <c r="F234" s="11"/>
      <c r="G234" s="11"/>
      <c r="H234" s="11"/>
      <c r="I234" s="11"/>
      <c r="J234" s="11"/>
      <c r="K234" s="11"/>
      <c r="L234" s="11"/>
      <c r="M234" s="11"/>
      <c r="N234" s="11"/>
      <c r="O234" s="11"/>
    </row>
    <row r="235" spans="1:15">
      <c r="A235" s="11"/>
      <c r="B235" s="11"/>
      <c r="C235" s="11"/>
      <c r="D235" s="11"/>
      <c r="E235" s="11"/>
      <c r="F235" s="11"/>
      <c r="G235" s="11"/>
      <c r="H235" s="11"/>
      <c r="I235" s="11"/>
      <c r="J235" s="11"/>
      <c r="K235" s="11"/>
      <c r="L235" s="11"/>
      <c r="M235" s="11"/>
      <c r="N235" s="11"/>
      <c r="O235" s="11"/>
    </row>
    <row r="236" spans="1:15">
      <c r="A236" s="11"/>
      <c r="B236" s="11"/>
      <c r="C236" s="11"/>
      <c r="D236" s="11"/>
      <c r="E236" s="11"/>
      <c r="F236" s="11"/>
      <c r="G236" s="11"/>
      <c r="H236" s="11"/>
      <c r="I236" s="11"/>
      <c r="J236" s="11"/>
      <c r="K236" s="11"/>
      <c r="L236" s="11"/>
      <c r="M236" s="11"/>
      <c r="N236" s="11"/>
      <c r="O236" s="11"/>
    </row>
    <row r="237" spans="1:15">
      <c r="A237" s="11"/>
      <c r="B237" s="11"/>
      <c r="C237" s="11"/>
      <c r="D237" s="11"/>
      <c r="E237" s="11"/>
      <c r="F237" s="11"/>
      <c r="G237" s="11"/>
      <c r="H237" s="11"/>
      <c r="I237" s="11"/>
      <c r="J237" s="11"/>
      <c r="K237" s="11"/>
      <c r="L237" s="11"/>
      <c r="M237" s="11"/>
      <c r="N237" s="11"/>
      <c r="O237" s="11"/>
    </row>
    <row r="238" spans="1:15">
      <c r="A238" s="11"/>
      <c r="B238" s="11"/>
      <c r="C238" s="11"/>
      <c r="D238" s="11"/>
      <c r="E238" s="11"/>
      <c r="F238" s="11"/>
      <c r="G238" s="11"/>
      <c r="H238" s="11"/>
      <c r="I238" s="11"/>
      <c r="J238" s="11"/>
      <c r="K238" s="11"/>
      <c r="L238" s="11"/>
      <c r="M238" s="11"/>
      <c r="N238" s="11"/>
      <c r="O238" s="11"/>
    </row>
    <row r="239" spans="1:15">
      <c r="A239" s="11"/>
      <c r="B239" s="11"/>
      <c r="C239" s="11"/>
      <c r="D239" s="11"/>
      <c r="E239" s="11"/>
      <c r="F239" s="11"/>
      <c r="G239" s="11"/>
      <c r="H239" s="11"/>
      <c r="I239" s="11"/>
      <c r="J239" s="11"/>
      <c r="K239" s="11"/>
      <c r="L239" s="11"/>
      <c r="M239" s="11"/>
      <c r="N239" s="11"/>
      <c r="O239" s="11"/>
    </row>
    <row r="240" spans="1:15">
      <c r="A240" s="11"/>
      <c r="B240" s="11"/>
      <c r="C240" s="11"/>
      <c r="D240" s="11"/>
      <c r="E240" s="11"/>
      <c r="F240" s="11"/>
      <c r="G240" s="11"/>
      <c r="H240" s="11"/>
      <c r="I240" s="11"/>
      <c r="J240" s="11"/>
      <c r="K240" s="11"/>
      <c r="L240" s="11"/>
      <c r="M240" s="11"/>
      <c r="N240" s="11"/>
      <c r="O240" s="11"/>
    </row>
    <row r="241" spans="1:15">
      <c r="A241" s="11"/>
      <c r="B241" s="11"/>
      <c r="C241" s="11"/>
      <c r="D241" s="11"/>
      <c r="E241" s="11"/>
      <c r="F241" s="11"/>
      <c r="G241" s="11"/>
      <c r="H241" s="11"/>
      <c r="I241" s="11"/>
      <c r="J241" s="11"/>
      <c r="K241" s="11"/>
      <c r="L241" s="11"/>
      <c r="M241" s="11"/>
      <c r="N241" s="11"/>
      <c r="O241" s="11"/>
    </row>
    <row r="242" spans="1:15">
      <c r="A242" s="11"/>
      <c r="B242" s="11"/>
      <c r="C242" s="11"/>
      <c r="D242" s="11"/>
      <c r="E242" s="11"/>
      <c r="F242" s="11"/>
      <c r="G242" s="11"/>
      <c r="H242" s="11"/>
      <c r="I242" s="11"/>
      <c r="J242" s="11"/>
      <c r="K242" s="11"/>
      <c r="L242" s="11"/>
      <c r="M242" s="11"/>
      <c r="N242" s="11"/>
      <c r="O242" s="11"/>
    </row>
    <row r="243" spans="1:15">
      <c r="A243" s="11"/>
      <c r="B243" s="11"/>
      <c r="C243" s="11"/>
      <c r="D243" s="11"/>
      <c r="E243" s="11"/>
      <c r="F243" s="11"/>
      <c r="G243" s="11"/>
      <c r="H243" s="11"/>
      <c r="I243" s="11"/>
      <c r="J243" s="11"/>
      <c r="K243" s="11"/>
      <c r="L243" s="11"/>
      <c r="M243" s="11"/>
      <c r="N243" s="11"/>
      <c r="O243" s="11"/>
    </row>
    <row r="244" spans="1:15">
      <c r="A244" s="11"/>
      <c r="B244" s="11"/>
      <c r="C244" s="11"/>
      <c r="D244" s="11"/>
      <c r="E244" s="11"/>
      <c r="F244" s="11"/>
      <c r="G244" s="11"/>
      <c r="H244" s="11"/>
      <c r="I244" s="11"/>
      <c r="J244" s="11"/>
      <c r="K244" s="11"/>
      <c r="L244" s="11"/>
      <c r="M244" s="11"/>
      <c r="N244" s="11"/>
      <c r="O244" s="11"/>
    </row>
    <row r="245" spans="1:15">
      <c r="A245" s="11"/>
      <c r="B245" s="11"/>
      <c r="C245" s="11"/>
      <c r="D245" s="11"/>
      <c r="E245" s="11"/>
      <c r="F245" s="11"/>
      <c r="G245" s="11"/>
      <c r="H245" s="11"/>
      <c r="I245" s="11"/>
      <c r="J245" s="11"/>
      <c r="K245" s="11"/>
      <c r="L245" s="11"/>
      <c r="M245" s="11"/>
      <c r="N245" s="11"/>
      <c r="O245" s="11"/>
    </row>
    <row r="246" spans="1:15">
      <c r="A246" s="11"/>
      <c r="B246" s="11"/>
      <c r="C246" s="11"/>
      <c r="D246" s="11"/>
      <c r="E246" s="11"/>
      <c r="F246" s="11"/>
      <c r="G246" s="11"/>
      <c r="H246" s="11"/>
      <c r="I246" s="11"/>
      <c r="J246" s="11"/>
      <c r="K246" s="11"/>
      <c r="L246" s="11"/>
      <c r="M246" s="11"/>
      <c r="N246" s="11"/>
      <c r="O246" s="11"/>
    </row>
    <row r="247" spans="1:15">
      <c r="A247" s="11"/>
      <c r="B247" s="11"/>
      <c r="C247" s="11"/>
      <c r="D247" s="11"/>
      <c r="E247" s="11"/>
      <c r="F247" s="11"/>
      <c r="G247" s="11"/>
      <c r="H247" s="11"/>
      <c r="I247" s="11"/>
      <c r="J247" s="11"/>
      <c r="K247" s="11"/>
      <c r="L247" s="11"/>
      <c r="M247" s="11"/>
      <c r="N247" s="11"/>
      <c r="O247" s="11"/>
    </row>
    <row r="248" spans="1:15">
      <c r="A248" s="11"/>
      <c r="B248" s="11"/>
      <c r="C248" s="11"/>
      <c r="D248" s="11"/>
      <c r="E248" s="11"/>
      <c r="F248" s="11"/>
      <c r="G248" s="11"/>
      <c r="H248" s="11"/>
      <c r="I248" s="11"/>
      <c r="J248" s="11"/>
      <c r="K248" s="11"/>
      <c r="L248" s="11"/>
      <c r="M248" s="11"/>
      <c r="N248" s="11"/>
      <c r="O248" s="11"/>
    </row>
    <row r="249" spans="1:15">
      <c r="A249" s="11"/>
      <c r="B249" s="11"/>
      <c r="C249" s="11"/>
      <c r="D249" s="11"/>
      <c r="E249" s="11"/>
      <c r="F249" s="11"/>
      <c r="G249" s="11"/>
      <c r="H249" s="11"/>
      <c r="I249" s="11"/>
      <c r="J249" s="11"/>
      <c r="K249" s="11"/>
      <c r="L249" s="11"/>
      <c r="M249" s="11"/>
      <c r="N249" s="11"/>
      <c r="O249" s="11"/>
    </row>
    <row r="250" spans="1:15">
      <c r="A250" s="11"/>
      <c r="B250" s="11"/>
      <c r="C250" s="11"/>
      <c r="D250" s="11"/>
      <c r="E250" s="11"/>
      <c r="F250" s="11"/>
      <c r="G250" s="11"/>
      <c r="H250" s="11"/>
      <c r="I250" s="11"/>
      <c r="J250" s="11"/>
      <c r="K250" s="11"/>
      <c r="L250" s="11"/>
      <c r="M250" s="11"/>
      <c r="N250" s="11"/>
      <c r="O250" s="11"/>
    </row>
    <row r="251" spans="1:15">
      <c r="A251" s="11"/>
      <c r="B251" s="11"/>
      <c r="C251" s="11"/>
      <c r="D251" s="11"/>
      <c r="E251" s="11"/>
      <c r="F251" s="11"/>
      <c r="G251" s="11"/>
      <c r="H251" s="11"/>
      <c r="I251" s="11"/>
      <c r="J251" s="11"/>
      <c r="K251" s="11"/>
      <c r="L251" s="11"/>
      <c r="M251" s="11"/>
      <c r="N251" s="11"/>
      <c r="O251" s="11"/>
    </row>
    <row r="252" spans="1:15">
      <c r="A252" s="11"/>
      <c r="B252" s="11"/>
      <c r="C252" s="11"/>
      <c r="D252" s="11"/>
      <c r="E252" s="11"/>
      <c r="F252" s="11"/>
      <c r="G252" s="11"/>
      <c r="H252" s="11"/>
      <c r="I252" s="11"/>
      <c r="J252" s="11"/>
      <c r="K252" s="11"/>
      <c r="L252" s="11"/>
      <c r="M252" s="11"/>
      <c r="N252" s="11"/>
      <c r="O252" s="11"/>
    </row>
    <row r="253" spans="1:15">
      <c r="A253" s="11"/>
      <c r="B253" s="11"/>
      <c r="C253" s="11"/>
      <c r="D253" s="11"/>
      <c r="E253" s="11"/>
      <c r="F253" s="11"/>
      <c r="G253" s="11"/>
      <c r="H253" s="11"/>
      <c r="I253" s="11"/>
      <c r="J253" s="11"/>
      <c r="K253" s="11"/>
      <c r="L253" s="11"/>
      <c r="M253" s="11"/>
      <c r="N253" s="11"/>
      <c r="O253" s="11"/>
    </row>
    <row r="254" spans="1:15">
      <c r="A254" s="11"/>
      <c r="B254" s="11"/>
      <c r="C254" s="11"/>
      <c r="D254" s="11"/>
      <c r="E254" s="11"/>
      <c r="F254" s="11"/>
      <c r="G254" s="11"/>
      <c r="H254" s="11"/>
      <c r="I254" s="11"/>
      <c r="J254" s="11"/>
      <c r="K254" s="11"/>
      <c r="L254" s="11"/>
      <c r="M254" s="11"/>
      <c r="N254" s="11"/>
      <c r="O254" s="11"/>
    </row>
    <row r="255" spans="1:15">
      <c r="A255" s="11"/>
      <c r="B255" s="11"/>
      <c r="C255" s="11"/>
      <c r="D255" s="11"/>
      <c r="E255" s="11"/>
      <c r="F255" s="11"/>
      <c r="G255" s="11"/>
      <c r="H255" s="11"/>
      <c r="I255" s="11"/>
      <c r="J255" s="11"/>
      <c r="K255" s="11"/>
      <c r="L255" s="11"/>
      <c r="M255" s="11"/>
      <c r="N255" s="11"/>
      <c r="O255" s="11"/>
    </row>
    <row r="256" spans="1:15">
      <c r="A256" s="11"/>
      <c r="B256" s="11"/>
      <c r="C256" s="11"/>
      <c r="D256" s="11"/>
      <c r="E256" s="11"/>
      <c r="F256" s="11"/>
      <c r="G256" s="11"/>
      <c r="H256" s="11"/>
      <c r="I256" s="11"/>
      <c r="J256" s="11"/>
      <c r="K256" s="11"/>
      <c r="L256" s="11"/>
      <c r="M256" s="11"/>
      <c r="N256" s="11"/>
      <c r="O256" s="11"/>
    </row>
    <row r="257" spans="1:15">
      <c r="A257" s="11"/>
      <c r="B257" s="11"/>
      <c r="C257" s="11"/>
      <c r="D257" s="11"/>
      <c r="E257" s="11"/>
      <c r="F257" s="11"/>
      <c r="G257" s="11"/>
      <c r="H257" s="11"/>
      <c r="I257" s="11"/>
      <c r="J257" s="11"/>
      <c r="K257" s="11"/>
      <c r="L257" s="11"/>
      <c r="M257" s="11"/>
      <c r="N257" s="11"/>
      <c r="O257" s="11"/>
    </row>
    <row r="258" spans="1:15">
      <c r="A258" s="11"/>
      <c r="B258" s="11"/>
      <c r="C258" s="11"/>
      <c r="D258" s="11"/>
      <c r="E258" s="11"/>
      <c r="F258" s="11"/>
      <c r="G258" s="11"/>
      <c r="H258" s="11"/>
      <c r="I258" s="11"/>
      <c r="J258" s="11"/>
      <c r="K258" s="11"/>
      <c r="L258" s="11"/>
      <c r="M258" s="11"/>
      <c r="N258" s="11"/>
      <c r="O258" s="11"/>
    </row>
    <row r="259" spans="1:15">
      <c r="A259" s="11"/>
      <c r="B259" s="11"/>
      <c r="C259" s="11"/>
      <c r="D259" s="11"/>
      <c r="E259" s="11"/>
      <c r="F259" s="11"/>
      <c r="G259" s="11"/>
      <c r="H259" s="11"/>
      <c r="I259" s="11"/>
      <c r="J259" s="11"/>
      <c r="K259" s="11"/>
      <c r="L259" s="11"/>
      <c r="M259" s="11"/>
      <c r="N259" s="11"/>
      <c r="O259" s="11"/>
    </row>
    <row r="260" spans="1:15">
      <c r="A260" s="11"/>
      <c r="B260" s="11"/>
      <c r="C260" s="11"/>
      <c r="D260" s="11"/>
      <c r="E260" s="11"/>
      <c r="F260" s="11"/>
      <c r="G260" s="11"/>
      <c r="H260" s="11"/>
      <c r="I260" s="11"/>
      <c r="J260" s="11"/>
      <c r="K260" s="11"/>
      <c r="L260" s="11"/>
      <c r="M260" s="11"/>
      <c r="N260" s="11"/>
      <c r="O260" s="11"/>
    </row>
    <row r="261" spans="1:15">
      <c r="A261" s="11"/>
      <c r="B261" s="11"/>
      <c r="C261" s="11"/>
      <c r="D261" s="11"/>
      <c r="E261" s="11"/>
      <c r="F261" s="11"/>
      <c r="G261" s="11"/>
      <c r="H261" s="11"/>
      <c r="I261" s="11"/>
      <c r="J261" s="11"/>
      <c r="K261" s="11"/>
      <c r="L261" s="11"/>
      <c r="M261" s="11"/>
      <c r="N261" s="11"/>
      <c r="O261" s="11"/>
    </row>
    <row r="262" spans="1:15">
      <c r="A262" s="11"/>
      <c r="B262" s="11"/>
      <c r="C262" s="11"/>
      <c r="D262" s="11"/>
      <c r="E262" s="11"/>
      <c r="F262" s="11"/>
      <c r="G262" s="11"/>
      <c r="H262" s="11"/>
      <c r="I262" s="11"/>
      <c r="J262" s="11"/>
      <c r="K262" s="11"/>
      <c r="L262" s="11"/>
      <c r="M262" s="11"/>
      <c r="N262" s="11"/>
      <c r="O262" s="11"/>
    </row>
    <row r="263" spans="1:15">
      <c r="A263" s="11"/>
      <c r="B263" s="11"/>
      <c r="C263" s="11"/>
      <c r="D263" s="11"/>
      <c r="E263" s="11"/>
      <c r="F263" s="11"/>
      <c r="G263" s="11"/>
      <c r="H263" s="11"/>
      <c r="I263" s="11"/>
      <c r="J263" s="11"/>
      <c r="K263" s="11"/>
      <c r="L263" s="11"/>
      <c r="M263" s="11"/>
      <c r="N263" s="11"/>
      <c r="O263" s="11"/>
    </row>
    <row r="264" spans="1:15">
      <c r="A264" s="11"/>
      <c r="B264" s="11"/>
      <c r="C264" s="11"/>
      <c r="D264" s="11"/>
      <c r="E264" s="11"/>
      <c r="F264" s="11"/>
      <c r="G264" s="11"/>
      <c r="H264" s="11"/>
      <c r="I264" s="11"/>
      <c r="J264" s="11"/>
      <c r="K264" s="11"/>
      <c r="L264" s="11"/>
      <c r="M264" s="11"/>
      <c r="N264" s="11"/>
      <c r="O264" s="11"/>
    </row>
    <row r="265" spans="1:15">
      <c r="A265" s="11"/>
      <c r="B265" s="11"/>
      <c r="C265" s="11"/>
      <c r="D265" s="11"/>
      <c r="E265" s="11"/>
      <c r="F265" s="11"/>
      <c r="G265" s="11"/>
      <c r="H265" s="11"/>
      <c r="I265" s="11"/>
      <c r="J265" s="11"/>
      <c r="K265" s="11"/>
      <c r="L265" s="11"/>
      <c r="M265" s="11"/>
      <c r="N265" s="11"/>
      <c r="O265" s="11"/>
    </row>
    <row r="266" spans="1:15">
      <c r="A266" s="11"/>
      <c r="B266" s="11"/>
      <c r="C266" s="11"/>
      <c r="D266" s="11"/>
      <c r="E266" s="11"/>
      <c r="F266" s="11"/>
      <c r="G266" s="11"/>
      <c r="H266" s="11"/>
      <c r="I266" s="11"/>
      <c r="J266" s="11"/>
      <c r="K266" s="11"/>
      <c r="L266" s="11"/>
      <c r="M266" s="11"/>
      <c r="N266" s="11"/>
      <c r="O266" s="11"/>
    </row>
    <row r="267" spans="1:15">
      <c r="A267" s="11"/>
      <c r="B267" s="11"/>
      <c r="C267" s="11"/>
      <c r="D267" s="11"/>
      <c r="E267" s="11"/>
      <c r="F267" s="11"/>
      <c r="G267" s="11"/>
      <c r="H267" s="11"/>
      <c r="I267" s="11"/>
      <c r="J267" s="11"/>
      <c r="K267" s="11"/>
      <c r="L267" s="11"/>
      <c r="M267" s="11"/>
      <c r="N267" s="11"/>
      <c r="O267" s="11"/>
    </row>
    <row r="268" spans="1:15">
      <c r="A268" s="11"/>
      <c r="B268" s="11"/>
      <c r="C268" s="11"/>
      <c r="D268" s="11"/>
      <c r="E268" s="11"/>
      <c r="F268" s="11"/>
      <c r="G268" s="11"/>
      <c r="H268" s="11"/>
      <c r="I268" s="11"/>
      <c r="J268" s="11"/>
      <c r="K268" s="11"/>
      <c r="L268" s="11"/>
      <c r="M268" s="11"/>
      <c r="N268" s="11"/>
      <c r="O268" s="11"/>
    </row>
    <row r="269" spans="1:15">
      <c r="A269" s="11"/>
      <c r="B269" s="11"/>
      <c r="C269" s="11"/>
      <c r="D269" s="11"/>
      <c r="E269" s="11"/>
      <c r="F269" s="11"/>
      <c r="G269" s="11"/>
      <c r="H269" s="11"/>
      <c r="I269" s="11"/>
      <c r="J269" s="11"/>
      <c r="K269" s="11"/>
      <c r="L269" s="11"/>
      <c r="M269" s="11"/>
      <c r="N269" s="11"/>
      <c r="O269" s="11"/>
    </row>
    <row r="270" spans="1:15">
      <c r="A270" s="11"/>
      <c r="B270" s="11"/>
      <c r="C270" s="11"/>
      <c r="D270" s="11"/>
      <c r="E270" s="11"/>
      <c r="F270" s="11"/>
      <c r="G270" s="11"/>
      <c r="H270" s="11"/>
      <c r="I270" s="11"/>
      <c r="J270" s="11"/>
      <c r="K270" s="11"/>
      <c r="L270" s="11"/>
      <c r="M270" s="11"/>
      <c r="N270" s="11"/>
      <c r="O270" s="11"/>
    </row>
    <row r="271" spans="1:15">
      <c r="A271" s="11"/>
      <c r="B271" s="11"/>
      <c r="C271" s="11"/>
      <c r="D271" s="11"/>
      <c r="E271" s="11"/>
      <c r="F271" s="11"/>
      <c r="G271" s="11"/>
      <c r="H271" s="11"/>
      <c r="I271" s="11"/>
      <c r="J271" s="11"/>
      <c r="K271" s="11"/>
      <c r="L271" s="11"/>
      <c r="M271" s="11"/>
      <c r="N271" s="11"/>
      <c r="O271" s="11"/>
    </row>
    <row r="272" spans="1:15">
      <c r="A272" s="11"/>
      <c r="B272" s="11"/>
      <c r="C272" s="11"/>
      <c r="D272" s="11"/>
      <c r="E272" s="11"/>
      <c r="F272" s="11"/>
      <c r="G272" s="11"/>
      <c r="H272" s="11"/>
      <c r="I272" s="11"/>
      <c r="J272" s="11"/>
      <c r="K272" s="11"/>
      <c r="L272" s="11"/>
      <c r="M272" s="11"/>
      <c r="N272" s="11"/>
      <c r="O272" s="11"/>
    </row>
    <row r="273" spans="1:15">
      <c r="A273" s="11"/>
      <c r="B273" s="11"/>
      <c r="C273" s="11"/>
      <c r="D273" s="11"/>
      <c r="E273" s="11"/>
      <c r="F273" s="11"/>
      <c r="G273" s="11"/>
      <c r="H273" s="11"/>
      <c r="I273" s="11"/>
      <c r="J273" s="11"/>
      <c r="K273" s="11"/>
      <c r="L273" s="11"/>
      <c r="M273" s="11"/>
      <c r="N273" s="11"/>
      <c r="O273" s="11"/>
    </row>
    <row r="274" spans="1:15">
      <c r="A274" s="11"/>
      <c r="B274" s="11"/>
      <c r="C274" s="11"/>
      <c r="D274" s="11"/>
      <c r="E274" s="11"/>
      <c r="F274" s="11"/>
      <c r="G274" s="11"/>
      <c r="H274" s="11"/>
      <c r="I274" s="11"/>
      <c r="J274" s="11"/>
      <c r="K274" s="11"/>
      <c r="L274" s="11"/>
      <c r="M274" s="11"/>
      <c r="N274" s="11"/>
      <c r="O274" s="11"/>
    </row>
    <row r="275" spans="1:15">
      <c r="A275" s="11"/>
      <c r="B275" s="11"/>
      <c r="C275" s="11"/>
      <c r="D275" s="11"/>
      <c r="E275" s="11"/>
      <c r="F275" s="11"/>
      <c r="G275" s="11"/>
      <c r="H275" s="11"/>
      <c r="I275" s="11"/>
      <c r="J275" s="11"/>
      <c r="K275" s="11"/>
      <c r="L275" s="11"/>
      <c r="M275" s="11"/>
      <c r="N275" s="11"/>
      <c r="O275" s="11"/>
    </row>
    <row r="276" spans="1:15">
      <c r="A276" s="11"/>
      <c r="B276" s="11"/>
      <c r="C276" s="11"/>
      <c r="D276" s="11"/>
      <c r="E276" s="11"/>
      <c r="F276" s="11"/>
      <c r="G276" s="11"/>
      <c r="H276" s="11"/>
      <c r="I276" s="11"/>
      <c r="J276" s="11"/>
      <c r="K276" s="11"/>
      <c r="L276" s="11"/>
      <c r="M276" s="11"/>
      <c r="N276" s="11"/>
      <c r="O276" s="11"/>
    </row>
    <row r="277" spans="1:15">
      <c r="A277" s="11"/>
      <c r="B277" s="11"/>
      <c r="C277" s="11"/>
      <c r="D277" s="11"/>
      <c r="E277" s="11"/>
      <c r="F277" s="11"/>
      <c r="G277" s="11"/>
      <c r="H277" s="11"/>
      <c r="I277" s="11"/>
      <c r="J277" s="11"/>
      <c r="K277" s="11"/>
      <c r="L277" s="11"/>
      <c r="M277" s="11"/>
      <c r="N277" s="11"/>
      <c r="O277" s="11"/>
    </row>
    <row r="278" spans="1:15">
      <c r="A278" s="11"/>
      <c r="B278" s="11"/>
      <c r="C278" s="11"/>
      <c r="D278" s="11"/>
      <c r="E278" s="11"/>
      <c r="F278" s="11"/>
      <c r="G278" s="11"/>
      <c r="H278" s="11"/>
      <c r="I278" s="11"/>
      <c r="J278" s="11"/>
      <c r="K278" s="11"/>
      <c r="L278" s="11"/>
      <c r="M278" s="11"/>
      <c r="N278" s="11"/>
      <c r="O278" s="11"/>
    </row>
    <row r="279" spans="1:15">
      <c r="A279" s="11"/>
      <c r="B279" s="11"/>
      <c r="C279" s="11"/>
      <c r="D279" s="11"/>
      <c r="E279" s="11"/>
      <c r="F279" s="11"/>
      <c r="G279" s="11"/>
      <c r="H279" s="11"/>
      <c r="I279" s="11"/>
      <c r="J279" s="11"/>
      <c r="K279" s="11"/>
      <c r="L279" s="11"/>
      <c r="M279" s="11"/>
      <c r="N279" s="11"/>
      <c r="O279" s="11"/>
    </row>
    <row r="280" spans="1:15">
      <c r="A280" s="11"/>
      <c r="B280" s="11"/>
      <c r="C280" s="11"/>
      <c r="D280" s="11"/>
      <c r="E280" s="11"/>
      <c r="F280" s="11"/>
      <c r="G280" s="11"/>
      <c r="H280" s="11"/>
      <c r="I280" s="11"/>
      <c r="J280" s="11"/>
      <c r="K280" s="11"/>
      <c r="L280" s="11"/>
      <c r="M280" s="11"/>
      <c r="N280" s="11"/>
      <c r="O280" s="11"/>
    </row>
    <row r="281" spans="1:15">
      <c r="A281" s="11"/>
      <c r="B281" s="11"/>
      <c r="C281" s="11"/>
      <c r="D281" s="11"/>
      <c r="E281" s="11"/>
      <c r="F281" s="11"/>
      <c r="G281" s="11"/>
      <c r="H281" s="11"/>
      <c r="I281" s="11"/>
      <c r="J281" s="11"/>
      <c r="K281" s="11"/>
      <c r="L281" s="11"/>
      <c r="M281" s="11"/>
      <c r="N281" s="11"/>
      <c r="O281" s="11"/>
    </row>
    <row r="282" spans="1:15">
      <c r="A282" s="11"/>
      <c r="B282" s="11"/>
      <c r="C282" s="11"/>
      <c r="D282" s="11"/>
      <c r="E282" s="11"/>
      <c r="F282" s="11"/>
      <c r="G282" s="11"/>
      <c r="H282" s="11"/>
      <c r="I282" s="11"/>
      <c r="J282" s="11"/>
      <c r="K282" s="11"/>
      <c r="L282" s="11"/>
      <c r="M282" s="11"/>
      <c r="N282" s="11"/>
      <c r="O282" s="11"/>
    </row>
    <row r="283" spans="1:15">
      <c r="A283" s="11"/>
      <c r="B283" s="11"/>
      <c r="C283" s="11"/>
      <c r="D283" s="11"/>
      <c r="E283" s="11"/>
      <c r="F283" s="11"/>
      <c r="G283" s="11"/>
      <c r="H283" s="11"/>
      <c r="I283" s="11"/>
      <c r="J283" s="11"/>
      <c r="K283" s="11"/>
      <c r="L283" s="11"/>
      <c r="M283" s="11"/>
      <c r="N283" s="11"/>
      <c r="O283" s="11"/>
    </row>
    <row r="284" spans="1:15">
      <c r="A284" s="11"/>
      <c r="B284" s="11"/>
      <c r="C284" s="11"/>
      <c r="D284" s="11"/>
      <c r="E284" s="11"/>
      <c r="F284" s="11"/>
      <c r="G284" s="11"/>
      <c r="H284" s="11"/>
      <c r="I284" s="11"/>
      <c r="J284" s="11"/>
      <c r="K284" s="11"/>
      <c r="L284" s="11"/>
      <c r="M284" s="11"/>
      <c r="N284" s="11"/>
      <c r="O284" s="11"/>
    </row>
    <row r="285" spans="1:15">
      <c r="A285" s="11"/>
      <c r="B285" s="11"/>
      <c r="C285" s="11"/>
      <c r="D285" s="11"/>
      <c r="E285" s="11"/>
      <c r="F285" s="11"/>
      <c r="G285" s="11"/>
      <c r="H285" s="11"/>
      <c r="I285" s="11"/>
      <c r="J285" s="11"/>
      <c r="K285" s="11"/>
      <c r="L285" s="11"/>
      <c r="M285" s="11"/>
      <c r="N285" s="11"/>
      <c r="O285" s="11"/>
    </row>
    <row r="286" spans="1:15">
      <c r="A286" s="11"/>
      <c r="B286" s="11"/>
      <c r="C286" s="11"/>
      <c r="D286" s="11"/>
      <c r="E286" s="11"/>
      <c r="F286" s="11"/>
      <c r="G286" s="11"/>
      <c r="H286" s="11"/>
      <c r="I286" s="11"/>
      <c r="J286" s="11"/>
      <c r="K286" s="11"/>
      <c r="L286" s="11"/>
      <c r="M286" s="11"/>
      <c r="N286" s="11"/>
      <c r="O286" s="11"/>
    </row>
    <row r="287" spans="1:15">
      <c r="A287" s="11"/>
      <c r="B287" s="11"/>
      <c r="C287" s="11"/>
      <c r="D287" s="11"/>
      <c r="E287" s="11"/>
      <c r="F287" s="11"/>
      <c r="G287" s="11"/>
      <c r="H287" s="11"/>
      <c r="I287" s="11"/>
      <c r="J287" s="11"/>
      <c r="K287" s="11"/>
      <c r="L287" s="11"/>
      <c r="M287" s="11"/>
      <c r="N287" s="11"/>
      <c r="O287" s="11"/>
    </row>
    <row r="288" spans="1:15">
      <c r="A288" s="11"/>
      <c r="B288" s="11"/>
      <c r="C288" s="11"/>
      <c r="D288" s="11"/>
      <c r="E288" s="11"/>
      <c r="F288" s="11"/>
      <c r="G288" s="11"/>
      <c r="H288" s="11"/>
      <c r="I288" s="11"/>
      <c r="J288" s="11"/>
      <c r="K288" s="11"/>
      <c r="L288" s="11"/>
      <c r="M288" s="11"/>
      <c r="N288" s="11"/>
      <c r="O288" s="11"/>
    </row>
    <row r="289" spans="1:15">
      <c r="A289" s="11"/>
      <c r="B289" s="11"/>
      <c r="C289" s="11"/>
      <c r="D289" s="11"/>
      <c r="E289" s="11"/>
      <c r="F289" s="11"/>
      <c r="G289" s="11"/>
      <c r="H289" s="11"/>
      <c r="I289" s="11"/>
      <c r="J289" s="11"/>
      <c r="K289" s="11"/>
      <c r="L289" s="11"/>
      <c r="M289" s="11"/>
      <c r="N289" s="11"/>
      <c r="O289" s="11"/>
    </row>
    <row r="290" spans="1:15">
      <c r="A290" s="11"/>
      <c r="B290" s="11"/>
      <c r="C290" s="11"/>
      <c r="D290" s="11"/>
      <c r="E290" s="11"/>
      <c r="F290" s="11"/>
      <c r="G290" s="11"/>
      <c r="H290" s="11"/>
      <c r="I290" s="11"/>
      <c r="J290" s="11"/>
      <c r="K290" s="11"/>
      <c r="L290" s="11"/>
      <c r="M290" s="11"/>
      <c r="N290" s="11"/>
      <c r="O290" s="11"/>
    </row>
    <row r="291" spans="1:15">
      <c r="A291" s="11"/>
      <c r="B291" s="11"/>
      <c r="C291" s="11"/>
      <c r="D291" s="11"/>
      <c r="E291" s="11"/>
      <c r="F291" s="11"/>
      <c r="G291" s="11"/>
      <c r="H291" s="11"/>
      <c r="I291" s="11"/>
      <c r="J291" s="11"/>
      <c r="K291" s="11"/>
      <c r="L291" s="11"/>
      <c r="M291" s="11"/>
      <c r="N291" s="11"/>
      <c r="O291" s="11"/>
    </row>
    <row r="292" spans="1:15">
      <c r="A292" s="11"/>
      <c r="B292" s="11"/>
      <c r="C292" s="11"/>
      <c r="D292" s="11"/>
      <c r="E292" s="11"/>
      <c r="F292" s="11"/>
      <c r="G292" s="11"/>
      <c r="H292" s="11"/>
      <c r="I292" s="11"/>
      <c r="J292" s="11"/>
      <c r="K292" s="11"/>
      <c r="L292" s="11"/>
      <c r="M292" s="11"/>
      <c r="N292" s="11"/>
      <c r="O292" s="11"/>
    </row>
    <row r="293" spans="1:15">
      <c r="A293" s="11"/>
      <c r="B293" s="11"/>
      <c r="C293" s="11"/>
      <c r="D293" s="11"/>
      <c r="E293" s="11"/>
      <c r="F293" s="11"/>
      <c r="G293" s="11"/>
      <c r="H293" s="11"/>
      <c r="I293" s="11"/>
      <c r="J293" s="11"/>
      <c r="K293" s="11"/>
      <c r="L293" s="11"/>
      <c r="M293" s="11"/>
      <c r="N293" s="11"/>
      <c r="O293" s="11"/>
    </row>
    <row r="294" spans="1:15">
      <c r="A294" s="11"/>
      <c r="B294" s="11"/>
      <c r="C294" s="11"/>
      <c r="D294" s="11"/>
      <c r="E294" s="11"/>
      <c r="F294" s="11"/>
      <c r="G294" s="11"/>
      <c r="H294" s="11"/>
      <c r="I294" s="11"/>
      <c r="J294" s="11"/>
      <c r="K294" s="11"/>
      <c r="L294" s="11"/>
      <c r="M294" s="11"/>
      <c r="N294" s="11"/>
      <c r="O294" s="11"/>
    </row>
    <row r="295" spans="1:15">
      <c r="A295" s="11"/>
      <c r="B295" s="11"/>
      <c r="C295" s="11"/>
      <c r="D295" s="11"/>
      <c r="E295" s="11"/>
      <c r="F295" s="11"/>
      <c r="G295" s="11"/>
      <c r="H295" s="11"/>
      <c r="I295" s="11"/>
      <c r="J295" s="11"/>
      <c r="K295" s="11"/>
      <c r="L295" s="11"/>
      <c r="M295" s="11"/>
      <c r="N295" s="11"/>
      <c r="O295" s="11"/>
    </row>
    <row r="296" spans="1:15">
      <c r="A296" s="11"/>
      <c r="B296" s="11"/>
      <c r="C296" s="11"/>
      <c r="D296" s="11"/>
      <c r="E296" s="11"/>
      <c r="F296" s="11"/>
      <c r="G296" s="11"/>
      <c r="H296" s="11"/>
      <c r="I296" s="11"/>
      <c r="J296" s="11"/>
      <c r="K296" s="11"/>
      <c r="L296" s="11"/>
      <c r="M296" s="11"/>
      <c r="N296" s="11"/>
      <c r="O296" s="11"/>
    </row>
    <row r="297" spans="1:15">
      <c r="A297" s="11"/>
      <c r="B297" s="11"/>
      <c r="C297" s="11"/>
      <c r="D297" s="11"/>
      <c r="E297" s="11"/>
      <c r="F297" s="11"/>
      <c r="G297" s="11"/>
      <c r="H297" s="11"/>
      <c r="I297" s="11"/>
      <c r="J297" s="11"/>
      <c r="K297" s="11"/>
      <c r="L297" s="11"/>
      <c r="M297" s="11"/>
      <c r="N297" s="11"/>
      <c r="O297" s="11"/>
    </row>
    <row r="298" spans="1:15">
      <c r="A298" s="11"/>
      <c r="B298" s="11"/>
      <c r="C298" s="11"/>
      <c r="D298" s="11"/>
      <c r="E298" s="11"/>
      <c r="F298" s="11"/>
      <c r="G298" s="11"/>
      <c r="H298" s="11"/>
      <c r="I298" s="11"/>
      <c r="J298" s="11"/>
      <c r="K298" s="11"/>
      <c r="L298" s="11"/>
      <c r="M298" s="11"/>
      <c r="N298" s="11"/>
      <c r="O298" s="11"/>
    </row>
    <row r="299" spans="1:15">
      <c r="A299" s="11"/>
      <c r="B299" s="11"/>
      <c r="C299" s="11"/>
      <c r="D299" s="11"/>
      <c r="E299" s="11"/>
      <c r="F299" s="11"/>
      <c r="G299" s="11"/>
      <c r="H299" s="11"/>
      <c r="I299" s="11"/>
      <c r="J299" s="11"/>
      <c r="K299" s="11"/>
      <c r="L299" s="11"/>
      <c r="M299" s="11"/>
      <c r="N299" s="11"/>
      <c r="O299" s="11"/>
    </row>
    <row r="300" spans="1:15">
      <c r="A300" s="11"/>
      <c r="B300" s="11"/>
      <c r="C300" s="11"/>
      <c r="D300" s="11"/>
      <c r="E300" s="11"/>
      <c r="F300" s="11"/>
      <c r="G300" s="11"/>
      <c r="H300" s="11"/>
      <c r="I300" s="11"/>
      <c r="J300" s="11"/>
      <c r="K300" s="11"/>
      <c r="L300" s="11"/>
      <c r="M300" s="11"/>
      <c r="N300" s="11"/>
      <c r="O300" s="11"/>
    </row>
    <row r="301" spans="1:15">
      <c r="A301" s="11"/>
      <c r="B301" s="11"/>
      <c r="C301" s="11"/>
      <c r="D301" s="11"/>
      <c r="E301" s="11"/>
      <c r="F301" s="11"/>
      <c r="G301" s="11"/>
      <c r="H301" s="11"/>
      <c r="I301" s="11"/>
      <c r="J301" s="11"/>
      <c r="K301" s="11"/>
      <c r="L301" s="11"/>
      <c r="M301" s="11"/>
      <c r="N301" s="11"/>
      <c r="O301" s="11"/>
    </row>
    <row r="302" spans="1:15">
      <c r="A302" s="11"/>
      <c r="B302" s="11"/>
      <c r="C302" s="11"/>
      <c r="D302" s="11"/>
      <c r="E302" s="11"/>
      <c r="F302" s="11"/>
      <c r="G302" s="11"/>
      <c r="H302" s="11"/>
      <c r="I302" s="11"/>
      <c r="J302" s="11"/>
      <c r="K302" s="11"/>
      <c r="L302" s="11"/>
      <c r="M302" s="11"/>
      <c r="N302" s="11"/>
      <c r="O302" s="11"/>
    </row>
    <row r="303" spans="1:15">
      <c r="A303" s="11"/>
      <c r="B303" s="11"/>
      <c r="C303" s="11"/>
      <c r="D303" s="11"/>
      <c r="E303" s="11"/>
      <c r="F303" s="11"/>
      <c r="G303" s="11"/>
      <c r="H303" s="11"/>
      <c r="I303" s="11"/>
      <c r="J303" s="11"/>
      <c r="K303" s="11"/>
      <c r="L303" s="11"/>
      <c r="M303" s="11"/>
      <c r="N303" s="11"/>
      <c r="O303" s="11"/>
    </row>
    <row r="304" spans="1:15">
      <c r="A304" s="11"/>
      <c r="B304" s="11"/>
      <c r="C304" s="11"/>
      <c r="D304" s="11"/>
      <c r="E304" s="11"/>
      <c r="F304" s="11"/>
      <c r="G304" s="11"/>
      <c r="H304" s="11"/>
      <c r="I304" s="11"/>
      <c r="J304" s="11"/>
      <c r="K304" s="11"/>
      <c r="L304" s="11"/>
      <c r="M304" s="11"/>
      <c r="N304" s="11"/>
      <c r="O304" s="11"/>
    </row>
    <row r="305" spans="1:15">
      <c r="A305" s="11"/>
      <c r="B305" s="11"/>
      <c r="C305" s="11"/>
      <c r="D305" s="11"/>
      <c r="E305" s="11"/>
      <c r="F305" s="11"/>
      <c r="G305" s="11"/>
      <c r="H305" s="11"/>
      <c r="I305" s="11"/>
      <c r="J305" s="11"/>
      <c r="K305" s="11"/>
      <c r="L305" s="11"/>
      <c r="M305" s="11"/>
      <c r="N305" s="11"/>
      <c r="O305" s="11"/>
    </row>
    <row r="306" spans="1:15">
      <c r="A306" s="11"/>
      <c r="B306" s="11"/>
      <c r="C306" s="11"/>
      <c r="D306" s="11"/>
      <c r="E306" s="11"/>
      <c r="F306" s="11"/>
      <c r="G306" s="11"/>
      <c r="H306" s="11"/>
      <c r="I306" s="11"/>
      <c r="J306" s="11"/>
      <c r="K306" s="11"/>
      <c r="L306" s="11"/>
      <c r="M306" s="11"/>
      <c r="N306" s="11"/>
      <c r="O306" s="11"/>
    </row>
    <row r="307" spans="1:15">
      <c r="A307" s="11"/>
      <c r="B307" s="11"/>
      <c r="C307" s="11"/>
      <c r="D307" s="11"/>
      <c r="E307" s="11"/>
      <c r="F307" s="11"/>
      <c r="G307" s="11"/>
      <c r="H307" s="11"/>
      <c r="I307" s="11"/>
      <c r="J307" s="11"/>
      <c r="K307" s="11"/>
      <c r="L307" s="11"/>
      <c r="M307" s="11"/>
      <c r="N307" s="11"/>
      <c r="O307" s="11"/>
    </row>
    <row r="308" spans="1:15">
      <c r="A308" s="11"/>
      <c r="B308" s="11"/>
      <c r="C308" s="11"/>
      <c r="D308" s="11"/>
      <c r="E308" s="11"/>
      <c r="F308" s="11"/>
      <c r="G308" s="11"/>
      <c r="H308" s="11"/>
      <c r="I308" s="11"/>
      <c r="J308" s="11"/>
      <c r="K308" s="11"/>
      <c r="L308" s="11"/>
      <c r="M308" s="11"/>
      <c r="N308" s="11"/>
      <c r="O308" s="11"/>
    </row>
    <row r="309" spans="1:15">
      <c r="A309" s="11"/>
      <c r="B309" s="11"/>
      <c r="C309" s="11"/>
      <c r="D309" s="11"/>
      <c r="E309" s="11"/>
      <c r="F309" s="11"/>
      <c r="G309" s="11"/>
      <c r="H309" s="11"/>
      <c r="I309" s="11"/>
      <c r="J309" s="11"/>
      <c r="K309" s="11"/>
      <c r="L309" s="11"/>
      <c r="M309" s="11"/>
      <c r="N309" s="11"/>
      <c r="O309" s="11"/>
    </row>
    <row r="310" spans="1:15">
      <c r="A310" s="11"/>
      <c r="B310" s="11"/>
      <c r="C310" s="11"/>
      <c r="D310" s="11"/>
      <c r="E310" s="11"/>
      <c r="F310" s="11"/>
      <c r="G310" s="11"/>
      <c r="H310" s="11"/>
      <c r="I310" s="11"/>
      <c r="J310" s="11"/>
      <c r="K310" s="11"/>
      <c r="L310" s="11"/>
      <c r="M310" s="11"/>
      <c r="N310" s="11"/>
      <c r="O310" s="11"/>
    </row>
    <row r="311" spans="1:15">
      <c r="A311" s="11"/>
      <c r="B311" s="11"/>
      <c r="C311" s="11"/>
      <c r="D311" s="11"/>
      <c r="E311" s="11"/>
      <c r="F311" s="11"/>
      <c r="G311" s="11"/>
      <c r="H311" s="11"/>
      <c r="I311" s="11"/>
      <c r="J311" s="11"/>
      <c r="K311" s="11"/>
      <c r="L311" s="11"/>
      <c r="M311" s="11"/>
      <c r="N311" s="11"/>
      <c r="O311" s="11"/>
    </row>
    <row r="312" spans="1:15">
      <c r="A312" s="11"/>
      <c r="B312" s="11"/>
      <c r="C312" s="11"/>
      <c r="D312" s="11"/>
      <c r="E312" s="11"/>
      <c r="F312" s="11"/>
      <c r="G312" s="11"/>
      <c r="H312" s="11"/>
      <c r="I312" s="11"/>
      <c r="J312" s="11"/>
      <c r="K312" s="11"/>
      <c r="L312" s="11"/>
      <c r="M312" s="11"/>
      <c r="N312" s="11"/>
      <c r="O312" s="11"/>
    </row>
    <row r="313" spans="1:15">
      <c r="A313" s="11"/>
      <c r="B313" s="11"/>
      <c r="C313" s="11"/>
      <c r="D313" s="11"/>
      <c r="E313" s="11"/>
      <c r="F313" s="11"/>
      <c r="G313" s="11"/>
      <c r="H313" s="11"/>
      <c r="I313" s="11"/>
      <c r="J313" s="11"/>
      <c r="K313" s="11"/>
      <c r="L313" s="11"/>
      <c r="M313" s="11"/>
      <c r="N313" s="11"/>
      <c r="O313" s="11"/>
    </row>
    <row r="314" spans="1:15">
      <c r="A314" s="11"/>
      <c r="B314" s="11"/>
      <c r="C314" s="11"/>
      <c r="D314" s="11"/>
      <c r="E314" s="11"/>
      <c r="F314" s="11"/>
      <c r="G314" s="11"/>
      <c r="H314" s="11"/>
      <c r="I314" s="11"/>
      <c r="J314" s="11"/>
      <c r="K314" s="11"/>
      <c r="L314" s="11"/>
      <c r="M314" s="11"/>
      <c r="N314" s="11"/>
      <c r="O314" s="11"/>
    </row>
    <row r="315" spans="1:15">
      <c r="A315" s="11"/>
      <c r="B315" s="11"/>
      <c r="C315" s="11"/>
      <c r="D315" s="11"/>
      <c r="E315" s="11"/>
      <c r="F315" s="11"/>
      <c r="G315" s="11"/>
      <c r="H315" s="11"/>
      <c r="I315" s="11"/>
      <c r="J315" s="11"/>
      <c r="K315" s="11"/>
      <c r="L315" s="11"/>
      <c r="M315" s="11"/>
      <c r="N315" s="11"/>
      <c r="O315" s="11"/>
    </row>
    <row r="316" spans="1:15">
      <c r="A316" s="11"/>
      <c r="B316" s="11"/>
      <c r="C316" s="11"/>
      <c r="D316" s="11"/>
      <c r="E316" s="11"/>
      <c r="F316" s="11"/>
      <c r="G316" s="11"/>
      <c r="H316" s="11"/>
      <c r="I316" s="11"/>
      <c r="J316" s="11"/>
      <c r="K316" s="11"/>
      <c r="L316" s="11"/>
      <c r="M316" s="11"/>
      <c r="N316" s="11"/>
      <c r="O316" s="11"/>
    </row>
    <row r="317" spans="1:15">
      <c r="A317" s="11"/>
      <c r="B317" s="11"/>
      <c r="C317" s="11"/>
      <c r="D317" s="11"/>
      <c r="E317" s="11"/>
      <c r="F317" s="11"/>
      <c r="G317" s="11"/>
      <c r="H317" s="11"/>
      <c r="I317" s="11"/>
      <c r="J317" s="11"/>
      <c r="K317" s="11"/>
      <c r="L317" s="11"/>
      <c r="M317" s="11"/>
      <c r="N317" s="11"/>
      <c r="O317" s="11"/>
    </row>
    <row r="318" spans="1:15">
      <c r="A318" s="11"/>
      <c r="B318" s="11"/>
      <c r="C318" s="11"/>
      <c r="D318" s="11"/>
      <c r="E318" s="11"/>
      <c r="F318" s="11"/>
      <c r="G318" s="11"/>
      <c r="H318" s="11"/>
      <c r="I318" s="11"/>
      <c r="J318" s="11"/>
      <c r="K318" s="11"/>
      <c r="L318" s="11"/>
      <c r="M318" s="11"/>
      <c r="N318" s="11"/>
      <c r="O318" s="11"/>
    </row>
    <row r="319" spans="1:15">
      <c r="A319" s="11"/>
      <c r="B319" s="11"/>
      <c r="C319" s="11"/>
      <c r="D319" s="11"/>
      <c r="E319" s="11"/>
      <c r="F319" s="11"/>
      <c r="G319" s="11"/>
      <c r="H319" s="11"/>
      <c r="I319" s="11"/>
      <c r="J319" s="11"/>
      <c r="K319" s="11"/>
      <c r="L319" s="11"/>
      <c r="M319" s="11"/>
      <c r="N319" s="11"/>
      <c r="O319" s="11"/>
    </row>
    <row r="320" spans="1:15">
      <c r="A320" s="11"/>
      <c r="B320" s="11"/>
      <c r="C320" s="11"/>
      <c r="D320" s="11"/>
      <c r="E320" s="11"/>
      <c r="F320" s="11"/>
      <c r="G320" s="11"/>
      <c r="H320" s="11"/>
      <c r="I320" s="11"/>
      <c r="J320" s="11"/>
      <c r="K320" s="11"/>
      <c r="L320" s="11"/>
      <c r="M320" s="11"/>
      <c r="N320" s="11"/>
      <c r="O320" s="11"/>
    </row>
    <row r="321" spans="1:15">
      <c r="A321" s="11"/>
      <c r="B321" s="11"/>
      <c r="C321" s="11"/>
      <c r="D321" s="11"/>
      <c r="E321" s="11"/>
      <c r="F321" s="11"/>
      <c r="G321" s="11"/>
      <c r="H321" s="11"/>
      <c r="I321" s="11"/>
      <c r="J321" s="11"/>
      <c r="K321" s="11"/>
      <c r="L321" s="11"/>
      <c r="M321" s="11"/>
      <c r="N321" s="11"/>
      <c r="O321" s="11"/>
    </row>
    <row r="322" spans="1:15">
      <c r="A322" s="11"/>
      <c r="B322" s="11"/>
      <c r="C322" s="11"/>
      <c r="D322" s="11"/>
      <c r="E322" s="11"/>
      <c r="F322" s="11"/>
      <c r="G322" s="11"/>
      <c r="H322" s="11"/>
      <c r="I322" s="11"/>
      <c r="J322" s="11"/>
      <c r="K322" s="11"/>
      <c r="L322" s="11"/>
      <c r="M322" s="11"/>
      <c r="N322" s="11"/>
      <c r="O322" s="11"/>
    </row>
    <row r="323" spans="1:15">
      <c r="A323" s="11"/>
      <c r="B323" s="11"/>
      <c r="C323" s="11"/>
      <c r="D323" s="11"/>
      <c r="E323" s="11"/>
      <c r="F323" s="11"/>
      <c r="G323" s="11"/>
      <c r="H323" s="11"/>
      <c r="I323" s="11"/>
      <c r="J323" s="11"/>
      <c r="K323" s="11"/>
      <c r="L323" s="11"/>
      <c r="M323" s="11"/>
      <c r="N323" s="11"/>
      <c r="O323" s="11"/>
    </row>
    <row r="324" spans="1:15">
      <c r="A324" s="11"/>
      <c r="B324" s="11"/>
      <c r="C324" s="11"/>
      <c r="D324" s="11"/>
      <c r="E324" s="11"/>
      <c r="F324" s="11"/>
      <c r="G324" s="11"/>
      <c r="H324" s="11"/>
      <c r="I324" s="11"/>
      <c r="J324" s="11"/>
      <c r="K324" s="11"/>
      <c r="L324" s="11"/>
      <c r="M324" s="11"/>
      <c r="N324" s="11"/>
      <c r="O324" s="11"/>
    </row>
    <row r="325" spans="1:15">
      <c r="A325" s="11"/>
      <c r="B325" s="11"/>
      <c r="C325" s="11"/>
      <c r="D325" s="11"/>
      <c r="E325" s="11"/>
      <c r="F325" s="11"/>
      <c r="G325" s="11"/>
      <c r="H325" s="11"/>
      <c r="I325" s="11"/>
      <c r="J325" s="11"/>
      <c r="K325" s="11"/>
      <c r="L325" s="11"/>
      <c r="M325" s="11"/>
      <c r="N325" s="11"/>
      <c r="O325" s="11"/>
    </row>
    <row r="326" spans="1:15">
      <c r="A326" s="11"/>
      <c r="B326" s="11"/>
      <c r="C326" s="11"/>
      <c r="D326" s="11"/>
      <c r="E326" s="11"/>
      <c r="F326" s="11"/>
      <c r="G326" s="11"/>
      <c r="H326" s="11"/>
      <c r="I326" s="11"/>
      <c r="J326" s="11"/>
      <c r="K326" s="11"/>
      <c r="L326" s="11"/>
      <c r="M326" s="11"/>
      <c r="N326" s="11"/>
      <c r="O326" s="11"/>
    </row>
    <row r="327" spans="1:15">
      <c r="A327" s="11"/>
      <c r="B327" s="11"/>
      <c r="C327" s="11"/>
      <c r="D327" s="11"/>
      <c r="E327" s="11"/>
      <c r="F327" s="11"/>
      <c r="G327" s="11"/>
      <c r="H327" s="11"/>
      <c r="I327" s="11"/>
      <c r="J327" s="11"/>
      <c r="K327" s="11"/>
      <c r="L327" s="11"/>
      <c r="M327" s="11"/>
      <c r="N327" s="11"/>
      <c r="O327" s="11"/>
    </row>
    <row r="328" spans="1:15">
      <c r="A328" s="11"/>
      <c r="B328" s="11"/>
      <c r="C328" s="11"/>
      <c r="D328" s="11"/>
      <c r="E328" s="11"/>
      <c r="F328" s="11"/>
      <c r="G328" s="11"/>
      <c r="H328" s="11"/>
      <c r="I328" s="11"/>
      <c r="J328" s="11"/>
      <c r="K328" s="11"/>
      <c r="L328" s="11"/>
      <c r="M328" s="11"/>
      <c r="N328" s="11"/>
      <c r="O328" s="11"/>
    </row>
    <row r="329" spans="1:15">
      <c r="A329" s="11"/>
      <c r="B329" s="11"/>
      <c r="C329" s="11"/>
      <c r="D329" s="11"/>
      <c r="E329" s="11"/>
      <c r="F329" s="11"/>
      <c r="G329" s="11"/>
      <c r="H329" s="11"/>
      <c r="I329" s="11"/>
      <c r="J329" s="11"/>
      <c r="K329" s="11"/>
      <c r="L329" s="11"/>
      <c r="M329" s="11"/>
      <c r="N329" s="11"/>
      <c r="O329" s="11"/>
    </row>
    <row r="330" spans="1:15">
      <c r="A330" s="11"/>
      <c r="B330" s="11"/>
      <c r="C330" s="11"/>
      <c r="D330" s="11"/>
      <c r="E330" s="11"/>
      <c r="F330" s="11"/>
      <c r="G330" s="11"/>
      <c r="H330" s="11"/>
      <c r="I330" s="11"/>
      <c r="J330" s="11"/>
      <c r="K330" s="11"/>
      <c r="L330" s="11"/>
      <c r="M330" s="11"/>
      <c r="N330" s="11"/>
      <c r="O330" s="11"/>
    </row>
    <row r="331" spans="1:15">
      <c r="A331" s="11"/>
      <c r="B331" s="11"/>
      <c r="C331" s="11"/>
      <c r="D331" s="11"/>
      <c r="E331" s="11"/>
      <c r="F331" s="11"/>
      <c r="G331" s="11"/>
      <c r="H331" s="11"/>
      <c r="I331" s="11"/>
      <c r="J331" s="11"/>
      <c r="K331" s="11"/>
      <c r="L331" s="11"/>
      <c r="M331" s="11"/>
      <c r="N331" s="11"/>
      <c r="O331" s="11"/>
    </row>
    <row r="332" spans="1:15">
      <c r="A332" s="11"/>
      <c r="B332" s="11"/>
      <c r="C332" s="11"/>
      <c r="D332" s="11"/>
      <c r="E332" s="11"/>
      <c r="F332" s="11"/>
      <c r="G332" s="11"/>
      <c r="H332" s="11"/>
      <c r="I332" s="11"/>
      <c r="J332" s="11"/>
      <c r="K332" s="11"/>
      <c r="L332" s="11"/>
      <c r="M332" s="11"/>
      <c r="N332" s="11"/>
      <c r="O332" s="11"/>
    </row>
    <row r="333" spans="1:15">
      <c r="A333" s="11"/>
      <c r="B333" s="11"/>
      <c r="C333" s="11"/>
      <c r="D333" s="11"/>
      <c r="E333" s="11"/>
      <c r="F333" s="11"/>
      <c r="G333" s="11"/>
      <c r="H333" s="11"/>
      <c r="I333" s="11"/>
      <c r="J333" s="11"/>
      <c r="K333" s="11"/>
      <c r="L333" s="11"/>
      <c r="M333" s="11"/>
      <c r="N333" s="11"/>
      <c r="O333" s="11"/>
    </row>
    <row r="334" spans="1:15">
      <c r="A334" s="11"/>
      <c r="B334" s="11"/>
      <c r="C334" s="11"/>
      <c r="D334" s="11"/>
      <c r="E334" s="11"/>
      <c r="F334" s="11"/>
      <c r="G334" s="11"/>
      <c r="H334" s="11"/>
      <c r="I334" s="11"/>
      <c r="J334" s="11"/>
      <c r="K334" s="11"/>
      <c r="L334" s="11"/>
      <c r="M334" s="11"/>
      <c r="N334" s="11"/>
      <c r="O334" s="11"/>
    </row>
    <row r="335" spans="1:15">
      <c r="A335" s="11"/>
      <c r="B335" s="11"/>
      <c r="C335" s="11"/>
      <c r="D335" s="11"/>
      <c r="E335" s="11"/>
      <c r="F335" s="11"/>
      <c r="G335" s="11"/>
      <c r="H335" s="11"/>
      <c r="I335" s="11"/>
      <c r="J335" s="11"/>
      <c r="K335" s="11"/>
      <c r="L335" s="11"/>
      <c r="M335" s="11"/>
      <c r="N335" s="11"/>
      <c r="O335" s="11"/>
    </row>
    <row r="336" spans="1:15">
      <c r="A336" s="11"/>
      <c r="B336" s="11"/>
      <c r="C336" s="11"/>
      <c r="D336" s="11"/>
      <c r="E336" s="11"/>
      <c r="F336" s="11"/>
      <c r="G336" s="11"/>
      <c r="H336" s="11"/>
      <c r="I336" s="11"/>
      <c r="J336" s="11"/>
      <c r="K336" s="11"/>
      <c r="L336" s="11"/>
      <c r="M336" s="11"/>
      <c r="N336" s="11"/>
      <c r="O336" s="11"/>
    </row>
    <row r="337" spans="1:15">
      <c r="A337" s="11"/>
      <c r="B337" s="11"/>
      <c r="C337" s="11"/>
      <c r="D337" s="11"/>
      <c r="E337" s="11"/>
      <c r="F337" s="11"/>
      <c r="G337" s="11"/>
      <c r="H337" s="11"/>
      <c r="I337" s="11"/>
      <c r="J337" s="11"/>
      <c r="K337" s="11"/>
      <c r="L337" s="11"/>
      <c r="M337" s="11"/>
      <c r="N337" s="11"/>
      <c r="O337" s="11"/>
    </row>
    <row r="338" spans="1:15">
      <c r="A338" s="11"/>
      <c r="B338" s="11"/>
      <c r="C338" s="11"/>
      <c r="D338" s="11"/>
      <c r="E338" s="11"/>
      <c r="F338" s="11"/>
      <c r="G338" s="11"/>
      <c r="H338" s="11"/>
      <c r="I338" s="11"/>
      <c r="J338" s="11"/>
      <c r="K338" s="11"/>
      <c r="L338" s="11"/>
      <c r="M338" s="11"/>
      <c r="N338" s="11"/>
      <c r="O338" s="11"/>
    </row>
    <row r="339" spans="1:15">
      <c r="A339" s="11"/>
      <c r="B339" s="11"/>
      <c r="C339" s="11"/>
      <c r="D339" s="11"/>
      <c r="E339" s="11"/>
      <c r="F339" s="11"/>
      <c r="G339" s="11"/>
      <c r="H339" s="11"/>
      <c r="I339" s="11"/>
      <c r="J339" s="11"/>
      <c r="K339" s="11"/>
      <c r="L339" s="11"/>
      <c r="M339" s="11"/>
      <c r="N339" s="11"/>
      <c r="O339" s="11"/>
    </row>
    <row r="340" spans="1:15">
      <c r="A340" s="11"/>
      <c r="B340" s="11"/>
      <c r="C340" s="11"/>
      <c r="D340" s="11"/>
      <c r="E340" s="11"/>
      <c r="F340" s="11"/>
      <c r="G340" s="11"/>
      <c r="H340" s="11"/>
      <c r="I340" s="11"/>
      <c r="J340" s="11"/>
      <c r="K340" s="11"/>
      <c r="L340" s="11"/>
      <c r="M340" s="11"/>
      <c r="N340" s="11"/>
      <c r="O340" s="11"/>
    </row>
    <row r="341" spans="1:15">
      <c r="A341" s="11"/>
      <c r="B341" s="11"/>
      <c r="C341" s="11"/>
      <c r="D341" s="11"/>
      <c r="E341" s="11"/>
      <c r="F341" s="11"/>
      <c r="G341" s="11"/>
      <c r="H341" s="11"/>
      <c r="I341" s="11"/>
      <c r="J341" s="11"/>
      <c r="K341" s="11"/>
      <c r="L341" s="11"/>
      <c r="M341" s="11"/>
      <c r="N341" s="11"/>
      <c r="O341" s="11"/>
    </row>
    <row r="342" spans="1:15">
      <c r="A342" s="11"/>
      <c r="B342" s="11"/>
      <c r="C342" s="11"/>
      <c r="D342" s="11"/>
      <c r="E342" s="11"/>
      <c r="F342" s="11"/>
      <c r="G342" s="11"/>
      <c r="H342" s="11"/>
      <c r="I342" s="11"/>
      <c r="J342" s="11"/>
      <c r="K342" s="11"/>
      <c r="L342" s="11"/>
      <c r="M342" s="11"/>
      <c r="N342" s="11"/>
      <c r="O342" s="11"/>
    </row>
    <row r="343" spans="1:15">
      <c r="A343" s="11"/>
      <c r="B343" s="11"/>
      <c r="C343" s="11"/>
      <c r="D343" s="11"/>
      <c r="E343" s="11"/>
      <c r="F343" s="11"/>
      <c r="G343" s="11"/>
      <c r="H343" s="11"/>
      <c r="I343" s="11"/>
      <c r="J343" s="11"/>
      <c r="K343" s="11"/>
      <c r="L343" s="11"/>
      <c r="M343" s="11"/>
      <c r="N343" s="11"/>
      <c r="O343" s="11"/>
    </row>
    <row r="344" spans="1:15">
      <c r="A344" s="11"/>
      <c r="B344" s="11"/>
      <c r="C344" s="11"/>
      <c r="D344" s="11"/>
      <c r="E344" s="11"/>
      <c r="F344" s="11"/>
      <c r="G344" s="11"/>
      <c r="H344" s="11"/>
      <c r="I344" s="11"/>
      <c r="J344" s="11"/>
      <c r="K344" s="11"/>
      <c r="L344" s="11"/>
      <c r="M344" s="11"/>
      <c r="N344" s="11"/>
      <c r="O344" s="11"/>
    </row>
    <row r="345" spans="1:15">
      <c r="A345" s="11"/>
      <c r="B345" s="11"/>
      <c r="C345" s="11"/>
      <c r="D345" s="11"/>
      <c r="E345" s="11"/>
      <c r="F345" s="11"/>
      <c r="G345" s="11"/>
      <c r="H345" s="11"/>
      <c r="I345" s="11"/>
      <c r="J345" s="11"/>
      <c r="K345" s="11"/>
      <c r="L345" s="11"/>
      <c r="M345" s="11"/>
      <c r="N345" s="11"/>
      <c r="O345" s="11"/>
    </row>
    <row r="346" spans="1:15">
      <c r="A346" s="11"/>
      <c r="B346" s="11"/>
      <c r="C346" s="11"/>
      <c r="D346" s="11"/>
      <c r="E346" s="11"/>
      <c r="F346" s="11"/>
      <c r="G346" s="11"/>
      <c r="H346" s="11"/>
      <c r="I346" s="11"/>
      <c r="J346" s="11"/>
      <c r="K346" s="11"/>
      <c r="L346" s="11"/>
      <c r="M346" s="11"/>
      <c r="N346" s="11"/>
      <c r="O346" s="11"/>
    </row>
    <row r="347" spans="1:15">
      <c r="A347" s="11"/>
      <c r="B347" s="11"/>
      <c r="C347" s="11"/>
      <c r="D347" s="11"/>
      <c r="E347" s="11"/>
      <c r="F347" s="11"/>
      <c r="G347" s="11"/>
      <c r="H347" s="11"/>
      <c r="I347" s="11"/>
      <c r="J347" s="11"/>
      <c r="K347" s="11"/>
      <c r="L347" s="11"/>
      <c r="M347" s="11"/>
      <c r="N347" s="11"/>
      <c r="O347" s="11"/>
    </row>
    <row r="348" spans="1:15">
      <c r="A348" s="11"/>
      <c r="B348" s="11"/>
      <c r="C348" s="11"/>
      <c r="D348" s="11"/>
      <c r="E348" s="11"/>
      <c r="F348" s="11"/>
      <c r="G348" s="11"/>
      <c r="H348" s="11"/>
      <c r="I348" s="11"/>
      <c r="J348" s="11"/>
      <c r="K348" s="11"/>
      <c r="L348" s="11"/>
      <c r="M348" s="11"/>
      <c r="N348" s="11"/>
      <c r="O348" s="11"/>
    </row>
    <row r="349" spans="1:15">
      <c r="A349" s="11"/>
      <c r="B349" s="11"/>
      <c r="C349" s="11"/>
      <c r="D349" s="11"/>
      <c r="E349" s="11"/>
      <c r="F349" s="11"/>
      <c r="G349" s="11"/>
      <c r="H349" s="11"/>
      <c r="I349" s="11"/>
      <c r="J349" s="11"/>
      <c r="K349" s="11"/>
      <c r="L349" s="11"/>
      <c r="M349" s="11"/>
      <c r="N349" s="11"/>
      <c r="O349" s="11"/>
    </row>
    <row r="350" spans="1:15">
      <c r="A350" s="11"/>
      <c r="B350" s="11"/>
      <c r="C350" s="11"/>
      <c r="D350" s="11"/>
      <c r="E350" s="11"/>
      <c r="F350" s="11"/>
      <c r="G350" s="11"/>
      <c r="H350" s="11"/>
      <c r="I350" s="11"/>
      <c r="J350" s="11"/>
      <c r="K350" s="11"/>
      <c r="L350" s="11"/>
      <c r="M350" s="11"/>
      <c r="N350" s="11"/>
      <c r="O350" s="11"/>
    </row>
    <row r="351" spans="1:15">
      <c r="A351" s="11"/>
      <c r="B351" s="11"/>
      <c r="C351" s="11"/>
      <c r="D351" s="11"/>
      <c r="E351" s="11"/>
      <c r="F351" s="11"/>
      <c r="G351" s="11"/>
      <c r="H351" s="11"/>
      <c r="I351" s="11"/>
      <c r="J351" s="11"/>
      <c r="K351" s="11"/>
      <c r="L351" s="11"/>
      <c r="M351" s="11"/>
      <c r="N351" s="11"/>
      <c r="O351" s="11"/>
    </row>
    <row r="352" spans="1:15">
      <c r="A352" s="11"/>
      <c r="B352" s="11"/>
      <c r="C352" s="11"/>
      <c r="D352" s="11"/>
      <c r="E352" s="11"/>
      <c r="F352" s="11"/>
      <c r="G352" s="11"/>
      <c r="H352" s="11"/>
      <c r="I352" s="11"/>
      <c r="J352" s="11"/>
      <c r="K352" s="11"/>
      <c r="L352" s="11"/>
      <c r="M352" s="11"/>
      <c r="N352" s="11"/>
      <c r="O352" s="11"/>
    </row>
    <row r="353" spans="1:15">
      <c r="A353" s="11"/>
      <c r="B353" s="11"/>
      <c r="C353" s="11"/>
      <c r="D353" s="11"/>
      <c r="E353" s="11"/>
      <c r="F353" s="11"/>
      <c r="G353" s="11"/>
      <c r="H353" s="11"/>
      <c r="I353" s="11"/>
      <c r="J353" s="11"/>
      <c r="K353" s="11"/>
      <c r="L353" s="11"/>
      <c r="M353" s="11"/>
      <c r="N353" s="11"/>
      <c r="O353" s="11"/>
    </row>
    <row r="354" spans="1:15">
      <c r="A354" s="11"/>
      <c r="B354" s="11"/>
      <c r="C354" s="11"/>
      <c r="D354" s="11"/>
      <c r="E354" s="11"/>
      <c r="F354" s="11"/>
      <c r="G354" s="11"/>
      <c r="H354" s="11"/>
      <c r="I354" s="11"/>
      <c r="J354" s="11"/>
      <c r="K354" s="11"/>
      <c r="L354" s="11"/>
      <c r="M354" s="11"/>
      <c r="N354" s="11"/>
      <c r="O354" s="11"/>
    </row>
    <row r="355" spans="1:15">
      <c r="A355" s="11"/>
      <c r="B355" s="11"/>
      <c r="C355" s="11"/>
      <c r="D355" s="11"/>
      <c r="E355" s="11"/>
      <c r="F355" s="11"/>
      <c r="G355" s="11"/>
      <c r="H355" s="11"/>
      <c r="I355" s="11"/>
      <c r="J355" s="11"/>
      <c r="K355" s="11"/>
      <c r="L355" s="11"/>
      <c r="M355" s="11"/>
      <c r="N355" s="11"/>
      <c r="O355" s="11"/>
    </row>
    <row r="356" spans="1:15">
      <c r="A356" s="11"/>
      <c r="B356" s="11"/>
      <c r="C356" s="11"/>
      <c r="D356" s="11"/>
      <c r="E356" s="11"/>
      <c r="F356" s="11"/>
      <c r="G356" s="11"/>
      <c r="H356" s="11"/>
      <c r="I356" s="11"/>
      <c r="J356" s="11"/>
      <c r="K356" s="11"/>
      <c r="L356" s="11"/>
      <c r="M356" s="11"/>
      <c r="N356" s="11"/>
      <c r="O356" s="11"/>
    </row>
    <row r="357" spans="1:15">
      <c r="A357" s="11"/>
      <c r="B357" s="11"/>
      <c r="C357" s="11"/>
      <c r="D357" s="11"/>
      <c r="E357" s="11"/>
      <c r="F357" s="11"/>
      <c r="G357" s="11"/>
      <c r="H357" s="11"/>
      <c r="I357" s="11"/>
      <c r="J357" s="11"/>
      <c r="K357" s="11"/>
      <c r="L357" s="11"/>
      <c r="M357" s="11"/>
      <c r="N357" s="11"/>
      <c r="O357" s="11"/>
    </row>
    <row r="358" spans="1:15">
      <c r="A358" s="11"/>
      <c r="B358" s="11"/>
      <c r="C358" s="11"/>
      <c r="D358" s="11"/>
      <c r="E358" s="11"/>
      <c r="F358" s="11"/>
      <c r="G358" s="11"/>
      <c r="H358" s="11"/>
      <c r="I358" s="11"/>
      <c r="J358" s="11"/>
      <c r="K358" s="11"/>
      <c r="L358" s="11"/>
      <c r="M358" s="11"/>
      <c r="N358" s="11"/>
      <c r="O358" s="11"/>
    </row>
    <row r="359" spans="1:15">
      <c r="A359" s="11"/>
      <c r="B359" s="11"/>
      <c r="C359" s="11"/>
      <c r="D359" s="11"/>
      <c r="E359" s="11"/>
      <c r="F359" s="11"/>
      <c r="G359" s="11"/>
      <c r="H359" s="11"/>
      <c r="I359" s="11"/>
      <c r="J359" s="11"/>
      <c r="K359" s="11"/>
      <c r="L359" s="11"/>
      <c r="M359" s="11"/>
      <c r="N359" s="11"/>
      <c r="O359" s="11"/>
    </row>
    <row r="360" spans="1:15">
      <c r="A360" s="11"/>
      <c r="B360" s="11"/>
      <c r="C360" s="11"/>
      <c r="D360" s="11"/>
      <c r="E360" s="11"/>
      <c r="F360" s="11"/>
      <c r="G360" s="11"/>
      <c r="H360" s="11"/>
      <c r="I360" s="11"/>
      <c r="J360" s="11"/>
      <c r="K360" s="11"/>
      <c r="L360" s="11"/>
      <c r="M360" s="11"/>
      <c r="N360" s="11"/>
      <c r="O360" s="11"/>
    </row>
    <row r="361" spans="1:15">
      <c r="A361" s="11"/>
      <c r="B361" s="11"/>
      <c r="C361" s="11"/>
      <c r="D361" s="11"/>
      <c r="E361" s="11"/>
      <c r="F361" s="11"/>
      <c r="G361" s="11"/>
      <c r="H361" s="11"/>
      <c r="I361" s="11"/>
      <c r="J361" s="11"/>
      <c r="K361" s="11"/>
      <c r="L361" s="11"/>
      <c r="M361" s="11"/>
      <c r="N361" s="11"/>
      <c r="O361" s="11"/>
    </row>
    <row r="362" spans="1:15">
      <c r="A362" s="11"/>
      <c r="B362" s="11"/>
      <c r="C362" s="11"/>
      <c r="D362" s="11"/>
      <c r="E362" s="11"/>
      <c r="F362" s="11"/>
      <c r="G362" s="11"/>
      <c r="H362" s="11"/>
      <c r="I362" s="11"/>
      <c r="J362" s="11"/>
      <c r="K362" s="11"/>
      <c r="L362" s="11"/>
      <c r="M362" s="11"/>
      <c r="N362" s="11"/>
      <c r="O362" s="11"/>
    </row>
    <row r="363" spans="1:15">
      <c r="A363" s="11"/>
      <c r="B363" s="11"/>
      <c r="C363" s="11"/>
      <c r="D363" s="11"/>
      <c r="E363" s="11"/>
      <c r="F363" s="11"/>
      <c r="G363" s="11"/>
      <c r="H363" s="11"/>
      <c r="I363" s="11"/>
      <c r="J363" s="11"/>
      <c r="K363" s="11"/>
      <c r="L363" s="11"/>
      <c r="M363" s="11"/>
      <c r="N363" s="11"/>
      <c r="O363" s="11"/>
    </row>
    <row r="364" spans="1:15">
      <c r="A364" s="11"/>
      <c r="B364" s="11"/>
      <c r="C364" s="11"/>
      <c r="D364" s="11"/>
      <c r="E364" s="11"/>
      <c r="F364" s="11"/>
      <c r="G364" s="11"/>
      <c r="H364" s="11"/>
      <c r="I364" s="11"/>
      <c r="J364" s="11"/>
      <c r="K364" s="11"/>
      <c r="L364" s="11"/>
      <c r="M364" s="11"/>
      <c r="N364" s="11"/>
      <c r="O364" s="11"/>
    </row>
    <row r="365" spans="1:15">
      <c r="A365" s="11"/>
      <c r="B365" s="11"/>
      <c r="C365" s="11"/>
      <c r="D365" s="11"/>
      <c r="E365" s="11"/>
      <c r="F365" s="11"/>
      <c r="G365" s="11"/>
      <c r="H365" s="11"/>
      <c r="I365" s="11"/>
      <c r="J365" s="11"/>
      <c r="K365" s="11"/>
      <c r="L365" s="11"/>
      <c r="M365" s="11"/>
      <c r="N365" s="11"/>
      <c r="O365" s="11"/>
    </row>
    <row r="366" spans="1:15">
      <c r="A366" s="11"/>
      <c r="B366" s="11"/>
      <c r="C366" s="11"/>
      <c r="D366" s="11"/>
      <c r="E366" s="11"/>
      <c r="F366" s="11"/>
      <c r="G366" s="11"/>
      <c r="H366" s="11"/>
      <c r="I366" s="11"/>
      <c r="J366" s="11"/>
      <c r="K366" s="11"/>
      <c r="L366" s="11"/>
      <c r="M366" s="11"/>
      <c r="N366" s="11"/>
      <c r="O366" s="11"/>
    </row>
    <row r="367" spans="1:15">
      <c r="A367" s="11"/>
      <c r="B367" s="11"/>
      <c r="C367" s="11"/>
      <c r="D367" s="11"/>
      <c r="E367" s="11"/>
      <c r="F367" s="11"/>
      <c r="G367" s="11"/>
      <c r="H367" s="11"/>
      <c r="I367" s="11"/>
      <c r="J367" s="11"/>
      <c r="K367" s="11"/>
      <c r="L367" s="11"/>
      <c r="M367" s="11"/>
      <c r="N367" s="11"/>
      <c r="O367" s="11"/>
    </row>
    <row r="368" spans="1:15">
      <c r="A368" s="11"/>
      <c r="B368" s="11"/>
      <c r="C368" s="11"/>
      <c r="D368" s="11"/>
      <c r="E368" s="11"/>
      <c r="F368" s="11"/>
      <c r="G368" s="11"/>
      <c r="H368" s="11"/>
      <c r="I368" s="11"/>
      <c r="J368" s="11"/>
      <c r="K368" s="11"/>
      <c r="L368" s="11"/>
      <c r="M368" s="11"/>
      <c r="N368" s="11"/>
      <c r="O368" s="11"/>
    </row>
    <row r="369" spans="1:15">
      <c r="A369" s="11"/>
      <c r="B369" s="11"/>
      <c r="C369" s="11"/>
      <c r="D369" s="11"/>
      <c r="E369" s="11"/>
      <c r="F369" s="11"/>
      <c r="G369" s="11"/>
      <c r="H369" s="11"/>
      <c r="I369" s="11"/>
      <c r="J369" s="11"/>
      <c r="K369" s="11"/>
      <c r="L369" s="11"/>
      <c r="M369" s="11"/>
      <c r="N369" s="11"/>
      <c r="O369" s="11"/>
    </row>
    <row r="370" spans="1:15">
      <c r="A370" s="11"/>
      <c r="B370" s="11"/>
      <c r="C370" s="11"/>
      <c r="D370" s="11"/>
      <c r="E370" s="11"/>
      <c r="F370" s="11"/>
      <c r="G370" s="11"/>
      <c r="H370" s="11"/>
      <c r="I370" s="11"/>
      <c r="J370" s="11"/>
      <c r="K370" s="11"/>
      <c r="L370" s="11"/>
      <c r="M370" s="11"/>
      <c r="N370" s="11"/>
      <c r="O370" s="11"/>
    </row>
    <row r="371" spans="1:15">
      <c r="A371" s="11"/>
      <c r="B371" s="11"/>
      <c r="C371" s="11"/>
      <c r="D371" s="11"/>
      <c r="E371" s="11"/>
      <c r="F371" s="11"/>
      <c r="G371" s="11"/>
      <c r="H371" s="11"/>
      <c r="I371" s="11"/>
      <c r="J371" s="11"/>
      <c r="K371" s="11"/>
      <c r="L371" s="11"/>
      <c r="M371" s="11"/>
      <c r="N371" s="11"/>
      <c r="O371" s="11"/>
    </row>
    <row r="372" spans="1:15">
      <c r="A372" s="11"/>
      <c r="B372" s="11"/>
      <c r="C372" s="11"/>
      <c r="D372" s="11"/>
      <c r="E372" s="11"/>
      <c r="F372" s="11"/>
      <c r="G372" s="11"/>
      <c r="H372" s="11"/>
      <c r="I372" s="11"/>
      <c r="J372" s="11"/>
      <c r="K372" s="11"/>
      <c r="L372" s="11"/>
      <c r="M372" s="11"/>
      <c r="N372" s="11"/>
      <c r="O372" s="11"/>
    </row>
    <row r="373" spans="1:15">
      <c r="A373" s="11"/>
      <c r="B373" s="11"/>
      <c r="C373" s="11"/>
      <c r="D373" s="11"/>
      <c r="E373" s="11"/>
      <c r="F373" s="11"/>
      <c r="G373" s="11"/>
      <c r="H373" s="11"/>
      <c r="I373" s="11"/>
      <c r="J373" s="11"/>
      <c r="K373" s="11"/>
      <c r="L373" s="11"/>
      <c r="M373" s="11"/>
      <c r="N373" s="11"/>
      <c r="O373" s="11"/>
    </row>
    <row r="374" spans="1:15">
      <c r="A374" s="11"/>
      <c r="B374" s="11"/>
      <c r="C374" s="11"/>
      <c r="D374" s="11"/>
      <c r="E374" s="11"/>
      <c r="F374" s="11"/>
      <c r="G374" s="11"/>
      <c r="H374" s="11"/>
      <c r="I374" s="11"/>
      <c r="J374" s="11"/>
      <c r="K374" s="11"/>
      <c r="L374" s="11"/>
      <c r="M374" s="11"/>
      <c r="N374" s="11"/>
      <c r="O374" s="11"/>
    </row>
    <row r="375" spans="1:15">
      <c r="A375" s="11"/>
      <c r="B375" s="11"/>
      <c r="C375" s="11"/>
      <c r="D375" s="11"/>
      <c r="E375" s="11"/>
      <c r="F375" s="11"/>
      <c r="G375" s="11"/>
      <c r="H375" s="11"/>
      <c r="I375" s="11"/>
      <c r="J375" s="11"/>
      <c r="K375" s="11"/>
      <c r="L375" s="11"/>
      <c r="M375" s="11"/>
      <c r="N375" s="11"/>
      <c r="O375" s="11"/>
    </row>
    <row r="376" spans="1:15">
      <c r="A376" s="11"/>
      <c r="B376" s="11"/>
      <c r="C376" s="11"/>
      <c r="D376" s="11"/>
      <c r="E376" s="11"/>
      <c r="F376" s="11"/>
      <c r="G376" s="11"/>
      <c r="H376" s="11"/>
      <c r="I376" s="11"/>
      <c r="J376" s="11"/>
      <c r="K376" s="11"/>
      <c r="L376" s="11"/>
      <c r="M376" s="11"/>
      <c r="N376" s="11"/>
      <c r="O376" s="11"/>
    </row>
    <row r="377" spans="1:15">
      <c r="A377" s="11"/>
      <c r="B377" s="11"/>
      <c r="C377" s="11"/>
      <c r="D377" s="11"/>
      <c r="E377" s="11"/>
      <c r="F377" s="11"/>
      <c r="G377" s="11"/>
      <c r="H377" s="11"/>
      <c r="I377" s="11"/>
      <c r="J377" s="11"/>
      <c r="K377" s="11"/>
      <c r="L377" s="11"/>
      <c r="M377" s="11"/>
      <c r="N377" s="11"/>
      <c r="O377" s="11"/>
    </row>
    <row r="378" spans="1:15">
      <c r="A378" s="11"/>
      <c r="B378" s="11"/>
      <c r="C378" s="11"/>
      <c r="D378" s="11"/>
      <c r="E378" s="11"/>
      <c r="F378" s="11"/>
      <c r="G378" s="11"/>
      <c r="H378" s="11"/>
      <c r="I378" s="11"/>
      <c r="J378" s="11"/>
      <c r="K378" s="11"/>
      <c r="L378" s="11"/>
      <c r="M378" s="11"/>
      <c r="N378" s="11"/>
      <c r="O378" s="11"/>
    </row>
    <row r="379" spans="1:15">
      <c r="A379" s="11"/>
      <c r="B379" s="11"/>
      <c r="C379" s="11"/>
      <c r="D379" s="11"/>
      <c r="E379" s="11"/>
      <c r="F379" s="11"/>
      <c r="G379" s="11"/>
      <c r="H379" s="11"/>
      <c r="I379" s="11"/>
      <c r="J379" s="11"/>
      <c r="K379" s="11"/>
      <c r="L379" s="11"/>
      <c r="M379" s="11"/>
      <c r="N379" s="11"/>
      <c r="O379" s="11"/>
    </row>
    <row r="380" spans="1:15">
      <c r="A380" s="11"/>
      <c r="B380" s="11"/>
      <c r="C380" s="11"/>
      <c r="D380" s="11"/>
      <c r="E380" s="11"/>
      <c r="F380" s="11"/>
      <c r="G380" s="11"/>
      <c r="H380" s="11"/>
      <c r="I380" s="11"/>
      <c r="J380" s="11"/>
      <c r="K380" s="11"/>
      <c r="L380" s="11"/>
      <c r="M380" s="11"/>
      <c r="N380" s="11"/>
      <c r="O380" s="11"/>
    </row>
    <row r="381" spans="1:15">
      <c r="A381" s="11"/>
      <c r="B381" s="11"/>
      <c r="C381" s="11"/>
      <c r="D381" s="11"/>
      <c r="E381" s="11"/>
      <c r="F381" s="11"/>
      <c r="G381" s="11"/>
      <c r="H381" s="11"/>
      <c r="I381" s="11"/>
      <c r="J381" s="11"/>
      <c r="K381" s="11"/>
      <c r="L381" s="11"/>
      <c r="M381" s="11"/>
      <c r="N381" s="11"/>
      <c r="O381" s="11"/>
    </row>
    <row r="382" spans="1:15">
      <c r="A382" s="11"/>
      <c r="B382" s="11"/>
      <c r="C382" s="11"/>
      <c r="D382" s="11"/>
      <c r="E382" s="11"/>
      <c r="F382" s="11"/>
      <c r="G382" s="11"/>
      <c r="H382" s="11"/>
      <c r="I382" s="11"/>
      <c r="J382" s="11"/>
      <c r="K382" s="11"/>
      <c r="L382" s="11"/>
      <c r="M382" s="11"/>
      <c r="N382" s="11"/>
      <c r="O382" s="11"/>
    </row>
    <row r="383" spans="1:15">
      <c r="A383" s="11"/>
      <c r="B383" s="11"/>
      <c r="C383" s="11"/>
      <c r="D383" s="11"/>
      <c r="E383" s="11"/>
      <c r="F383" s="11"/>
      <c r="G383" s="11"/>
      <c r="H383" s="11"/>
      <c r="I383" s="11"/>
      <c r="J383" s="11"/>
      <c r="K383" s="11"/>
      <c r="L383" s="11"/>
      <c r="M383" s="11"/>
      <c r="N383" s="11"/>
      <c r="O383" s="11"/>
    </row>
    <row r="384" spans="1:15">
      <c r="A384" s="11"/>
      <c r="B384" s="11"/>
      <c r="C384" s="11"/>
      <c r="D384" s="11"/>
      <c r="E384" s="11"/>
      <c r="F384" s="11"/>
      <c r="G384" s="11"/>
      <c r="H384" s="11"/>
      <c r="I384" s="11"/>
      <c r="J384" s="11"/>
      <c r="K384" s="11"/>
      <c r="L384" s="11"/>
      <c r="M384" s="11"/>
      <c r="N384" s="11"/>
      <c r="O384" s="11"/>
    </row>
    <row r="385" spans="1:15">
      <c r="A385" s="11"/>
      <c r="B385" s="11"/>
      <c r="C385" s="11"/>
      <c r="D385" s="11"/>
      <c r="E385" s="11"/>
      <c r="F385" s="11"/>
      <c r="G385" s="11"/>
      <c r="H385" s="11"/>
      <c r="I385" s="11"/>
      <c r="J385" s="11"/>
      <c r="K385" s="11"/>
      <c r="L385" s="11"/>
      <c r="M385" s="11"/>
      <c r="N385" s="11"/>
      <c r="O385" s="11"/>
    </row>
    <row r="386" spans="1:15">
      <c r="A386" s="11"/>
      <c r="B386" s="11"/>
      <c r="C386" s="11"/>
      <c r="D386" s="11"/>
      <c r="E386" s="11"/>
      <c r="F386" s="11"/>
      <c r="G386" s="11"/>
      <c r="H386" s="11"/>
      <c r="I386" s="11"/>
      <c r="J386" s="11"/>
      <c r="K386" s="11"/>
      <c r="L386" s="11"/>
      <c r="M386" s="11"/>
      <c r="N386" s="11"/>
      <c r="O386" s="11"/>
    </row>
    <row r="387" spans="1:15">
      <c r="A387" s="11"/>
      <c r="B387" s="11"/>
      <c r="C387" s="11"/>
      <c r="D387" s="11"/>
      <c r="E387" s="11"/>
      <c r="F387" s="11"/>
      <c r="G387" s="11"/>
      <c r="H387" s="11"/>
      <c r="I387" s="11"/>
      <c r="J387" s="11"/>
      <c r="K387" s="11"/>
      <c r="L387" s="11"/>
      <c r="M387" s="11"/>
      <c r="N387" s="11"/>
      <c r="O387" s="11"/>
    </row>
    <row r="388" spans="1:15">
      <c r="A388" s="11"/>
      <c r="B388" s="11"/>
      <c r="C388" s="11"/>
      <c r="D388" s="11"/>
      <c r="E388" s="11"/>
      <c r="F388" s="11"/>
      <c r="G388" s="11"/>
      <c r="H388" s="11"/>
      <c r="I388" s="11"/>
      <c r="J388" s="11"/>
      <c r="K388" s="11"/>
      <c r="L388" s="11"/>
      <c r="M388" s="11"/>
      <c r="N388" s="11"/>
      <c r="O388" s="11"/>
    </row>
    <row r="389" spans="1:15">
      <c r="A389" s="11"/>
      <c r="B389" s="11"/>
      <c r="C389" s="11"/>
      <c r="D389" s="11"/>
      <c r="E389" s="11"/>
      <c r="F389" s="11"/>
      <c r="G389" s="11"/>
      <c r="H389" s="11"/>
      <c r="I389" s="11"/>
      <c r="J389" s="11"/>
      <c r="K389" s="11"/>
      <c r="L389" s="11"/>
      <c r="M389" s="11"/>
      <c r="N389" s="11"/>
      <c r="O389" s="11"/>
    </row>
    <row r="390" spans="1:15">
      <c r="A390" s="11"/>
      <c r="B390" s="11"/>
      <c r="C390" s="11"/>
      <c r="D390" s="11"/>
      <c r="E390" s="11"/>
      <c r="F390" s="11"/>
      <c r="G390" s="11"/>
      <c r="H390" s="11"/>
      <c r="I390" s="11"/>
      <c r="J390" s="11"/>
      <c r="K390" s="11"/>
      <c r="L390" s="11"/>
      <c r="M390" s="11"/>
      <c r="N390" s="11"/>
      <c r="O390" s="11"/>
    </row>
    <row r="391" spans="1:15">
      <c r="A391" s="11"/>
      <c r="B391" s="11"/>
      <c r="C391" s="11"/>
      <c r="D391" s="11"/>
      <c r="E391" s="11"/>
      <c r="F391" s="11"/>
      <c r="G391" s="11"/>
      <c r="H391" s="11"/>
      <c r="I391" s="11"/>
      <c r="J391" s="11"/>
      <c r="K391" s="11"/>
      <c r="L391" s="11"/>
      <c r="M391" s="11"/>
      <c r="N391" s="11"/>
      <c r="O391" s="11"/>
    </row>
    <row r="392" spans="1:15">
      <c r="A392" s="11"/>
      <c r="B392" s="11"/>
      <c r="C392" s="11"/>
      <c r="D392" s="11"/>
      <c r="E392" s="11"/>
      <c r="F392" s="11"/>
      <c r="G392" s="11"/>
      <c r="H392" s="11"/>
      <c r="I392" s="11"/>
      <c r="J392" s="11"/>
      <c r="K392" s="11"/>
      <c r="L392" s="11"/>
      <c r="M392" s="11"/>
      <c r="N392" s="11"/>
      <c r="O392" s="11"/>
    </row>
    <row r="393" spans="1:15">
      <c r="A393" s="11"/>
      <c r="B393" s="11"/>
      <c r="C393" s="11"/>
      <c r="D393" s="11"/>
      <c r="E393" s="11"/>
      <c r="F393" s="11"/>
      <c r="G393" s="11"/>
      <c r="H393" s="11"/>
      <c r="I393" s="11"/>
      <c r="J393" s="11"/>
      <c r="K393" s="11"/>
      <c r="L393" s="11"/>
      <c r="M393" s="11"/>
      <c r="N393" s="11"/>
      <c r="O393" s="11"/>
    </row>
    <row r="394" spans="1:15">
      <c r="A394" s="11"/>
      <c r="B394" s="11"/>
      <c r="C394" s="11"/>
      <c r="D394" s="11"/>
      <c r="E394" s="11"/>
      <c r="F394" s="11"/>
      <c r="G394" s="11"/>
      <c r="H394" s="11"/>
      <c r="I394" s="11"/>
      <c r="J394" s="11"/>
      <c r="K394" s="11"/>
      <c r="L394" s="11"/>
      <c r="M394" s="11"/>
      <c r="N394" s="11"/>
      <c r="O394" s="11"/>
    </row>
    <row r="395" spans="1:15">
      <c r="A395" s="11"/>
      <c r="B395" s="11"/>
      <c r="C395" s="11"/>
      <c r="D395" s="11"/>
      <c r="E395" s="11"/>
      <c r="F395" s="11"/>
      <c r="G395" s="11"/>
      <c r="H395" s="11"/>
      <c r="I395" s="11"/>
      <c r="J395" s="11"/>
      <c r="K395" s="11"/>
      <c r="L395" s="11"/>
      <c r="M395" s="11"/>
      <c r="N395" s="11"/>
      <c r="O395" s="11"/>
    </row>
    <row r="396" spans="1:15">
      <c r="A396" s="11"/>
      <c r="B396" s="11"/>
      <c r="C396" s="11"/>
      <c r="D396" s="11"/>
      <c r="E396" s="11"/>
      <c r="F396" s="11"/>
      <c r="G396" s="11"/>
      <c r="H396" s="11"/>
      <c r="I396" s="11"/>
      <c r="J396" s="11"/>
      <c r="K396" s="11"/>
      <c r="L396" s="11"/>
      <c r="M396" s="11"/>
      <c r="N396" s="11"/>
      <c r="O396" s="11"/>
    </row>
    <row r="397" spans="1:15">
      <c r="A397" s="11"/>
      <c r="B397" s="11"/>
      <c r="C397" s="11"/>
      <c r="D397" s="11"/>
      <c r="E397" s="11"/>
      <c r="F397" s="11"/>
      <c r="G397" s="11"/>
      <c r="H397" s="11"/>
      <c r="I397" s="11"/>
      <c r="J397" s="11"/>
      <c r="K397" s="11"/>
      <c r="L397" s="11"/>
      <c r="M397" s="11"/>
      <c r="N397" s="11"/>
      <c r="O397" s="11"/>
    </row>
    <row r="398" spans="1:15">
      <c r="A398" s="11"/>
      <c r="B398" s="11"/>
      <c r="C398" s="11"/>
      <c r="D398" s="11"/>
      <c r="E398" s="11"/>
      <c r="F398" s="11"/>
      <c r="G398" s="11"/>
      <c r="H398" s="11"/>
      <c r="I398" s="11"/>
      <c r="J398" s="11"/>
      <c r="K398" s="11"/>
      <c r="L398" s="11"/>
      <c r="M398" s="11"/>
      <c r="N398" s="11"/>
      <c r="O398" s="11"/>
    </row>
    <row r="399" spans="1:15">
      <c r="A399" s="11"/>
      <c r="B399" s="11"/>
      <c r="C399" s="11"/>
      <c r="D399" s="11"/>
      <c r="E399" s="11"/>
      <c r="F399" s="11"/>
      <c r="G399" s="11"/>
      <c r="H399" s="11"/>
      <c r="I399" s="11"/>
      <c r="J399" s="11"/>
      <c r="K399" s="11"/>
      <c r="L399" s="11"/>
      <c r="M399" s="11"/>
      <c r="N399" s="11"/>
      <c r="O399" s="11"/>
    </row>
    <row r="400" spans="1:15">
      <c r="A400" s="11"/>
      <c r="B400" s="11"/>
      <c r="C400" s="11"/>
      <c r="D400" s="11"/>
      <c r="E400" s="11"/>
      <c r="F400" s="11"/>
      <c r="G400" s="11"/>
      <c r="H400" s="11"/>
      <c r="I400" s="11"/>
      <c r="J400" s="11"/>
      <c r="K400" s="11"/>
      <c r="L400" s="11"/>
      <c r="M400" s="11"/>
      <c r="N400" s="11"/>
      <c r="O400" s="11"/>
    </row>
    <row r="401" spans="1:15">
      <c r="A401" s="11"/>
      <c r="B401" s="11"/>
      <c r="C401" s="11"/>
      <c r="D401" s="11"/>
      <c r="E401" s="11"/>
      <c r="F401" s="11"/>
      <c r="G401" s="11"/>
      <c r="H401" s="11"/>
      <c r="I401" s="11"/>
      <c r="J401" s="11"/>
      <c r="K401" s="11"/>
      <c r="L401" s="11"/>
      <c r="M401" s="11"/>
      <c r="N401" s="11"/>
      <c r="O401" s="11"/>
    </row>
    <row r="402" spans="1:15">
      <c r="A402" s="11"/>
      <c r="B402" s="11"/>
      <c r="C402" s="11"/>
      <c r="D402" s="11"/>
      <c r="E402" s="11"/>
      <c r="F402" s="11"/>
      <c r="G402" s="11"/>
      <c r="H402" s="11"/>
      <c r="I402" s="11"/>
      <c r="J402" s="11"/>
      <c r="K402" s="11"/>
      <c r="L402" s="11"/>
      <c r="M402" s="11"/>
      <c r="N402" s="11"/>
      <c r="O402" s="11"/>
    </row>
    <row r="403" spans="1:15">
      <c r="A403" s="11"/>
      <c r="B403" s="11"/>
      <c r="C403" s="11"/>
      <c r="D403" s="11"/>
      <c r="E403" s="11"/>
      <c r="F403" s="11"/>
      <c r="G403" s="11"/>
      <c r="H403" s="11"/>
      <c r="I403" s="11"/>
      <c r="J403" s="11"/>
      <c r="K403" s="11"/>
      <c r="L403" s="11"/>
      <c r="M403" s="11"/>
      <c r="N403" s="11"/>
      <c r="O403" s="11"/>
    </row>
    <row r="404" spans="1:15">
      <c r="A404" s="11"/>
      <c r="B404" s="11"/>
      <c r="C404" s="11"/>
      <c r="D404" s="11"/>
      <c r="E404" s="11"/>
      <c r="F404" s="11"/>
      <c r="G404" s="11"/>
      <c r="H404" s="11"/>
      <c r="I404" s="11"/>
      <c r="J404" s="11"/>
      <c r="K404" s="11"/>
      <c r="L404" s="11"/>
      <c r="M404" s="11"/>
      <c r="N404" s="11"/>
      <c r="O404" s="11"/>
    </row>
    <row r="405" spans="1:15">
      <c r="A405" s="11"/>
      <c r="B405" s="11"/>
      <c r="C405" s="11"/>
      <c r="D405" s="11"/>
      <c r="E405" s="11"/>
      <c r="F405" s="11"/>
      <c r="G405" s="11"/>
      <c r="H405" s="11"/>
      <c r="I405" s="11"/>
      <c r="J405" s="11"/>
      <c r="K405" s="11"/>
      <c r="L405" s="11"/>
      <c r="M405" s="11"/>
      <c r="N405" s="11"/>
      <c r="O405" s="11"/>
    </row>
    <row r="406" spans="1:15">
      <c r="A406" s="11"/>
      <c r="B406" s="11"/>
      <c r="C406" s="11"/>
      <c r="D406" s="11"/>
      <c r="E406" s="11"/>
      <c r="F406" s="11"/>
      <c r="G406" s="11"/>
      <c r="H406" s="11"/>
      <c r="I406" s="11"/>
      <c r="J406" s="11"/>
      <c r="K406" s="11"/>
      <c r="L406" s="11"/>
      <c r="M406" s="11"/>
      <c r="N406" s="11"/>
      <c r="O406" s="11"/>
    </row>
    <row r="407" spans="1:15">
      <c r="A407" s="11"/>
      <c r="B407" s="11"/>
      <c r="C407" s="11"/>
      <c r="D407" s="11"/>
      <c r="E407" s="11"/>
      <c r="F407" s="11"/>
      <c r="G407" s="11"/>
      <c r="H407" s="11"/>
      <c r="I407" s="11"/>
      <c r="J407" s="11"/>
      <c r="K407" s="11"/>
      <c r="L407" s="11"/>
      <c r="M407" s="11"/>
      <c r="N407" s="11"/>
      <c r="O407" s="11"/>
    </row>
    <row r="408" spans="1:15">
      <c r="A408" s="11"/>
      <c r="B408" s="11"/>
      <c r="C408" s="11"/>
      <c r="D408" s="11"/>
      <c r="E408" s="11"/>
      <c r="F408" s="11"/>
      <c r="G408" s="11"/>
      <c r="H408" s="11"/>
      <c r="I408" s="11"/>
      <c r="J408" s="11"/>
      <c r="K408" s="11"/>
      <c r="L408" s="11"/>
      <c r="M408" s="11"/>
      <c r="N408" s="11"/>
      <c r="O408" s="11"/>
    </row>
    <row r="409" spans="1:15">
      <c r="A409" s="11"/>
      <c r="B409" s="11"/>
      <c r="C409" s="11"/>
      <c r="D409" s="11"/>
      <c r="E409" s="11"/>
      <c r="F409" s="11"/>
      <c r="G409" s="11"/>
      <c r="H409" s="11"/>
      <c r="I409" s="11"/>
      <c r="J409" s="11"/>
      <c r="K409" s="11"/>
      <c r="L409" s="11"/>
      <c r="M409" s="11"/>
      <c r="N409" s="11"/>
      <c r="O409" s="11"/>
    </row>
    <row r="410" spans="1:15">
      <c r="A410" s="11"/>
      <c r="B410" s="11"/>
      <c r="C410" s="11"/>
      <c r="D410" s="11"/>
      <c r="E410" s="11"/>
      <c r="F410" s="11"/>
      <c r="G410" s="11"/>
      <c r="H410" s="11"/>
      <c r="I410" s="11"/>
      <c r="J410" s="11"/>
      <c r="K410" s="11"/>
      <c r="L410" s="11"/>
      <c r="M410" s="11"/>
      <c r="N410" s="11"/>
      <c r="O410" s="11"/>
    </row>
    <row r="411" spans="1:15">
      <c r="A411" s="11"/>
      <c r="B411" s="11"/>
      <c r="C411" s="11"/>
      <c r="D411" s="11"/>
      <c r="E411" s="11"/>
      <c r="F411" s="11"/>
      <c r="G411" s="11"/>
      <c r="H411" s="11"/>
      <c r="I411" s="11"/>
      <c r="J411" s="11"/>
      <c r="K411" s="11"/>
      <c r="L411" s="11"/>
      <c r="M411" s="11"/>
      <c r="N411" s="11"/>
      <c r="O411" s="11"/>
    </row>
    <row r="412" spans="1:15">
      <c r="A412" s="11"/>
      <c r="B412" s="11"/>
      <c r="C412" s="11"/>
      <c r="D412" s="11"/>
      <c r="E412" s="11"/>
      <c r="F412" s="11"/>
      <c r="G412" s="11"/>
      <c r="H412" s="11"/>
      <c r="I412" s="11"/>
      <c r="J412" s="11"/>
      <c r="K412" s="11"/>
      <c r="L412" s="11"/>
      <c r="M412" s="11"/>
      <c r="N412" s="11"/>
      <c r="O412" s="11"/>
    </row>
    <row r="413" spans="1:15">
      <c r="A413" s="11"/>
      <c r="B413" s="11"/>
      <c r="C413" s="11"/>
      <c r="D413" s="11"/>
      <c r="E413" s="11"/>
      <c r="F413" s="11"/>
      <c r="G413" s="11"/>
      <c r="H413" s="11"/>
      <c r="I413" s="11"/>
      <c r="J413" s="11"/>
      <c r="K413" s="11"/>
      <c r="L413" s="11"/>
      <c r="M413" s="11"/>
      <c r="N413" s="11"/>
      <c r="O413" s="11"/>
    </row>
    <row r="414" spans="1:15">
      <c r="A414" s="11"/>
      <c r="B414" s="11"/>
      <c r="C414" s="11"/>
      <c r="D414" s="11"/>
      <c r="E414" s="11"/>
      <c r="F414" s="11"/>
      <c r="G414" s="11"/>
      <c r="H414" s="11"/>
      <c r="I414" s="11"/>
      <c r="J414" s="11"/>
      <c r="K414" s="11"/>
      <c r="L414" s="11"/>
      <c r="M414" s="11"/>
      <c r="N414" s="11"/>
      <c r="O414" s="11"/>
    </row>
    <row r="415" spans="1:15">
      <c r="A415" s="11"/>
      <c r="B415" s="11"/>
      <c r="C415" s="11"/>
      <c r="D415" s="11"/>
      <c r="E415" s="11"/>
      <c r="F415" s="11"/>
      <c r="G415" s="11"/>
      <c r="H415" s="11"/>
      <c r="I415" s="11"/>
      <c r="J415" s="11"/>
      <c r="K415" s="11"/>
      <c r="L415" s="11"/>
      <c r="M415" s="11"/>
      <c r="N415" s="11"/>
      <c r="O415" s="11"/>
    </row>
    <row r="416" spans="1:15">
      <c r="A416" s="11"/>
      <c r="B416" s="11"/>
      <c r="C416" s="11"/>
      <c r="D416" s="11"/>
      <c r="E416" s="11"/>
      <c r="F416" s="11"/>
      <c r="G416" s="11"/>
      <c r="H416" s="11"/>
      <c r="I416" s="11"/>
      <c r="J416" s="11"/>
      <c r="K416" s="11"/>
      <c r="L416" s="11"/>
      <c r="M416" s="11"/>
      <c r="N416" s="11"/>
      <c r="O416" s="11"/>
    </row>
    <row r="417" spans="1:15">
      <c r="A417" s="11"/>
      <c r="B417" s="11"/>
      <c r="C417" s="11"/>
      <c r="D417" s="11"/>
      <c r="E417" s="11"/>
      <c r="F417" s="11"/>
      <c r="G417" s="11"/>
      <c r="H417" s="11"/>
      <c r="I417" s="11"/>
      <c r="J417" s="11"/>
      <c r="K417" s="11"/>
      <c r="L417" s="11"/>
      <c r="M417" s="11"/>
      <c r="N417" s="11"/>
      <c r="O417" s="11"/>
    </row>
    <row r="418" spans="1:15">
      <c r="A418" s="11"/>
      <c r="B418" s="11"/>
      <c r="C418" s="11"/>
      <c r="D418" s="11"/>
      <c r="E418" s="11"/>
      <c r="F418" s="11"/>
      <c r="G418" s="11"/>
      <c r="H418" s="11"/>
      <c r="I418" s="11"/>
      <c r="J418" s="11"/>
      <c r="K418" s="11"/>
      <c r="L418" s="11"/>
      <c r="M418" s="11"/>
      <c r="N418" s="11"/>
      <c r="O418" s="11"/>
    </row>
    <row r="419" spans="1:15">
      <c r="A419" s="11"/>
      <c r="B419" s="11"/>
      <c r="C419" s="11"/>
      <c r="D419" s="11"/>
      <c r="E419" s="11"/>
      <c r="F419" s="11"/>
      <c r="G419" s="11"/>
      <c r="H419" s="11"/>
      <c r="I419" s="11"/>
      <c r="J419" s="11"/>
      <c r="K419" s="11"/>
      <c r="L419" s="11"/>
      <c r="M419" s="11"/>
      <c r="N419" s="11"/>
      <c r="O419" s="11"/>
    </row>
    <row r="420" spans="1:15">
      <c r="A420" s="11"/>
      <c r="B420" s="11"/>
      <c r="C420" s="11"/>
      <c r="D420" s="11"/>
      <c r="E420" s="11"/>
      <c r="F420" s="11"/>
      <c r="G420" s="11"/>
      <c r="H420" s="11"/>
      <c r="I420" s="11"/>
      <c r="J420" s="11"/>
      <c r="K420" s="11"/>
      <c r="L420" s="11"/>
      <c r="M420" s="11"/>
      <c r="N420" s="11"/>
      <c r="O420" s="11"/>
    </row>
    <row r="421" spans="1:15">
      <c r="A421" s="11"/>
      <c r="B421" s="11"/>
      <c r="C421" s="11"/>
      <c r="D421" s="11"/>
      <c r="E421" s="11"/>
      <c r="F421" s="11"/>
      <c r="G421" s="11"/>
      <c r="H421" s="11"/>
      <c r="I421" s="11"/>
      <c r="J421" s="11"/>
      <c r="K421" s="11"/>
      <c r="L421" s="11"/>
      <c r="M421" s="11"/>
      <c r="N421" s="11"/>
      <c r="O421" s="11"/>
    </row>
    <row r="422" spans="1:15">
      <c r="A422" s="11"/>
      <c r="B422" s="11"/>
      <c r="C422" s="11"/>
      <c r="D422" s="11"/>
      <c r="E422" s="11"/>
      <c r="F422" s="11"/>
      <c r="G422" s="11"/>
      <c r="H422" s="11"/>
      <c r="I422" s="11"/>
      <c r="J422" s="11"/>
      <c r="K422" s="11"/>
      <c r="L422" s="11"/>
      <c r="M422" s="11"/>
      <c r="N422" s="11"/>
      <c r="O422" s="11"/>
    </row>
    <row r="423" spans="1:15">
      <c r="A423" s="11"/>
      <c r="B423" s="11"/>
      <c r="C423" s="11"/>
      <c r="D423" s="11"/>
      <c r="E423" s="11"/>
      <c r="F423" s="11"/>
      <c r="G423" s="11"/>
      <c r="H423" s="11"/>
      <c r="I423" s="11"/>
      <c r="J423" s="11"/>
      <c r="K423" s="11"/>
      <c r="L423" s="11"/>
      <c r="M423" s="11"/>
      <c r="N423" s="11"/>
      <c r="O423" s="11"/>
    </row>
    <row r="424" spans="1:15">
      <c r="A424" s="11"/>
      <c r="B424" s="11"/>
      <c r="C424" s="11"/>
      <c r="D424" s="11"/>
      <c r="E424" s="11"/>
      <c r="F424" s="11"/>
      <c r="G424" s="11"/>
      <c r="H424" s="11"/>
      <c r="I424" s="11"/>
      <c r="J424" s="11"/>
      <c r="K424" s="11"/>
      <c r="L424" s="11"/>
      <c r="M424" s="11"/>
      <c r="N424" s="11"/>
      <c r="O424" s="11"/>
    </row>
    <row r="425" spans="1:15">
      <c r="A425" s="11"/>
      <c r="B425" s="11"/>
      <c r="C425" s="11"/>
      <c r="D425" s="11"/>
      <c r="E425" s="11"/>
      <c r="F425" s="11"/>
      <c r="G425" s="11"/>
      <c r="H425" s="11"/>
      <c r="I425" s="11"/>
      <c r="J425" s="11"/>
      <c r="K425" s="11"/>
      <c r="L425" s="11"/>
      <c r="M425" s="11"/>
      <c r="N425" s="11"/>
      <c r="O425" s="11"/>
    </row>
    <row r="426" spans="1:15">
      <c r="A426" s="11"/>
      <c r="B426" s="11"/>
      <c r="C426" s="11"/>
      <c r="D426" s="11"/>
      <c r="E426" s="11"/>
      <c r="F426" s="11"/>
      <c r="G426" s="11"/>
      <c r="H426" s="11"/>
      <c r="I426" s="11"/>
      <c r="J426" s="11"/>
      <c r="K426" s="11"/>
      <c r="L426" s="11"/>
      <c r="M426" s="11"/>
      <c r="N426" s="11"/>
      <c r="O426" s="11"/>
    </row>
    <row r="427" spans="1:15">
      <c r="A427" s="11"/>
      <c r="B427" s="11"/>
      <c r="C427" s="11"/>
      <c r="D427" s="11"/>
      <c r="E427" s="11"/>
      <c r="F427" s="11"/>
      <c r="G427" s="11"/>
      <c r="H427" s="11"/>
      <c r="I427" s="11"/>
      <c r="J427" s="11"/>
      <c r="K427" s="11"/>
      <c r="L427" s="11"/>
      <c r="M427" s="11"/>
      <c r="N427" s="11"/>
      <c r="O427" s="11"/>
    </row>
    <row r="428" spans="1:15">
      <c r="A428" s="11"/>
      <c r="B428" s="11"/>
      <c r="C428" s="11"/>
      <c r="D428" s="11"/>
      <c r="E428" s="11"/>
      <c r="F428" s="11"/>
      <c r="G428" s="11"/>
      <c r="H428" s="11"/>
      <c r="I428" s="11"/>
      <c r="J428" s="11"/>
      <c r="K428" s="11"/>
      <c r="L428" s="11"/>
      <c r="M428" s="11"/>
      <c r="N428" s="11"/>
      <c r="O428" s="11"/>
    </row>
    <row r="429" spans="1:15">
      <c r="A429" s="11"/>
      <c r="B429" s="11"/>
      <c r="C429" s="11"/>
      <c r="D429" s="11"/>
      <c r="E429" s="11"/>
      <c r="F429" s="11"/>
      <c r="G429" s="11"/>
      <c r="H429" s="11"/>
      <c r="I429" s="11"/>
      <c r="J429" s="11"/>
      <c r="K429" s="11"/>
      <c r="L429" s="11"/>
      <c r="M429" s="11"/>
      <c r="N429" s="11"/>
      <c r="O429" s="11"/>
    </row>
    <row r="430" spans="1:15">
      <c r="A430" s="11"/>
      <c r="B430" s="11"/>
      <c r="C430" s="11"/>
      <c r="D430" s="11"/>
      <c r="E430" s="11"/>
      <c r="F430" s="11"/>
      <c r="G430" s="11"/>
      <c r="H430" s="11"/>
      <c r="I430" s="11"/>
      <c r="J430" s="11"/>
      <c r="K430" s="11"/>
      <c r="L430" s="11"/>
      <c r="M430" s="11"/>
      <c r="N430" s="11"/>
      <c r="O430" s="11"/>
    </row>
    <row r="431" spans="1:15">
      <c r="A431" s="11"/>
      <c r="B431" s="11"/>
      <c r="C431" s="11"/>
      <c r="D431" s="11"/>
      <c r="E431" s="11"/>
      <c r="F431" s="11"/>
      <c r="G431" s="11"/>
      <c r="H431" s="11"/>
      <c r="I431" s="11"/>
      <c r="J431" s="11"/>
      <c r="K431" s="11"/>
      <c r="L431" s="11"/>
      <c r="M431" s="11"/>
      <c r="N431" s="11"/>
      <c r="O431" s="11"/>
    </row>
    <row r="432" spans="1:15">
      <c r="A432" s="11"/>
      <c r="B432" s="11"/>
      <c r="C432" s="11"/>
      <c r="D432" s="11"/>
      <c r="E432" s="11"/>
      <c r="F432" s="11"/>
      <c r="G432" s="11"/>
      <c r="H432" s="11"/>
      <c r="I432" s="11"/>
      <c r="J432" s="11"/>
      <c r="K432" s="11"/>
      <c r="L432" s="11"/>
      <c r="M432" s="11"/>
      <c r="N432" s="11"/>
      <c r="O432" s="11"/>
    </row>
    <row r="433" spans="1:15">
      <c r="A433" s="11"/>
      <c r="B433" s="11"/>
      <c r="C433" s="11"/>
      <c r="D433" s="11"/>
      <c r="E433" s="11"/>
      <c r="F433" s="11"/>
      <c r="G433" s="11"/>
      <c r="H433" s="11"/>
      <c r="I433" s="11"/>
      <c r="J433" s="11"/>
      <c r="K433" s="11"/>
      <c r="L433" s="11"/>
      <c r="M433" s="11"/>
      <c r="N433" s="11"/>
      <c r="O433" s="11"/>
    </row>
    <row r="434" spans="1:15">
      <c r="A434" s="11"/>
      <c r="B434" s="11"/>
      <c r="C434" s="11"/>
      <c r="D434" s="11"/>
      <c r="E434" s="11"/>
      <c r="F434" s="11"/>
      <c r="G434" s="11"/>
      <c r="H434" s="11"/>
      <c r="I434" s="11"/>
      <c r="J434" s="11"/>
      <c r="K434" s="11"/>
      <c r="L434" s="11"/>
      <c r="M434" s="11"/>
      <c r="N434" s="11"/>
      <c r="O434" s="11"/>
    </row>
    <row r="435" spans="1:15">
      <c r="A435" s="11"/>
      <c r="B435" s="11"/>
      <c r="C435" s="11"/>
      <c r="D435" s="11"/>
      <c r="E435" s="11"/>
      <c r="F435" s="11"/>
      <c r="G435" s="11"/>
      <c r="H435" s="11"/>
      <c r="I435" s="11"/>
      <c r="J435" s="11"/>
      <c r="K435" s="11"/>
      <c r="L435" s="11"/>
      <c r="M435" s="11"/>
      <c r="N435" s="11"/>
      <c r="O435" s="11"/>
    </row>
    <row r="436" spans="1:15">
      <c r="A436" s="11"/>
      <c r="B436" s="11"/>
      <c r="C436" s="11"/>
      <c r="D436" s="11"/>
      <c r="E436" s="11"/>
      <c r="F436" s="11"/>
      <c r="G436" s="11"/>
      <c r="H436" s="11"/>
      <c r="I436" s="11"/>
      <c r="J436" s="11"/>
      <c r="K436" s="11"/>
      <c r="L436" s="11"/>
      <c r="M436" s="11"/>
      <c r="N436" s="11"/>
      <c r="O436" s="11"/>
    </row>
    <row r="437" spans="1:15">
      <c r="A437" s="11"/>
      <c r="B437" s="11"/>
      <c r="C437" s="11"/>
      <c r="D437" s="11"/>
      <c r="E437" s="11"/>
      <c r="F437" s="11"/>
      <c r="G437" s="11"/>
      <c r="H437" s="11"/>
      <c r="I437" s="11"/>
      <c r="J437" s="11"/>
      <c r="K437" s="11"/>
      <c r="L437" s="11"/>
      <c r="M437" s="11"/>
      <c r="N437" s="11"/>
      <c r="O437" s="11"/>
    </row>
    <row r="438" spans="1:15">
      <c r="A438" s="11"/>
      <c r="B438" s="11"/>
      <c r="C438" s="11"/>
      <c r="D438" s="11"/>
      <c r="E438" s="11"/>
      <c r="F438" s="11"/>
      <c r="G438" s="11"/>
      <c r="H438" s="11"/>
      <c r="I438" s="11"/>
      <c r="J438" s="11"/>
      <c r="K438" s="11"/>
      <c r="L438" s="11"/>
      <c r="M438" s="11"/>
      <c r="N438" s="11"/>
      <c r="O438" s="11"/>
    </row>
    <row r="439" spans="1:15">
      <c r="A439" s="11"/>
      <c r="B439" s="11"/>
      <c r="C439" s="11"/>
      <c r="D439" s="11"/>
      <c r="E439" s="11"/>
      <c r="F439" s="11"/>
      <c r="G439" s="11"/>
      <c r="H439" s="11"/>
      <c r="I439" s="11"/>
      <c r="J439" s="11"/>
      <c r="K439" s="11"/>
      <c r="L439" s="11"/>
      <c r="M439" s="11"/>
      <c r="N439" s="11"/>
      <c r="O439" s="11"/>
    </row>
    <row r="440" spans="1:15">
      <c r="A440" s="11"/>
      <c r="B440" s="11"/>
      <c r="C440" s="11"/>
      <c r="D440" s="11"/>
      <c r="E440" s="11"/>
      <c r="F440" s="11"/>
      <c r="G440" s="11"/>
      <c r="H440" s="11"/>
      <c r="I440" s="11"/>
      <c r="J440" s="11"/>
      <c r="K440" s="11"/>
      <c r="L440" s="11"/>
      <c r="M440" s="11"/>
      <c r="N440" s="11"/>
      <c r="O440" s="11"/>
    </row>
    <row r="441" spans="1:15">
      <c r="A441" s="11"/>
      <c r="B441" s="11"/>
      <c r="C441" s="11"/>
      <c r="D441" s="11"/>
      <c r="E441" s="11"/>
      <c r="F441" s="11"/>
      <c r="G441" s="11"/>
      <c r="H441" s="11"/>
      <c r="I441" s="11"/>
      <c r="J441" s="11"/>
      <c r="K441" s="11"/>
      <c r="L441" s="11"/>
      <c r="M441" s="11"/>
      <c r="N441" s="11"/>
      <c r="O441" s="11"/>
    </row>
    <row r="442" spans="1:15">
      <c r="A442" s="11"/>
      <c r="B442" s="11"/>
      <c r="C442" s="11"/>
      <c r="D442" s="11"/>
      <c r="E442" s="11"/>
      <c r="F442" s="11"/>
      <c r="G442" s="11"/>
      <c r="H442" s="11"/>
      <c r="I442" s="11"/>
      <c r="J442" s="11"/>
      <c r="K442" s="11"/>
      <c r="L442" s="11"/>
      <c r="M442" s="11"/>
      <c r="N442" s="11"/>
      <c r="O442" s="11"/>
    </row>
    <row r="443" spans="1:15">
      <c r="A443" s="11"/>
      <c r="B443" s="11"/>
      <c r="C443" s="11"/>
      <c r="D443" s="11"/>
      <c r="E443" s="11"/>
      <c r="F443" s="11"/>
      <c r="G443" s="11"/>
      <c r="H443" s="11"/>
      <c r="I443" s="11"/>
      <c r="J443" s="11"/>
      <c r="K443" s="11"/>
      <c r="L443" s="11"/>
      <c r="M443" s="11"/>
      <c r="N443" s="11"/>
      <c r="O443" s="11"/>
    </row>
    <row r="444" spans="1:15">
      <c r="A444" s="11"/>
      <c r="B444" s="11"/>
      <c r="C444" s="11"/>
      <c r="D444" s="11"/>
      <c r="E444" s="11"/>
      <c r="F444" s="11"/>
      <c r="G444" s="11"/>
      <c r="H444" s="11"/>
      <c r="I444" s="11"/>
      <c r="J444" s="11"/>
      <c r="K444" s="11"/>
      <c r="L444" s="11"/>
      <c r="M444" s="11"/>
      <c r="N444" s="11"/>
      <c r="O444" s="11"/>
    </row>
    <row r="445" spans="1:15">
      <c r="A445" s="11"/>
      <c r="B445" s="11"/>
      <c r="C445" s="11"/>
      <c r="D445" s="11"/>
      <c r="E445" s="11"/>
      <c r="F445" s="11"/>
      <c r="G445" s="11"/>
      <c r="H445" s="11"/>
      <c r="I445" s="11"/>
      <c r="J445" s="11"/>
      <c r="K445" s="11"/>
      <c r="L445" s="11"/>
      <c r="M445" s="11"/>
      <c r="N445" s="11"/>
      <c r="O445" s="11"/>
    </row>
    <row r="446" spans="1:15">
      <c r="A446" s="11"/>
      <c r="B446" s="11"/>
      <c r="C446" s="11"/>
      <c r="D446" s="11"/>
      <c r="E446" s="11"/>
      <c r="F446" s="11"/>
      <c r="G446" s="11"/>
      <c r="H446" s="11"/>
      <c r="I446" s="11"/>
      <c r="J446" s="11"/>
      <c r="K446" s="11"/>
      <c r="L446" s="11"/>
      <c r="M446" s="11"/>
      <c r="N446" s="11"/>
      <c r="O446" s="11"/>
    </row>
    <row r="447" spans="1:15">
      <c r="A447" s="11"/>
      <c r="B447" s="11"/>
      <c r="C447" s="11"/>
      <c r="D447" s="11"/>
      <c r="E447" s="11"/>
      <c r="F447" s="11"/>
      <c r="G447" s="11"/>
      <c r="H447" s="11"/>
      <c r="I447" s="11"/>
      <c r="J447" s="11"/>
      <c r="K447" s="11"/>
      <c r="L447" s="11"/>
      <c r="M447" s="11"/>
      <c r="N447" s="11"/>
      <c r="O447" s="11"/>
    </row>
    <row r="448" spans="1:15">
      <c r="A448" s="11"/>
      <c r="B448" s="11"/>
      <c r="C448" s="11"/>
      <c r="D448" s="11"/>
      <c r="E448" s="11"/>
      <c r="F448" s="11"/>
      <c r="G448" s="11"/>
      <c r="H448" s="11"/>
      <c r="I448" s="11"/>
      <c r="J448" s="11"/>
      <c r="K448" s="11"/>
      <c r="L448" s="11"/>
      <c r="M448" s="11"/>
      <c r="N448" s="11"/>
      <c r="O448" s="11"/>
    </row>
    <row r="449" spans="1:15">
      <c r="A449" s="11"/>
      <c r="B449" s="11"/>
      <c r="C449" s="11"/>
      <c r="D449" s="11"/>
      <c r="E449" s="11"/>
      <c r="F449" s="11"/>
      <c r="G449" s="11"/>
      <c r="H449" s="11"/>
      <c r="I449" s="11"/>
      <c r="J449" s="11"/>
      <c r="K449" s="11"/>
      <c r="L449" s="11"/>
      <c r="M449" s="11"/>
      <c r="N449" s="11"/>
      <c r="O449" s="11"/>
    </row>
    <row r="450" spans="1:15">
      <c r="A450" s="11"/>
      <c r="B450" s="11"/>
      <c r="C450" s="11"/>
      <c r="D450" s="11"/>
      <c r="E450" s="11"/>
      <c r="F450" s="11"/>
      <c r="G450" s="11"/>
      <c r="H450" s="11"/>
      <c r="I450" s="11"/>
      <c r="J450" s="11"/>
      <c r="K450" s="11"/>
      <c r="L450" s="11"/>
      <c r="M450" s="11"/>
      <c r="N450" s="11"/>
      <c r="O450" s="11"/>
    </row>
    <row r="451" spans="1:15">
      <c r="A451" s="11"/>
      <c r="B451" s="11"/>
      <c r="C451" s="11"/>
      <c r="D451" s="11"/>
      <c r="E451" s="11"/>
      <c r="F451" s="11"/>
      <c r="G451" s="11"/>
      <c r="H451" s="11"/>
      <c r="I451" s="11"/>
      <c r="J451" s="11"/>
      <c r="K451" s="11"/>
      <c r="L451" s="11"/>
      <c r="M451" s="11"/>
      <c r="N451" s="11"/>
      <c r="O451" s="11"/>
    </row>
    <row r="452" spans="1:15">
      <c r="A452" s="11"/>
      <c r="B452" s="11"/>
      <c r="C452" s="11"/>
      <c r="D452" s="11"/>
      <c r="E452" s="11"/>
      <c r="F452" s="11"/>
      <c r="G452" s="11"/>
      <c r="H452" s="11"/>
      <c r="I452" s="11"/>
      <c r="J452" s="11"/>
      <c r="K452" s="11"/>
      <c r="L452" s="11"/>
      <c r="M452" s="11"/>
      <c r="N452" s="11"/>
      <c r="O452" s="11"/>
    </row>
    <row r="453" spans="1:15">
      <c r="A453" s="11"/>
      <c r="B453" s="11"/>
      <c r="C453" s="11"/>
      <c r="D453" s="11"/>
      <c r="E453" s="11"/>
      <c r="F453" s="11"/>
      <c r="G453" s="11"/>
      <c r="H453" s="11"/>
      <c r="I453" s="11"/>
      <c r="J453" s="11"/>
      <c r="K453" s="11"/>
      <c r="L453" s="11"/>
      <c r="M453" s="11"/>
      <c r="N453" s="11"/>
      <c r="O453" s="11"/>
    </row>
    <row r="454" spans="1:15">
      <c r="A454" s="11"/>
      <c r="B454" s="11"/>
      <c r="C454" s="11"/>
      <c r="D454" s="11"/>
      <c r="E454" s="11"/>
      <c r="F454" s="11"/>
      <c r="G454" s="11"/>
      <c r="H454" s="11"/>
      <c r="I454" s="11"/>
      <c r="J454" s="11"/>
      <c r="K454" s="11"/>
      <c r="L454" s="11"/>
      <c r="M454" s="11"/>
      <c r="N454" s="11"/>
      <c r="O454" s="11"/>
    </row>
    <row r="455" spans="1:15">
      <c r="A455" s="11"/>
      <c r="B455" s="11"/>
      <c r="C455" s="11"/>
      <c r="D455" s="11"/>
      <c r="E455" s="11"/>
      <c r="F455" s="11"/>
      <c r="G455" s="11"/>
      <c r="H455" s="11"/>
      <c r="I455" s="11"/>
      <c r="J455" s="11"/>
      <c r="K455" s="11"/>
      <c r="L455" s="11"/>
      <c r="M455" s="11"/>
      <c r="N455" s="11"/>
      <c r="O455" s="11"/>
    </row>
    <row r="456" spans="1:15">
      <c r="A456" s="11"/>
      <c r="B456" s="11"/>
      <c r="C456" s="11"/>
      <c r="D456" s="11"/>
      <c r="E456" s="11"/>
      <c r="F456" s="11"/>
      <c r="G456" s="11"/>
      <c r="H456" s="11"/>
      <c r="I456" s="11"/>
      <c r="J456" s="11"/>
      <c r="K456" s="11"/>
      <c r="L456" s="11"/>
      <c r="M456" s="11"/>
      <c r="N456" s="11"/>
      <c r="O456" s="11"/>
    </row>
    <row r="457" spans="1:15">
      <c r="A457" s="11"/>
      <c r="B457" s="11"/>
      <c r="C457" s="11"/>
      <c r="D457" s="11"/>
      <c r="E457" s="11"/>
      <c r="F457" s="11"/>
      <c r="G457" s="11"/>
      <c r="H457" s="11"/>
      <c r="I457" s="11"/>
      <c r="J457" s="11"/>
      <c r="K457" s="11"/>
      <c r="L457" s="11"/>
      <c r="M457" s="11"/>
      <c r="N457" s="11"/>
      <c r="O457" s="11"/>
    </row>
    <row r="458" spans="1:15">
      <c r="A458" s="11"/>
      <c r="B458" s="11"/>
      <c r="C458" s="11"/>
      <c r="D458" s="11"/>
      <c r="E458" s="11"/>
      <c r="F458" s="11"/>
      <c r="G458" s="11"/>
      <c r="H458" s="11"/>
      <c r="I458" s="11"/>
      <c r="J458" s="11"/>
      <c r="K458" s="11"/>
      <c r="L458" s="11"/>
      <c r="M458" s="11"/>
      <c r="N458" s="11"/>
      <c r="O458" s="11"/>
    </row>
    <row r="459" spans="1:15">
      <c r="A459" s="11"/>
      <c r="B459" s="11"/>
      <c r="C459" s="11"/>
      <c r="D459" s="11"/>
      <c r="E459" s="11"/>
      <c r="F459" s="11"/>
      <c r="G459" s="11"/>
      <c r="H459" s="11"/>
      <c r="I459" s="11"/>
      <c r="J459" s="11"/>
      <c r="K459" s="11"/>
      <c r="L459" s="11"/>
      <c r="M459" s="11"/>
      <c r="N459" s="11"/>
      <c r="O459" s="11"/>
    </row>
    <row r="460" spans="1:15">
      <c r="A460" s="11"/>
      <c r="B460" s="11"/>
      <c r="C460" s="11"/>
      <c r="D460" s="11"/>
      <c r="E460" s="11"/>
      <c r="F460" s="11"/>
      <c r="G460" s="11"/>
      <c r="H460" s="11"/>
      <c r="I460" s="11"/>
      <c r="J460" s="11"/>
      <c r="K460" s="11"/>
      <c r="L460" s="11"/>
      <c r="M460" s="11"/>
      <c r="N460" s="11"/>
      <c r="O460" s="11"/>
    </row>
    <row r="461" spans="1:15">
      <c r="A461" s="11"/>
      <c r="B461" s="11"/>
      <c r="C461" s="11"/>
      <c r="D461" s="11"/>
      <c r="E461" s="11"/>
      <c r="F461" s="11"/>
      <c r="G461" s="11"/>
      <c r="H461" s="11"/>
      <c r="I461" s="11"/>
      <c r="J461" s="11"/>
      <c r="K461" s="11"/>
      <c r="L461" s="11"/>
      <c r="M461" s="11"/>
      <c r="N461" s="11"/>
      <c r="O461" s="11"/>
    </row>
    <row r="462" spans="1:15">
      <c r="A462" s="11"/>
      <c r="B462" s="11"/>
      <c r="C462" s="11"/>
      <c r="D462" s="11"/>
      <c r="E462" s="11"/>
      <c r="F462" s="11"/>
      <c r="G462" s="11"/>
      <c r="H462" s="11"/>
      <c r="I462" s="11"/>
      <c r="J462" s="11"/>
      <c r="K462" s="11"/>
      <c r="L462" s="11"/>
      <c r="M462" s="11"/>
      <c r="N462" s="11"/>
      <c r="O462" s="11"/>
    </row>
    <row r="463" spans="1:15">
      <c r="A463" s="11"/>
      <c r="B463" s="11"/>
      <c r="C463" s="11"/>
      <c r="D463" s="11"/>
      <c r="E463" s="11"/>
      <c r="F463" s="11"/>
      <c r="G463" s="11"/>
      <c r="H463" s="11"/>
      <c r="I463" s="11"/>
      <c r="J463" s="11"/>
      <c r="K463" s="11"/>
      <c r="L463" s="11"/>
      <c r="M463" s="11"/>
      <c r="N463" s="11"/>
      <c r="O463" s="11"/>
    </row>
    <row r="464" spans="1:15">
      <c r="A464" s="11"/>
      <c r="B464" s="11"/>
      <c r="C464" s="11"/>
      <c r="D464" s="11"/>
      <c r="E464" s="11"/>
      <c r="F464" s="11"/>
      <c r="G464" s="11"/>
      <c r="H464" s="11"/>
      <c r="I464" s="11"/>
      <c r="J464" s="11"/>
      <c r="K464" s="11"/>
      <c r="L464" s="11"/>
      <c r="M464" s="11"/>
      <c r="N464" s="11"/>
      <c r="O464" s="11"/>
    </row>
    <row r="465" spans="1:15">
      <c r="A465" s="11"/>
      <c r="B465" s="11"/>
      <c r="C465" s="11"/>
      <c r="D465" s="11"/>
      <c r="E465" s="11"/>
      <c r="F465" s="11"/>
      <c r="G465" s="11"/>
      <c r="H465" s="11"/>
      <c r="I465" s="11"/>
      <c r="J465" s="11"/>
      <c r="K465" s="11"/>
      <c r="L465" s="11"/>
      <c r="M465" s="11"/>
      <c r="N465" s="11"/>
      <c r="O465" s="11"/>
    </row>
    <row r="466" spans="1:15">
      <c r="A466" s="11"/>
      <c r="B466" s="11"/>
      <c r="C466" s="11"/>
      <c r="D466" s="11"/>
      <c r="E466" s="11"/>
      <c r="F466" s="11"/>
      <c r="G466" s="11"/>
      <c r="H466" s="11"/>
      <c r="I466" s="11"/>
      <c r="J466" s="11"/>
      <c r="K466" s="11"/>
      <c r="L466" s="11"/>
      <c r="M466" s="11"/>
      <c r="N466" s="11"/>
      <c r="O466" s="11"/>
    </row>
    <row r="467" spans="1:15">
      <c r="A467" s="11"/>
      <c r="B467" s="11"/>
      <c r="C467" s="11"/>
      <c r="D467" s="11"/>
      <c r="E467" s="11"/>
      <c r="F467" s="11"/>
      <c r="G467" s="11"/>
      <c r="H467" s="11"/>
      <c r="I467" s="11"/>
      <c r="J467" s="11"/>
      <c r="K467" s="11"/>
      <c r="L467" s="11"/>
      <c r="M467" s="11"/>
      <c r="N467" s="11"/>
      <c r="O467" s="11"/>
    </row>
    <row r="468" spans="1:15">
      <c r="A468" s="11"/>
      <c r="B468" s="11"/>
      <c r="C468" s="11"/>
      <c r="D468" s="11"/>
      <c r="E468" s="11"/>
      <c r="F468" s="11"/>
      <c r="G468" s="11"/>
      <c r="H468" s="11"/>
      <c r="I468" s="11"/>
      <c r="J468" s="11"/>
      <c r="K468" s="11"/>
      <c r="L468" s="11"/>
      <c r="M468" s="11"/>
      <c r="N468" s="11"/>
      <c r="O468" s="11"/>
    </row>
    <row r="469" spans="1:15">
      <c r="A469" s="11"/>
      <c r="B469" s="11"/>
      <c r="C469" s="11"/>
      <c r="D469" s="11"/>
      <c r="E469" s="11"/>
      <c r="F469" s="11"/>
      <c r="G469" s="11"/>
      <c r="H469" s="11"/>
      <c r="I469" s="11"/>
      <c r="J469" s="11"/>
      <c r="K469" s="11"/>
      <c r="L469" s="11"/>
      <c r="M469" s="11"/>
      <c r="N469" s="11"/>
      <c r="O469" s="11"/>
    </row>
    <row r="470" spans="1:15">
      <c r="A470" s="11"/>
      <c r="B470" s="11"/>
      <c r="C470" s="11"/>
      <c r="D470" s="11"/>
      <c r="E470" s="11"/>
      <c r="F470" s="11"/>
      <c r="G470" s="11"/>
      <c r="H470" s="11"/>
      <c r="I470" s="11"/>
      <c r="J470" s="11"/>
      <c r="K470" s="11"/>
      <c r="L470" s="11"/>
      <c r="M470" s="11"/>
      <c r="N470" s="11"/>
      <c r="O470" s="11"/>
    </row>
    <row r="471" spans="1:15">
      <c r="A471" s="11"/>
      <c r="B471" s="11"/>
      <c r="C471" s="11"/>
      <c r="D471" s="11"/>
      <c r="E471" s="11"/>
      <c r="F471" s="11"/>
      <c r="G471" s="11"/>
      <c r="H471" s="11"/>
      <c r="I471" s="11"/>
      <c r="J471" s="11"/>
      <c r="K471" s="11"/>
      <c r="L471" s="11"/>
      <c r="M471" s="11"/>
      <c r="N471" s="11"/>
      <c r="O471" s="11"/>
    </row>
    <row r="472" spans="1:15">
      <c r="A472" s="11"/>
      <c r="B472" s="11"/>
      <c r="C472" s="11"/>
      <c r="D472" s="11"/>
      <c r="E472" s="11"/>
      <c r="F472" s="11"/>
      <c r="G472" s="11"/>
      <c r="H472" s="11"/>
      <c r="I472" s="11"/>
      <c r="J472" s="11"/>
      <c r="K472" s="11"/>
      <c r="L472" s="11"/>
      <c r="M472" s="11"/>
      <c r="N472" s="11"/>
      <c r="O472" s="11"/>
    </row>
    <row r="473" spans="1:15">
      <c r="A473" s="11"/>
      <c r="B473" s="11"/>
      <c r="C473" s="11"/>
      <c r="D473" s="11"/>
      <c r="E473" s="11"/>
      <c r="F473" s="11"/>
      <c r="G473" s="11"/>
      <c r="H473" s="11"/>
      <c r="I473" s="11"/>
      <c r="J473" s="11"/>
      <c r="K473" s="11"/>
      <c r="L473" s="11"/>
      <c r="M473" s="11"/>
      <c r="N473" s="11"/>
      <c r="O473" s="11"/>
    </row>
    <row r="474" spans="1:15">
      <c r="A474" s="11"/>
      <c r="B474" s="11"/>
      <c r="C474" s="11"/>
      <c r="D474" s="11"/>
      <c r="E474" s="11"/>
      <c r="F474" s="11"/>
      <c r="G474" s="11"/>
      <c r="H474" s="11"/>
      <c r="I474" s="11"/>
      <c r="J474" s="11"/>
      <c r="K474" s="11"/>
      <c r="L474" s="11"/>
      <c r="M474" s="11"/>
      <c r="N474" s="11"/>
      <c r="O474" s="11"/>
    </row>
    <row r="475" spans="1:15">
      <c r="A475" s="11"/>
      <c r="B475" s="11"/>
      <c r="C475" s="11"/>
      <c r="D475" s="11"/>
      <c r="E475" s="11"/>
      <c r="F475" s="11"/>
      <c r="G475" s="11"/>
      <c r="H475" s="11"/>
      <c r="I475" s="11"/>
      <c r="J475" s="11"/>
      <c r="K475" s="11"/>
      <c r="L475" s="11"/>
      <c r="M475" s="11"/>
      <c r="N475" s="11"/>
      <c r="O475" s="11"/>
    </row>
    <row r="476" spans="1:15">
      <c r="A476" s="11"/>
      <c r="B476" s="11"/>
      <c r="C476" s="11"/>
      <c r="D476" s="11"/>
      <c r="E476" s="11"/>
      <c r="F476" s="11"/>
      <c r="G476" s="11"/>
      <c r="H476" s="11"/>
      <c r="I476" s="11"/>
      <c r="J476" s="11"/>
      <c r="K476" s="11"/>
      <c r="L476" s="11"/>
      <c r="M476" s="11"/>
      <c r="N476" s="11"/>
      <c r="O476" s="11"/>
    </row>
    <row r="477" spans="1:15">
      <c r="A477" s="11"/>
      <c r="B477" s="11"/>
      <c r="C477" s="11"/>
      <c r="D477" s="11"/>
      <c r="E477" s="11"/>
      <c r="F477" s="11"/>
      <c r="G477" s="11"/>
      <c r="H477" s="11"/>
      <c r="I477" s="11"/>
      <c r="J477" s="11"/>
      <c r="K477" s="11"/>
      <c r="L477" s="11"/>
      <c r="M477" s="11"/>
      <c r="N477" s="11"/>
      <c r="O477" s="11"/>
    </row>
    <row r="478" spans="1:15">
      <c r="A478" s="11"/>
      <c r="B478" s="11"/>
      <c r="C478" s="11"/>
      <c r="D478" s="11"/>
      <c r="E478" s="11"/>
      <c r="F478" s="11"/>
      <c r="G478" s="11"/>
      <c r="H478" s="11"/>
      <c r="I478" s="11"/>
      <c r="J478" s="11"/>
      <c r="K478" s="11"/>
      <c r="L478" s="11"/>
      <c r="M478" s="11"/>
      <c r="N478" s="11"/>
      <c r="O478" s="11"/>
    </row>
    <row r="479" spans="1:15">
      <c r="A479" s="11"/>
      <c r="B479" s="11"/>
      <c r="C479" s="11"/>
      <c r="D479" s="11"/>
      <c r="E479" s="11"/>
      <c r="F479" s="11"/>
      <c r="G479" s="11"/>
      <c r="H479" s="11"/>
      <c r="I479" s="11"/>
      <c r="J479" s="11"/>
      <c r="K479" s="11"/>
      <c r="L479" s="11"/>
      <c r="M479" s="11"/>
      <c r="N479" s="11"/>
      <c r="O479" s="11"/>
    </row>
    <row r="480" spans="1:15">
      <c r="A480" s="11"/>
      <c r="B480" s="11"/>
      <c r="C480" s="11"/>
      <c r="D480" s="11"/>
      <c r="E480" s="11"/>
      <c r="F480" s="11"/>
      <c r="G480" s="11"/>
      <c r="H480" s="11"/>
      <c r="I480" s="11"/>
      <c r="J480" s="11"/>
      <c r="K480" s="11"/>
      <c r="L480" s="11"/>
      <c r="M480" s="11"/>
      <c r="N480" s="11"/>
      <c r="O480" s="11"/>
    </row>
    <row r="481" spans="1:15">
      <c r="A481" s="11"/>
      <c r="B481" s="11"/>
      <c r="C481" s="11"/>
      <c r="D481" s="11"/>
      <c r="E481" s="11"/>
      <c r="F481" s="11"/>
      <c r="G481" s="11"/>
      <c r="H481" s="11"/>
      <c r="I481" s="11"/>
      <c r="J481" s="11"/>
      <c r="K481" s="11"/>
      <c r="L481" s="11"/>
      <c r="M481" s="11"/>
      <c r="N481" s="11"/>
      <c r="O481" s="11"/>
    </row>
    <row r="482" spans="1:15">
      <c r="A482" s="11"/>
      <c r="B482" s="11"/>
      <c r="C482" s="11"/>
      <c r="D482" s="11"/>
      <c r="E482" s="11"/>
      <c r="F482" s="11"/>
      <c r="G482" s="11"/>
      <c r="H482" s="11"/>
      <c r="I482" s="11"/>
      <c r="J482" s="11"/>
      <c r="K482" s="11"/>
      <c r="L482" s="11"/>
      <c r="M482" s="11"/>
      <c r="N482" s="11"/>
      <c r="O482" s="11"/>
    </row>
    <row r="483" spans="1:15">
      <c r="A483" s="11"/>
      <c r="B483" s="11"/>
      <c r="C483" s="11"/>
      <c r="D483" s="11"/>
      <c r="E483" s="11"/>
      <c r="F483" s="11"/>
      <c r="G483" s="11"/>
      <c r="H483" s="11"/>
      <c r="I483" s="11"/>
      <c r="J483" s="11"/>
      <c r="K483" s="11"/>
      <c r="L483" s="11"/>
      <c r="M483" s="11"/>
      <c r="N483" s="11"/>
      <c r="O483" s="11"/>
    </row>
    <row r="484" spans="1:15">
      <c r="A484" s="11"/>
      <c r="B484" s="11"/>
      <c r="C484" s="11"/>
      <c r="D484" s="11"/>
      <c r="E484" s="11"/>
      <c r="F484" s="11"/>
      <c r="G484" s="11"/>
      <c r="H484" s="11"/>
      <c r="I484" s="11"/>
      <c r="J484" s="11"/>
      <c r="K484" s="11"/>
      <c r="L484" s="11"/>
      <c r="M484" s="11"/>
      <c r="N484" s="11"/>
      <c r="O484" s="11"/>
    </row>
    <row r="485" spans="1:15">
      <c r="A485" s="11"/>
      <c r="B485" s="11"/>
      <c r="C485" s="11"/>
      <c r="D485" s="11"/>
      <c r="E485" s="11"/>
      <c r="F485" s="11"/>
      <c r="G485" s="11"/>
      <c r="H485" s="11"/>
      <c r="I485" s="11"/>
      <c r="J485" s="11"/>
      <c r="K485" s="11"/>
      <c r="L485" s="11"/>
      <c r="M485" s="11"/>
      <c r="N485" s="11"/>
      <c r="O485" s="11"/>
    </row>
    <row r="486" spans="1:15">
      <c r="A486" s="11"/>
      <c r="B486" s="11"/>
      <c r="C486" s="11"/>
      <c r="D486" s="11"/>
      <c r="E486" s="11"/>
      <c r="F486" s="11"/>
      <c r="G486" s="11"/>
      <c r="H486" s="11"/>
      <c r="I486" s="11"/>
      <c r="J486" s="11"/>
      <c r="K486" s="11"/>
      <c r="L486" s="11"/>
      <c r="M486" s="11"/>
      <c r="N486" s="11"/>
      <c r="O486" s="11"/>
    </row>
    <row r="487" spans="1:15">
      <c r="A487" s="11"/>
      <c r="B487" s="11"/>
      <c r="C487" s="11"/>
      <c r="D487" s="11"/>
      <c r="E487" s="11"/>
      <c r="F487" s="11"/>
      <c r="G487" s="11"/>
      <c r="H487" s="11"/>
      <c r="I487" s="11"/>
      <c r="J487" s="11"/>
      <c r="K487" s="11"/>
      <c r="L487" s="11"/>
      <c r="M487" s="11"/>
      <c r="N487" s="11"/>
      <c r="O487" s="11"/>
    </row>
    <row r="488" spans="1:15">
      <c r="A488" s="11"/>
      <c r="B488" s="11"/>
      <c r="C488" s="11"/>
      <c r="D488" s="11"/>
      <c r="E488" s="11"/>
      <c r="F488" s="11"/>
      <c r="G488" s="11"/>
      <c r="H488" s="11"/>
      <c r="I488" s="11"/>
      <c r="J488" s="11"/>
      <c r="K488" s="11"/>
      <c r="L488" s="11"/>
      <c r="M488" s="11"/>
      <c r="N488" s="11"/>
      <c r="O488" s="11"/>
    </row>
    <row r="489" spans="1:15">
      <c r="A489" s="11"/>
      <c r="B489" s="11"/>
      <c r="C489" s="11"/>
      <c r="D489" s="11"/>
      <c r="E489" s="11"/>
      <c r="F489" s="11"/>
      <c r="G489" s="11"/>
      <c r="H489" s="11"/>
      <c r="I489" s="11"/>
      <c r="J489" s="11"/>
      <c r="K489" s="11"/>
      <c r="L489" s="11"/>
      <c r="M489" s="11"/>
      <c r="N489" s="11"/>
      <c r="O489" s="11"/>
    </row>
    <row r="490" spans="1:15">
      <c r="A490" s="11"/>
      <c r="B490" s="11"/>
      <c r="C490" s="11"/>
      <c r="D490" s="11"/>
      <c r="E490" s="11"/>
      <c r="F490" s="11"/>
      <c r="G490" s="11"/>
      <c r="H490" s="11"/>
      <c r="I490" s="11"/>
      <c r="J490" s="11"/>
      <c r="K490" s="11"/>
      <c r="L490" s="11"/>
      <c r="M490" s="11"/>
      <c r="N490" s="11"/>
      <c r="O490" s="11"/>
    </row>
    <row r="491" spans="1:15">
      <c r="A491" s="11"/>
      <c r="B491" s="11"/>
      <c r="C491" s="11"/>
      <c r="D491" s="11"/>
      <c r="E491" s="11"/>
      <c r="F491" s="11"/>
      <c r="G491" s="11"/>
      <c r="H491" s="11"/>
      <c r="I491" s="11"/>
      <c r="J491" s="11"/>
      <c r="K491" s="11"/>
      <c r="L491" s="11"/>
      <c r="M491" s="11"/>
      <c r="N491" s="11"/>
      <c r="O491" s="11"/>
    </row>
    <row r="492" spans="1:15">
      <c r="A492" s="11"/>
      <c r="B492" s="11"/>
      <c r="C492" s="11"/>
      <c r="D492" s="11"/>
      <c r="E492" s="11"/>
      <c r="F492" s="11"/>
      <c r="G492" s="11"/>
      <c r="H492" s="11"/>
      <c r="I492" s="11"/>
      <c r="J492" s="11"/>
      <c r="K492" s="11"/>
      <c r="L492" s="11"/>
      <c r="M492" s="11"/>
      <c r="N492" s="11"/>
      <c r="O492" s="11"/>
    </row>
    <row r="493" spans="1:15">
      <c r="A493" s="11"/>
      <c r="B493" s="11"/>
      <c r="C493" s="11"/>
      <c r="D493" s="11"/>
      <c r="E493" s="11"/>
      <c r="F493" s="11"/>
      <c r="G493" s="11"/>
      <c r="H493" s="11"/>
      <c r="I493" s="11"/>
      <c r="J493" s="11"/>
      <c r="K493" s="11"/>
      <c r="L493" s="11"/>
      <c r="M493" s="11"/>
      <c r="N493" s="11"/>
      <c r="O493" s="11"/>
    </row>
    <row r="494" spans="1:15">
      <c r="A494" s="11"/>
      <c r="B494" s="11"/>
      <c r="C494" s="11"/>
      <c r="D494" s="11"/>
      <c r="E494" s="11"/>
      <c r="F494" s="11"/>
      <c r="G494" s="11"/>
      <c r="H494" s="11"/>
      <c r="I494" s="11"/>
      <c r="J494" s="11"/>
      <c r="K494" s="11"/>
      <c r="L494" s="11"/>
      <c r="M494" s="11"/>
      <c r="N494" s="11"/>
      <c r="O494" s="11"/>
    </row>
    <row r="495" spans="1:15">
      <c r="A495" s="11"/>
      <c r="B495" s="11"/>
      <c r="C495" s="11"/>
      <c r="D495" s="11"/>
      <c r="E495" s="11"/>
      <c r="F495" s="11"/>
      <c r="G495" s="11"/>
      <c r="H495" s="11"/>
      <c r="I495" s="11"/>
      <c r="J495" s="11"/>
      <c r="K495" s="11"/>
      <c r="L495" s="11"/>
      <c r="M495" s="11"/>
      <c r="N495" s="11"/>
      <c r="O495" s="11"/>
    </row>
    <row r="496" spans="1:15">
      <c r="A496" s="11"/>
      <c r="B496" s="11"/>
      <c r="C496" s="11"/>
      <c r="D496" s="11"/>
      <c r="E496" s="11"/>
      <c r="F496" s="11"/>
      <c r="G496" s="11"/>
      <c r="H496" s="11"/>
      <c r="I496" s="11"/>
      <c r="J496" s="11"/>
      <c r="K496" s="11"/>
      <c r="L496" s="11"/>
      <c r="M496" s="11"/>
      <c r="N496" s="11"/>
      <c r="O496" s="11"/>
    </row>
    <row r="497" spans="1:15">
      <c r="A497" s="11"/>
      <c r="B497" s="11"/>
      <c r="C497" s="11"/>
      <c r="D497" s="11"/>
      <c r="E497" s="11"/>
      <c r="F497" s="11"/>
      <c r="G497" s="11"/>
      <c r="H497" s="11"/>
      <c r="I497" s="11"/>
      <c r="J497" s="11"/>
      <c r="K497" s="11"/>
      <c r="L497" s="11"/>
      <c r="M497" s="11"/>
      <c r="N497" s="11"/>
      <c r="O497" s="11"/>
    </row>
    <row r="498" spans="1:15">
      <c r="A498" s="11"/>
      <c r="B498" s="11"/>
      <c r="C498" s="11"/>
      <c r="D498" s="11"/>
      <c r="E498" s="11"/>
      <c r="F498" s="11"/>
      <c r="G498" s="11"/>
      <c r="H498" s="11"/>
      <c r="I498" s="11"/>
      <c r="J498" s="11"/>
      <c r="K498" s="11"/>
      <c r="L498" s="11"/>
      <c r="M498" s="11"/>
      <c r="N498" s="11"/>
      <c r="O498" s="11"/>
    </row>
    <row r="499" spans="1:15">
      <c r="A499" s="11"/>
      <c r="B499" s="11"/>
      <c r="C499" s="11"/>
      <c r="D499" s="11"/>
      <c r="E499" s="11"/>
      <c r="F499" s="11"/>
      <c r="G499" s="11"/>
      <c r="H499" s="11"/>
      <c r="I499" s="11"/>
      <c r="J499" s="11"/>
      <c r="K499" s="11"/>
      <c r="L499" s="11"/>
      <c r="M499" s="11"/>
      <c r="N499" s="11"/>
      <c r="O499" s="11"/>
    </row>
    <row r="500" spans="1:15">
      <c r="A500" s="11"/>
      <c r="B500" s="11"/>
      <c r="C500" s="11"/>
      <c r="D500" s="11"/>
      <c r="E500" s="11"/>
      <c r="F500" s="11"/>
      <c r="G500" s="11"/>
      <c r="H500" s="11"/>
      <c r="I500" s="11"/>
      <c r="J500" s="11"/>
      <c r="K500" s="11"/>
      <c r="L500" s="11"/>
      <c r="M500" s="11"/>
      <c r="N500" s="11"/>
      <c r="O500" s="11"/>
    </row>
    <row r="501" spans="1:15">
      <c r="A501" s="11"/>
      <c r="B501" s="11"/>
      <c r="C501" s="11"/>
      <c r="D501" s="11"/>
      <c r="E501" s="11"/>
      <c r="F501" s="11"/>
      <c r="G501" s="11"/>
      <c r="H501" s="11"/>
      <c r="I501" s="11"/>
      <c r="J501" s="11"/>
      <c r="K501" s="11"/>
      <c r="L501" s="11"/>
      <c r="M501" s="11"/>
      <c r="N501" s="11"/>
      <c r="O501" s="11"/>
    </row>
    <row r="502" spans="1:15">
      <c r="A502" s="11"/>
      <c r="B502" s="11"/>
      <c r="C502" s="11"/>
      <c r="D502" s="11"/>
      <c r="E502" s="11"/>
      <c r="F502" s="11"/>
      <c r="G502" s="11"/>
      <c r="H502" s="11"/>
      <c r="I502" s="11"/>
      <c r="J502" s="11"/>
      <c r="K502" s="11"/>
      <c r="L502" s="11"/>
      <c r="M502" s="11"/>
      <c r="N502" s="11"/>
      <c r="O502" s="11"/>
    </row>
    <row r="503" spans="1:15">
      <c r="A503" s="11"/>
      <c r="B503" s="11"/>
      <c r="C503" s="11"/>
      <c r="D503" s="11"/>
      <c r="E503" s="11"/>
      <c r="F503" s="11"/>
      <c r="G503" s="11"/>
      <c r="H503" s="11"/>
      <c r="I503" s="11"/>
      <c r="J503" s="11"/>
      <c r="K503" s="11"/>
      <c r="L503" s="11"/>
      <c r="M503" s="11"/>
      <c r="N503" s="11"/>
      <c r="O503" s="11"/>
    </row>
    <row r="504" spans="1:15">
      <c r="A504" s="11"/>
      <c r="B504" s="11"/>
      <c r="C504" s="11"/>
      <c r="D504" s="11"/>
      <c r="E504" s="11"/>
      <c r="F504" s="11"/>
      <c r="G504" s="11"/>
      <c r="H504" s="11"/>
      <c r="I504" s="11"/>
      <c r="J504" s="11"/>
      <c r="K504" s="11"/>
      <c r="L504" s="11"/>
      <c r="M504" s="11"/>
      <c r="N504" s="11"/>
      <c r="O504" s="11"/>
    </row>
    <row r="505" spans="1:15">
      <c r="A505" s="11"/>
      <c r="B505" s="11"/>
      <c r="C505" s="11"/>
      <c r="D505" s="11"/>
      <c r="E505" s="11"/>
      <c r="F505" s="11"/>
      <c r="G505" s="11"/>
      <c r="H505" s="11"/>
      <c r="I505" s="11"/>
      <c r="J505" s="11"/>
      <c r="K505" s="11"/>
      <c r="L505" s="11"/>
      <c r="M505" s="11"/>
      <c r="N505" s="11"/>
      <c r="O505" s="11"/>
    </row>
  </sheetData>
  <autoFilter ref="A4:O505" xr:uid="{00000000-0009-0000-0000-000023000000}"/>
  <mergeCells count="2">
    <mergeCell ref="A1:O1"/>
    <mergeCell ref="A2:O2"/>
  </mergeCells>
  <dataValidations count="1">
    <dataValidation type="list" allowBlank="1" showInputMessage="1" showErrorMessage="1" errorTitle="Valeur non reconnue" error="Choisir une valeur du référentiel." promptTitle="Saisie ToTAL" prompt="Sélectionner une valeur contrôlée." sqref="N6:N505" xr:uid="{00000000-0002-0000-2300-000000000000}">
      <formula1>Liste_05</formula1>
    </dataValidation>
  </dataValidation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V505"/>
  <sheetViews>
    <sheetView showGridLines="0" workbookViewId="0">
      <pane ySplit="4" topLeftCell="A5" activePane="bottomLeft" state="frozen"/>
      <selection pane="bottomLeft"/>
    </sheetView>
  </sheetViews>
  <sheetFormatPr defaultRowHeight="15"/>
  <cols>
    <col min="1" max="1" width="12" customWidth="1"/>
    <col min="2" max="2" width="30" customWidth="1"/>
    <col min="3" max="3" width="24" customWidth="1"/>
    <col min="4" max="4" width="28" customWidth="1"/>
    <col min="5" max="5" width="30" customWidth="1"/>
    <col min="6" max="6" width="34" customWidth="1"/>
    <col min="7" max="7" width="30" customWidth="1"/>
    <col min="8" max="8" width="26" customWidth="1"/>
    <col min="9" max="9" width="24" customWidth="1"/>
    <col min="10" max="10" width="30" customWidth="1"/>
    <col min="11" max="11" width="20" customWidth="1"/>
    <col min="12" max="12" width="30" customWidth="1"/>
    <col min="13" max="15" width="28" customWidth="1"/>
    <col min="16" max="16" width="30" customWidth="1"/>
    <col min="17" max="17" width="32" customWidth="1"/>
    <col min="18" max="18" width="18" customWidth="1"/>
    <col min="19" max="19" width="28" customWidth="1"/>
    <col min="20" max="21" width="30" customWidth="1"/>
    <col min="22" max="22" width="28" customWidth="1"/>
  </cols>
  <sheetData>
    <row r="1" spans="1:22" ht="26.1" customHeight="1">
      <c r="A1" s="52" t="s">
        <v>4372</v>
      </c>
      <c r="B1" s="30"/>
      <c r="C1" s="30"/>
      <c r="D1" s="30"/>
      <c r="E1" s="30"/>
      <c r="F1" s="30"/>
      <c r="G1" s="30"/>
      <c r="H1" s="30"/>
      <c r="I1" s="30"/>
      <c r="J1" s="30"/>
      <c r="K1" s="30"/>
      <c r="L1" s="30"/>
      <c r="M1" s="30"/>
      <c r="N1" s="30"/>
      <c r="O1" s="30"/>
      <c r="P1" s="30"/>
      <c r="Q1" s="30"/>
      <c r="R1" s="30"/>
      <c r="S1" s="30"/>
      <c r="T1" s="30"/>
      <c r="U1" s="30"/>
      <c r="V1" s="30"/>
    </row>
    <row r="2" spans="1:22" ht="35.1" customHeight="1">
      <c r="A2" s="28" t="s">
        <v>4496</v>
      </c>
      <c r="B2" s="30"/>
      <c r="C2" s="30"/>
      <c r="D2" s="30"/>
      <c r="E2" s="30"/>
      <c r="F2" s="30"/>
      <c r="G2" s="30"/>
      <c r="H2" s="30"/>
      <c r="I2" s="30"/>
      <c r="J2" s="30"/>
      <c r="K2" s="30"/>
      <c r="L2" s="30"/>
      <c r="M2" s="30"/>
      <c r="N2" s="30"/>
      <c r="O2" s="30"/>
      <c r="P2" s="30"/>
      <c r="Q2" s="30"/>
      <c r="R2" s="30"/>
      <c r="S2" s="30"/>
      <c r="T2" s="30"/>
      <c r="U2" s="30"/>
      <c r="V2" s="30"/>
    </row>
    <row r="4" spans="1:22">
      <c r="A4" s="58" t="s">
        <v>188</v>
      </c>
      <c r="B4" s="58" t="s">
        <v>4497</v>
      </c>
      <c r="C4" s="58" t="s">
        <v>4498</v>
      </c>
      <c r="D4" s="58" t="s">
        <v>4499</v>
      </c>
      <c r="E4" s="58" t="s">
        <v>4500</v>
      </c>
      <c r="F4" s="58" t="s">
        <v>4501</v>
      </c>
      <c r="G4" s="58" t="s">
        <v>4502</v>
      </c>
      <c r="H4" s="58" t="s">
        <v>4503</v>
      </c>
      <c r="I4" s="58" t="s">
        <v>4504</v>
      </c>
      <c r="J4" s="58" t="s">
        <v>4505</v>
      </c>
      <c r="K4" s="58" t="s">
        <v>4506</v>
      </c>
      <c r="L4" s="58" t="s">
        <v>4507</v>
      </c>
      <c r="M4" s="58" t="s">
        <v>4508</v>
      </c>
      <c r="N4" s="58" t="s">
        <v>4509</v>
      </c>
      <c r="O4" s="58" t="s">
        <v>4510</v>
      </c>
      <c r="P4" s="58" t="s">
        <v>4511</v>
      </c>
      <c r="Q4" s="58" t="s">
        <v>4512</v>
      </c>
      <c r="R4" s="58" t="s">
        <v>4479</v>
      </c>
      <c r="S4" s="58" t="s">
        <v>4513</v>
      </c>
      <c r="T4" s="58" t="s">
        <v>4413</v>
      </c>
      <c r="U4" s="58" t="s">
        <v>4452</v>
      </c>
      <c r="V4" s="58" t="s">
        <v>4514</v>
      </c>
    </row>
    <row r="5" spans="1:22" ht="62.1" customHeight="1">
      <c r="A5" s="8" t="s">
        <v>4416</v>
      </c>
      <c r="B5" s="8" t="s">
        <v>4515</v>
      </c>
      <c r="C5" s="8" t="s">
        <v>4516</v>
      </c>
      <c r="D5" s="8" t="s">
        <v>4517</v>
      </c>
      <c r="E5" s="8" t="s">
        <v>4518</v>
      </c>
      <c r="F5" s="8" t="s">
        <v>4519</v>
      </c>
      <c r="G5" s="8" t="s">
        <v>4520</v>
      </c>
      <c r="H5" s="8" t="s">
        <v>4521</v>
      </c>
      <c r="I5" s="8" t="s">
        <v>4522</v>
      </c>
      <c r="J5" s="8" t="s">
        <v>4523</v>
      </c>
      <c r="K5" s="8" t="s">
        <v>4524</v>
      </c>
      <c r="L5" s="8" t="s">
        <v>4525</v>
      </c>
      <c r="M5" s="8" t="s">
        <v>4526</v>
      </c>
      <c r="N5" s="8" t="s">
        <v>4527</v>
      </c>
      <c r="O5" s="8" t="s">
        <v>4528</v>
      </c>
      <c r="P5" s="8" t="s">
        <v>4529</v>
      </c>
      <c r="Q5" s="8" t="s">
        <v>4530</v>
      </c>
      <c r="R5" s="8" t="s">
        <v>4531</v>
      </c>
      <c r="S5" s="8" t="s">
        <v>4532</v>
      </c>
      <c r="T5" s="8" t="s">
        <v>4533</v>
      </c>
      <c r="U5" s="8" t="s">
        <v>4534</v>
      </c>
      <c r="V5" s="8" t="s">
        <v>4535</v>
      </c>
    </row>
    <row r="6" spans="1:22">
      <c r="A6" s="11"/>
      <c r="B6" s="11"/>
      <c r="C6" s="11"/>
      <c r="D6" s="11"/>
      <c r="E6" s="11"/>
      <c r="F6" s="11"/>
      <c r="G6" s="11"/>
      <c r="H6" s="11"/>
      <c r="I6" s="11"/>
      <c r="J6" s="11"/>
      <c r="K6" s="11"/>
      <c r="L6" s="11"/>
      <c r="M6" s="11"/>
      <c r="N6" s="11"/>
      <c r="O6" s="11"/>
      <c r="P6" s="11"/>
      <c r="Q6" s="11"/>
      <c r="R6" s="11"/>
      <c r="S6" s="11"/>
      <c r="T6" s="11"/>
      <c r="U6" s="11"/>
      <c r="V6" s="11"/>
    </row>
    <row r="7" spans="1:22">
      <c r="A7" s="11"/>
      <c r="B7" s="11"/>
      <c r="C7" s="11"/>
      <c r="D7" s="11"/>
      <c r="E7" s="11"/>
      <c r="F7" s="11"/>
      <c r="G7" s="11"/>
      <c r="H7" s="11"/>
      <c r="I7" s="11"/>
      <c r="J7" s="11"/>
      <c r="K7" s="11"/>
      <c r="L7" s="11"/>
      <c r="M7" s="11"/>
      <c r="N7" s="11"/>
      <c r="O7" s="11"/>
      <c r="P7" s="11"/>
      <c r="Q7" s="11"/>
      <c r="R7" s="11"/>
      <c r="S7" s="11"/>
      <c r="T7" s="11"/>
      <c r="U7" s="11"/>
      <c r="V7" s="11"/>
    </row>
    <row r="8" spans="1:22">
      <c r="A8" s="11"/>
      <c r="B8" s="11"/>
      <c r="C8" s="11"/>
      <c r="D8" s="11"/>
      <c r="E8" s="11"/>
      <c r="F8" s="11"/>
      <c r="G8" s="11"/>
      <c r="H8" s="11"/>
      <c r="I8" s="11"/>
      <c r="J8" s="11"/>
      <c r="K8" s="11"/>
      <c r="L8" s="11"/>
      <c r="M8" s="11"/>
      <c r="N8" s="11"/>
      <c r="O8" s="11"/>
      <c r="P8" s="11"/>
      <c r="Q8" s="11"/>
      <c r="R8" s="11"/>
      <c r="S8" s="11"/>
      <c r="T8" s="11"/>
      <c r="U8" s="11"/>
      <c r="V8" s="11"/>
    </row>
    <row r="9" spans="1:22">
      <c r="A9" s="11"/>
      <c r="B9" s="11"/>
      <c r="C9" s="11"/>
      <c r="D9" s="11"/>
      <c r="E9" s="11"/>
      <c r="F9" s="11"/>
      <c r="G9" s="11"/>
      <c r="H9" s="11"/>
      <c r="I9" s="11"/>
      <c r="J9" s="11"/>
      <c r="K9" s="11"/>
      <c r="L9" s="11"/>
      <c r="M9" s="11"/>
      <c r="N9" s="11"/>
      <c r="O9" s="11"/>
      <c r="P9" s="11"/>
      <c r="Q9" s="11"/>
      <c r="R9" s="11"/>
      <c r="S9" s="11"/>
      <c r="T9" s="11"/>
      <c r="U9" s="11"/>
      <c r="V9" s="11"/>
    </row>
    <row r="10" spans="1:22">
      <c r="A10" s="11"/>
      <c r="B10" s="11"/>
      <c r="C10" s="11"/>
      <c r="D10" s="11"/>
      <c r="E10" s="11"/>
      <c r="F10" s="11"/>
      <c r="G10" s="11"/>
      <c r="H10" s="11"/>
      <c r="I10" s="11"/>
      <c r="J10" s="11"/>
      <c r="K10" s="11"/>
      <c r="L10" s="11"/>
      <c r="M10" s="11"/>
      <c r="N10" s="11"/>
      <c r="O10" s="11"/>
      <c r="P10" s="11"/>
      <c r="Q10" s="11"/>
      <c r="R10" s="11"/>
      <c r="S10" s="11"/>
      <c r="T10" s="11"/>
      <c r="U10" s="11"/>
      <c r="V10" s="11"/>
    </row>
    <row r="11" spans="1:22">
      <c r="A11" s="11"/>
      <c r="B11" s="11"/>
      <c r="C11" s="11"/>
      <c r="D11" s="11"/>
      <c r="E11" s="11"/>
      <c r="F11" s="11"/>
      <c r="G11" s="11"/>
      <c r="H11" s="11"/>
      <c r="I11" s="11"/>
      <c r="J11" s="11"/>
      <c r="K11" s="11"/>
      <c r="L11" s="11"/>
      <c r="M11" s="11"/>
      <c r="N11" s="11"/>
      <c r="O11" s="11"/>
      <c r="P11" s="11"/>
      <c r="Q11" s="11"/>
      <c r="R11" s="11"/>
      <c r="S11" s="11"/>
      <c r="T11" s="11"/>
      <c r="U11" s="11"/>
      <c r="V11" s="11"/>
    </row>
    <row r="12" spans="1:22">
      <c r="A12" s="11"/>
      <c r="B12" s="11"/>
      <c r="C12" s="11"/>
      <c r="D12" s="11"/>
      <c r="E12" s="11"/>
      <c r="F12" s="11"/>
      <c r="G12" s="11"/>
      <c r="H12" s="11"/>
      <c r="I12" s="11"/>
      <c r="J12" s="11"/>
      <c r="K12" s="11"/>
      <c r="L12" s="11"/>
      <c r="M12" s="11"/>
      <c r="N12" s="11"/>
      <c r="O12" s="11"/>
      <c r="P12" s="11"/>
      <c r="Q12" s="11"/>
      <c r="R12" s="11"/>
      <c r="S12" s="11"/>
      <c r="T12" s="11"/>
      <c r="U12" s="11"/>
      <c r="V12" s="11"/>
    </row>
    <row r="13" spans="1:22">
      <c r="A13" s="11"/>
      <c r="B13" s="11"/>
      <c r="C13" s="11"/>
      <c r="D13" s="11"/>
      <c r="E13" s="11"/>
      <c r="F13" s="11"/>
      <c r="G13" s="11"/>
      <c r="H13" s="11"/>
      <c r="I13" s="11"/>
      <c r="J13" s="11"/>
      <c r="K13" s="11"/>
      <c r="L13" s="11"/>
      <c r="M13" s="11"/>
      <c r="N13" s="11"/>
      <c r="O13" s="11"/>
      <c r="P13" s="11"/>
      <c r="Q13" s="11"/>
      <c r="R13" s="11"/>
      <c r="S13" s="11"/>
      <c r="T13" s="11"/>
      <c r="U13" s="11"/>
      <c r="V13" s="11"/>
    </row>
    <row r="14" spans="1:22">
      <c r="A14" s="11"/>
      <c r="B14" s="11"/>
      <c r="C14" s="11"/>
      <c r="D14" s="11"/>
      <c r="E14" s="11"/>
      <c r="F14" s="11"/>
      <c r="G14" s="11"/>
      <c r="H14" s="11"/>
      <c r="I14" s="11"/>
      <c r="J14" s="11"/>
      <c r="K14" s="11"/>
      <c r="L14" s="11"/>
      <c r="M14" s="11"/>
      <c r="N14" s="11"/>
      <c r="O14" s="11"/>
      <c r="P14" s="11"/>
      <c r="Q14" s="11"/>
      <c r="R14" s="11"/>
      <c r="S14" s="11"/>
      <c r="T14" s="11"/>
      <c r="U14" s="11"/>
      <c r="V14" s="11"/>
    </row>
    <row r="15" spans="1:22">
      <c r="A15" s="11"/>
      <c r="B15" s="11"/>
      <c r="C15" s="11"/>
      <c r="D15" s="11"/>
      <c r="E15" s="11"/>
      <c r="F15" s="11"/>
      <c r="G15" s="11"/>
      <c r="H15" s="11"/>
      <c r="I15" s="11"/>
      <c r="J15" s="11"/>
      <c r="K15" s="11"/>
      <c r="L15" s="11"/>
      <c r="M15" s="11"/>
      <c r="N15" s="11"/>
      <c r="O15" s="11"/>
      <c r="P15" s="11"/>
      <c r="Q15" s="11"/>
      <c r="R15" s="11"/>
      <c r="S15" s="11"/>
      <c r="T15" s="11"/>
      <c r="U15" s="11"/>
      <c r="V15" s="11"/>
    </row>
    <row r="16" spans="1:22">
      <c r="A16" s="11"/>
      <c r="B16" s="11"/>
      <c r="C16" s="11"/>
      <c r="D16" s="11"/>
      <c r="E16" s="11"/>
      <c r="F16" s="11"/>
      <c r="G16" s="11"/>
      <c r="H16" s="11"/>
      <c r="I16" s="11"/>
      <c r="J16" s="11"/>
      <c r="K16" s="11"/>
      <c r="L16" s="11"/>
      <c r="M16" s="11"/>
      <c r="N16" s="11"/>
      <c r="O16" s="11"/>
      <c r="P16" s="11"/>
      <c r="Q16" s="11"/>
      <c r="R16" s="11"/>
      <c r="S16" s="11"/>
      <c r="T16" s="11"/>
      <c r="U16" s="11"/>
      <c r="V16" s="11"/>
    </row>
    <row r="17" spans="1:22">
      <c r="A17" s="11"/>
      <c r="B17" s="11"/>
      <c r="C17" s="11"/>
      <c r="D17" s="11"/>
      <c r="E17" s="11"/>
      <c r="F17" s="11"/>
      <c r="G17" s="11"/>
      <c r="H17" s="11"/>
      <c r="I17" s="11"/>
      <c r="J17" s="11"/>
      <c r="K17" s="11"/>
      <c r="L17" s="11"/>
      <c r="M17" s="11"/>
      <c r="N17" s="11"/>
      <c r="O17" s="11"/>
      <c r="P17" s="11"/>
      <c r="Q17" s="11"/>
      <c r="R17" s="11"/>
      <c r="S17" s="11"/>
      <c r="T17" s="11"/>
      <c r="U17" s="11"/>
      <c r="V17" s="11"/>
    </row>
    <row r="18" spans="1:22">
      <c r="A18" s="11"/>
      <c r="B18" s="11"/>
      <c r="C18" s="11"/>
      <c r="D18" s="11"/>
      <c r="E18" s="11"/>
      <c r="F18" s="11"/>
      <c r="G18" s="11"/>
      <c r="H18" s="11"/>
      <c r="I18" s="11"/>
      <c r="J18" s="11"/>
      <c r="K18" s="11"/>
      <c r="L18" s="11"/>
      <c r="M18" s="11"/>
      <c r="N18" s="11"/>
      <c r="O18" s="11"/>
      <c r="P18" s="11"/>
      <c r="Q18" s="11"/>
      <c r="R18" s="11"/>
      <c r="S18" s="11"/>
      <c r="T18" s="11"/>
      <c r="U18" s="11"/>
      <c r="V18" s="11"/>
    </row>
    <row r="19" spans="1:22">
      <c r="A19" s="11"/>
      <c r="B19" s="11"/>
      <c r="C19" s="11"/>
      <c r="D19" s="11"/>
      <c r="E19" s="11"/>
      <c r="F19" s="11"/>
      <c r="G19" s="11"/>
      <c r="H19" s="11"/>
      <c r="I19" s="11"/>
      <c r="J19" s="11"/>
      <c r="K19" s="11"/>
      <c r="L19" s="11"/>
      <c r="M19" s="11"/>
      <c r="N19" s="11"/>
      <c r="O19" s="11"/>
      <c r="P19" s="11"/>
      <c r="Q19" s="11"/>
      <c r="R19" s="11"/>
      <c r="S19" s="11"/>
      <c r="T19" s="11"/>
      <c r="U19" s="11"/>
      <c r="V19" s="11"/>
    </row>
    <row r="20" spans="1:22">
      <c r="A20" s="11"/>
      <c r="B20" s="11"/>
      <c r="C20" s="11"/>
      <c r="D20" s="11"/>
      <c r="E20" s="11"/>
      <c r="F20" s="11"/>
      <c r="G20" s="11"/>
      <c r="H20" s="11"/>
      <c r="I20" s="11"/>
      <c r="J20" s="11"/>
      <c r="K20" s="11"/>
      <c r="L20" s="11"/>
      <c r="M20" s="11"/>
      <c r="N20" s="11"/>
      <c r="O20" s="11"/>
      <c r="P20" s="11"/>
      <c r="Q20" s="11"/>
      <c r="R20" s="11"/>
      <c r="S20" s="11"/>
      <c r="T20" s="11"/>
      <c r="U20" s="11"/>
      <c r="V20" s="11"/>
    </row>
    <row r="21" spans="1:22">
      <c r="A21" s="11"/>
      <c r="B21" s="11"/>
      <c r="C21" s="11"/>
      <c r="D21" s="11"/>
      <c r="E21" s="11"/>
      <c r="F21" s="11"/>
      <c r="G21" s="11"/>
      <c r="H21" s="11"/>
      <c r="I21" s="11"/>
      <c r="J21" s="11"/>
      <c r="K21" s="11"/>
      <c r="L21" s="11"/>
      <c r="M21" s="11"/>
      <c r="N21" s="11"/>
      <c r="O21" s="11"/>
      <c r="P21" s="11"/>
      <c r="Q21" s="11"/>
      <c r="R21" s="11"/>
      <c r="S21" s="11"/>
      <c r="T21" s="11"/>
      <c r="U21" s="11"/>
      <c r="V21" s="11"/>
    </row>
    <row r="22" spans="1:22">
      <c r="A22" s="11"/>
      <c r="B22" s="11"/>
      <c r="C22" s="11"/>
      <c r="D22" s="11"/>
      <c r="E22" s="11"/>
      <c r="F22" s="11"/>
      <c r="G22" s="11"/>
      <c r="H22" s="11"/>
      <c r="I22" s="11"/>
      <c r="J22" s="11"/>
      <c r="K22" s="11"/>
      <c r="L22" s="11"/>
      <c r="M22" s="11"/>
      <c r="N22" s="11"/>
      <c r="O22" s="11"/>
      <c r="P22" s="11"/>
      <c r="Q22" s="11"/>
      <c r="R22" s="11"/>
      <c r="S22" s="11"/>
      <c r="T22" s="11"/>
      <c r="U22" s="11"/>
      <c r="V22" s="11"/>
    </row>
    <row r="23" spans="1:22">
      <c r="A23" s="11"/>
      <c r="B23" s="11"/>
      <c r="C23" s="11"/>
      <c r="D23" s="11"/>
      <c r="E23" s="11"/>
      <c r="F23" s="11"/>
      <c r="G23" s="11"/>
      <c r="H23" s="11"/>
      <c r="I23" s="11"/>
      <c r="J23" s="11"/>
      <c r="K23" s="11"/>
      <c r="L23" s="11"/>
      <c r="M23" s="11"/>
      <c r="N23" s="11"/>
      <c r="O23" s="11"/>
      <c r="P23" s="11"/>
      <c r="Q23" s="11"/>
      <c r="R23" s="11"/>
      <c r="S23" s="11"/>
      <c r="T23" s="11"/>
      <c r="U23" s="11"/>
      <c r="V23" s="11"/>
    </row>
    <row r="24" spans="1:22">
      <c r="A24" s="11"/>
      <c r="B24" s="11"/>
      <c r="C24" s="11"/>
      <c r="D24" s="11"/>
      <c r="E24" s="11"/>
      <c r="F24" s="11"/>
      <c r="G24" s="11"/>
      <c r="H24" s="11"/>
      <c r="I24" s="11"/>
      <c r="J24" s="11"/>
      <c r="K24" s="11"/>
      <c r="L24" s="11"/>
      <c r="M24" s="11"/>
      <c r="N24" s="11"/>
      <c r="O24" s="11"/>
      <c r="P24" s="11"/>
      <c r="Q24" s="11"/>
      <c r="R24" s="11"/>
      <c r="S24" s="11"/>
      <c r="T24" s="11"/>
      <c r="U24" s="11"/>
      <c r="V24" s="11"/>
    </row>
    <row r="25" spans="1:22">
      <c r="A25" s="11"/>
      <c r="B25" s="11"/>
      <c r="C25" s="11"/>
      <c r="D25" s="11"/>
      <c r="E25" s="11"/>
      <c r="F25" s="11"/>
      <c r="G25" s="11"/>
      <c r="H25" s="11"/>
      <c r="I25" s="11"/>
      <c r="J25" s="11"/>
      <c r="K25" s="11"/>
      <c r="L25" s="11"/>
      <c r="M25" s="11"/>
      <c r="N25" s="11"/>
      <c r="O25" s="11"/>
      <c r="P25" s="11"/>
      <c r="Q25" s="11"/>
      <c r="R25" s="11"/>
      <c r="S25" s="11"/>
      <c r="T25" s="11"/>
      <c r="U25" s="11"/>
      <c r="V25" s="11"/>
    </row>
    <row r="26" spans="1:22">
      <c r="A26" s="11"/>
      <c r="B26" s="11"/>
      <c r="C26" s="11"/>
      <c r="D26" s="11"/>
      <c r="E26" s="11"/>
      <c r="F26" s="11"/>
      <c r="G26" s="11"/>
      <c r="H26" s="11"/>
      <c r="I26" s="11"/>
      <c r="J26" s="11"/>
      <c r="K26" s="11"/>
      <c r="L26" s="11"/>
      <c r="M26" s="11"/>
      <c r="N26" s="11"/>
      <c r="O26" s="11"/>
      <c r="P26" s="11"/>
      <c r="Q26" s="11"/>
      <c r="R26" s="11"/>
      <c r="S26" s="11"/>
      <c r="T26" s="11"/>
      <c r="U26" s="11"/>
      <c r="V26" s="11"/>
    </row>
    <row r="27" spans="1:22">
      <c r="A27" s="11"/>
      <c r="B27" s="11"/>
      <c r="C27" s="11"/>
      <c r="D27" s="11"/>
      <c r="E27" s="11"/>
      <c r="F27" s="11"/>
      <c r="G27" s="11"/>
      <c r="H27" s="11"/>
      <c r="I27" s="11"/>
      <c r="J27" s="11"/>
      <c r="K27" s="11"/>
      <c r="L27" s="11"/>
      <c r="M27" s="11"/>
      <c r="N27" s="11"/>
      <c r="O27" s="11"/>
      <c r="P27" s="11"/>
      <c r="Q27" s="11"/>
      <c r="R27" s="11"/>
      <c r="S27" s="11"/>
      <c r="T27" s="11"/>
      <c r="U27" s="11"/>
      <c r="V27" s="11"/>
    </row>
    <row r="28" spans="1:22">
      <c r="A28" s="11"/>
      <c r="B28" s="11"/>
      <c r="C28" s="11"/>
      <c r="D28" s="11"/>
      <c r="E28" s="11"/>
      <c r="F28" s="11"/>
      <c r="G28" s="11"/>
      <c r="H28" s="11"/>
      <c r="I28" s="11"/>
      <c r="J28" s="11"/>
      <c r="K28" s="11"/>
      <c r="L28" s="11"/>
      <c r="M28" s="11"/>
      <c r="N28" s="11"/>
      <c r="O28" s="11"/>
      <c r="P28" s="11"/>
      <c r="Q28" s="11"/>
      <c r="R28" s="11"/>
      <c r="S28" s="11"/>
      <c r="T28" s="11"/>
      <c r="U28" s="11"/>
      <c r="V28" s="11"/>
    </row>
    <row r="29" spans="1:22">
      <c r="A29" s="11"/>
      <c r="B29" s="11"/>
      <c r="C29" s="11"/>
      <c r="D29" s="11"/>
      <c r="E29" s="11"/>
      <c r="F29" s="11"/>
      <c r="G29" s="11"/>
      <c r="H29" s="11"/>
      <c r="I29" s="11"/>
      <c r="J29" s="11"/>
      <c r="K29" s="11"/>
      <c r="L29" s="11"/>
      <c r="M29" s="11"/>
      <c r="N29" s="11"/>
      <c r="O29" s="11"/>
      <c r="P29" s="11"/>
      <c r="Q29" s="11"/>
      <c r="R29" s="11"/>
      <c r="S29" s="11"/>
      <c r="T29" s="11"/>
      <c r="U29" s="11"/>
      <c r="V29" s="11"/>
    </row>
    <row r="30" spans="1:22">
      <c r="A30" s="11"/>
      <c r="B30" s="11"/>
      <c r="C30" s="11"/>
      <c r="D30" s="11"/>
      <c r="E30" s="11"/>
      <c r="F30" s="11"/>
      <c r="G30" s="11"/>
      <c r="H30" s="11"/>
      <c r="I30" s="11"/>
      <c r="J30" s="11"/>
      <c r="K30" s="11"/>
      <c r="L30" s="11"/>
      <c r="M30" s="11"/>
      <c r="N30" s="11"/>
      <c r="O30" s="11"/>
      <c r="P30" s="11"/>
      <c r="Q30" s="11"/>
      <c r="R30" s="11"/>
      <c r="S30" s="11"/>
      <c r="T30" s="11"/>
      <c r="U30" s="11"/>
      <c r="V30" s="11"/>
    </row>
    <row r="31" spans="1:22">
      <c r="A31" s="11"/>
      <c r="B31" s="11"/>
      <c r="C31" s="11"/>
      <c r="D31" s="11"/>
      <c r="E31" s="11"/>
      <c r="F31" s="11"/>
      <c r="G31" s="11"/>
      <c r="H31" s="11"/>
      <c r="I31" s="11"/>
      <c r="J31" s="11"/>
      <c r="K31" s="11"/>
      <c r="L31" s="11"/>
      <c r="M31" s="11"/>
      <c r="N31" s="11"/>
      <c r="O31" s="11"/>
      <c r="P31" s="11"/>
      <c r="Q31" s="11"/>
      <c r="R31" s="11"/>
      <c r="S31" s="11"/>
      <c r="T31" s="11"/>
      <c r="U31" s="11"/>
      <c r="V31" s="11"/>
    </row>
    <row r="32" spans="1:22">
      <c r="A32" s="11"/>
      <c r="B32" s="11"/>
      <c r="C32" s="11"/>
      <c r="D32" s="11"/>
      <c r="E32" s="11"/>
      <c r="F32" s="11"/>
      <c r="G32" s="11"/>
      <c r="H32" s="11"/>
      <c r="I32" s="11"/>
      <c r="J32" s="11"/>
      <c r="K32" s="11"/>
      <c r="L32" s="11"/>
      <c r="M32" s="11"/>
      <c r="N32" s="11"/>
      <c r="O32" s="11"/>
      <c r="P32" s="11"/>
      <c r="Q32" s="11"/>
      <c r="R32" s="11"/>
      <c r="S32" s="11"/>
      <c r="T32" s="11"/>
      <c r="U32" s="11"/>
      <c r="V32" s="11"/>
    </row>
    <row r="33" spans="1:22">
      <c r="A33" s="11"/>
      <c r="B33" s="11"/>
      <c r="C33" s="11"/>
      <c r="D33" s="11"/>
      <c r="E33" s="11"/>
      <c r="F33" s="11"/>
      <c r="G33" s="11"/>
      <c r="H33" s="11"/>
      <c r="I33" s="11"/>
      <c r="J33" s="11"/>
      <c r="K33" s="11"/>
      <c r="L33" s="11"/>
      <c r="M33" s="11"/>
      <c r="N33" s="11"/>
      <c r="O33" s="11"/>
      <c r="P33" s="11"/>
      <c r="Q33" s="11"/>
      <c r="R33" s="11"/>
      <c r="S33" s="11"/>
      <c r="T33" s="11"/>
      <c r="U33" s="11"/>
      <c r="V33" s="11"/>
    </row>
    <row r="34" spans="1:22">
      <c r="A34" s="11"/>
      <c r="B34" s="11"/>
      <c r="C34" s="11"/>
      <c r="D34" s="11"/>
      <c r="E34" s="11"/>
      <c r="F34" s="11"/>
      <c r="G34" s="11"/>
      <c r="H34" s="11"/>
      <c r="I34" s="11"/>
      <c r="J34" s="11"/>
      <c r="K34" s="11"/>
      <c r="L34" s="11"/>
      <c r="M34" s="11"/>
      <c r="N34" s="11"/>
      <c r="O34" s="11"/>
      <c r="P34" s="11"/>
      <c r="Q34" s="11"/>
      <c r="R34" s="11"/>
      <c r="S34" s="11"/>
      <c r="T34" s="11"/>
      <c r="U34" s="11"/>
      <c r="V34" s="11"/>
    </row>
    <row r="35" spans="1:22">
      <c r="A35" s="11"/>
      <c r="B35" s="11"/>
      <c r="C35" s="11"/>
      <c r="D35" s="11"/>
      <c r="E35" s="11"/>
      <c r="F35" s="11"/>
      <c r="G35" s="11"/>
      <c r="H35" s="11"/>
      <c r="I35" s="11"/>
      <c r="J35" s="11"/>
      <c r="K35" s="11"/>
      <c r="L35" s="11"/>
      <c r="M35" s="11"/>
      <c r="N35" s="11"/>
      <c r="O35" s="11"/>
      <c r="P35" s="11"/>
      <c r="Q35" s="11"/>
      <c r="R35" s="11"/>
      <c r="S35" s="11"/>
      <c r="T35" s="11"/>
      <c r="U35" s="11"/>
      <c r="V35" s="11"/>
    </row>
    <row r="36" spans="1:22">
      <c r="A36" s="11"/>
      <c r="B36" s="11"/>
      <c r="C36" s="11"/>
      <c r="D36" s="11"/>
      <c r="E36" s="11"/>
      <c r="F36" s="11"/>
      <c r="G36" s="11"/>
      <c r="H36" s="11"/>
      <c r="I36" s="11"/>
      <c r="J36" s="11"/>
      <c r="K36" s="11"/>
      <c r="L36" s="11"/>
      <c r="M36" s="11"/>
      <c r="N36" s="11"/>
      <c r="O36" s="11"/>
      <c r="P36" s="11"/>
      <c r="Q36" s="11"/>
      <c r="R36" s="11"/>
      <c r="S36" s="11"/>
      <c r="T36" s="11"/>
      <c r="U36" s="11"/>
      <c r="V36" s="11"/>
    </row>
    <row r="37" spans="1:22">
      <c r="A37" s="11"/>
      <c r="B37" s="11"/>
      <c r="C37" s="11"/>
      <c r="D37" s="11"/>
      <c r="E37" s="11"/>
      <c r="F37" s="11"/>
      <c r="G37" s="11"/>
      <c r="H37" s="11"/>
      <c r="I37" s="11"/>
      <c r="J37" s="11"/>
      <c r="K37" s="11"/>
      <c r="L37" s="11"/>
      <c r="M37" s="11"/>
      <c r="N37" s="11"/>
      <c r="O37" s="11"/>
      <c r="P37" s="11"/>
      <c r="Q37" s="11"/>
      <c r="R37" s="11"/>
      <c r="S37" s="11"/>
      <c r="T37" s="11"/>
      <c r="U37" s="11"/>
      <c r="V37" s="11"/>
    </row>
    <row r="38" spans="1:22">
      <c r="A38" s="11"/>
      <c r="B38" s="11"/>
      <c r="C38" s="11"/>
      <c r="D38" s="11"/>
      <c r="E38" s="11"/>
      <c r="F38" s="11"/>
      <c r="G38" s="11"/>
      <c r="H38" s="11"/>
      <c r="I38" s="11"/>
      <c r="J38" s="11"/>
      <c r="K38" s="11"/>
      <c r="L38" s="11"/>
      <c r="M38" s="11"/>
      <c r="N38" s="11"/>
      <c r="O38" s="11"/>
      <c r="P38" s="11"/>
      <c r="Q38" s="11"/>
      <c r="R38" s="11"/>
      <c r="S38" s="11"/>
      <c r="T38" s="11"/>
      <c r="U38" s="11"/>
      <c r="V38" s="11"/>
    </row>
    <row r="39" spans="1:22">
      <c r="A39" s="11"/>
      <c r="B39" s="11"/>
      <c r="C39" s="11"/>
      <c r="D39" s="11"/>
      <c r="E39" s="11"/>
      <c r="F39" s="11"/>
      <c r="G39" s="11"/>
      <c r="H39" s="11"/>
      <c r="I39" s="11"/>
      <c r="J39" s="11"/>
      <c r="K39" s="11"/>
      <c r="L39" s="11"/>
      <c r="M39" s="11"/>
      <c r="N39" s="11"/>
      <c r="O39" s="11"/>
      <c r="P39" s="11"/>
      <c r="Q39" s="11"/>
      <c r="R39" s="11"/>
      <c r="S39" s="11"/>
      <c r="T39" s="11"/>
      <c r="U39" s="11"/>
      <c r="V39" s="11"/>
    </row>
    <row r="40" spans="1:22">
      <c r="A40" s="11"/>
      <c r="B40" s="11"/>
      <c r="C40" s="11"/>
      <c r="D40" s="11"/>
      <c r="E40" s="11"/>
      <c r="F40" s="11"/>
      <c r="G40" s="11"/>
      <c r="H40" s="11"/>
      <c r="I40" s="11"/>
      <c r="J40" s="11"/>
      <c r="K40" s="11"/>
      <c r="L40" s="11"/>
      <c r="M40" s="11"/>
      <c r="N40" s="11"/>
      <c r="O40" s="11"/>
      <c r="P40" s="11"/>
      <c r="Q40" s="11"/>
      <c r="R40" s="11"/>
      <c r="S40" s="11"/>
      <c r="T40" s="11"/>
      <c r="U40" s="11"/>
      <c r="V40" s="11"/>
    </row>
    <row r="41" spans="1:22">
      <c r="A41" s="11"/>
      <c r="B41" s="11"/>
      <c r="C41" s="11"/>
      <c r="D41" s="11"/>
      <c r="E41" s="11"/>
      <c r="F41" s="11"/>
      <c r="G41" s="11"/>
      <c r="H41" s="11"/>
      <c r="I41" s="11"/>
      <c r="J41" s="11"/>
      <c r="K41" s="11"/>
      <c r="L41" s="11"/>
      <c r="M41" s="11"/>
      <c r="N41" s="11"/>
      <c r="O41" s="11"/>
      <c r="P41" s="11"/>
      <c r="Q41" s="11"/>
      <c r="R41" s="11"/>
      <c r="S41" s="11"/>
      <c r="T41" s="11"/>
      <c r="U41" s="11"/>
      <c r="V41" s="11"/>
    </row>
    <row r="42" spans="1:22">
      <c r="A42" s="11"/>
      <c r="B42" s="11"/>
      <c r="C42" s="11"/>
      <c r="D42" s="11"/>
      <c r="E42" s="11"/>
      <c r="F42" s="11"/>
      <c r="G42" s="11"/>
      <c r="H42" s="11"/>
      <c r="I42" s="11"/>
      <c r="J42" s="11"/>
      <c r="K42" s="11"/>
      <c r="L42" s="11"/>
      <c r="M42" s="11"/>
      <c r="N42" s="11"/>
      <c r="O42" s="11"/>
      <c r="P42" s="11"/>
      <c r="Q42" s="11"/>
      <c r="R42" s="11"/>
      <c r="S42" s="11"/>
      <c r="T42" s="11"/>
      <c r="U42" s="11"/>
      <c r="V42" s="11"/>
    </row>
    <row r="43" spans="1:22">
      <c r="A43" s="11"/>
      <c r="B43" s="11"/>
      <c r="C43" s="11"/>
      <c r="D43" s="11"/>
      <c r="E43" s="11"/>
      <c r="F43" s="11"/>
      <c r="G43" s="11"/>
      <c r="H43" s="11"/>
      <c r="I43" s="11"/>
      <c r="J43" s="11"/>
      <c r="K43" s="11"/>
      <c r="L43" s="11"/>
      <c r="M43" s="11"/>
      <c r="N43" s="11"/>
      <c r="O43" s="11"/>
      <c r="P43" s="11"/>
      <c r="Q43" s="11"/>
      <c r="R43" s="11"/>
      <c r="S43" s="11"/>
      <c r="T43" s="11"/>
      <c r="U43" s="11"/>
      <c r="V43" s="11"/>
    </row>
    <row r="44" spans="1:22">
      <c r="A44" s="11"/>
      <c r="B44" s="11"/>
      <c r="C44" s="11"/>
      <c r="D44" s="11"/>
      <c r="E44" s="11"/>
      <c r="F44" s="11"/>
      <c r="G44" s="11"/>
      <c r="H44" s="11"/>
      <c r="I44" s="11"/>
      <c r="J44" s="11"/>
      <c r="K44" s="11"/>
      <c r="L44" s="11"/>
      <c r="M44" s="11"/>
      <c r="N44" s="11"/>
      <c r="O44" s="11"/>
      <c r="P44" s="11"/>
      <c r="Q44" s="11"/>
      <c r="R44" s="11"/>
      <c r="S44" s="11"/>
      <c r="T44" s="11"/>
      <c r="U44" s="11"/>
      <c r="V44" s="11"/>
    </row>
    <row r="45" spans="1:22">
      <c r="A45" s="11"/>
      <c r="B45" s="11"/>
      <c r="C45" s="11"/>
      <c r="D45" s="11"/>
      <c r="E45" s="11"/>
      <c r="F45" s="11"/>
      <c r="G45" s="11"/>
      <c r="H45" s="11"/>
      <c r="I45" s="11"/>
      <c r="J45" s="11"/>
      <c r="K45" s="11"/>
      <c r="L45" s="11"/>
      <c r="M45" s="11"/>
      <c r="N45" s="11"/>
      <c r="O45" s="11"/>
      <c r="P45" s="11"/>
      <c r="Q45" s="11"/>
      <c r="R45" s="11"/>
      <c r="S45" s="11"/>
      <c r="T45" s="11"/>
      <c r="U45" s="11"/>
      <c r="V45" s="11"/>
    </row>
    <row r="46" spans="1:22">
      <c r="A46" s="11"/>
      <c r="B46" s="11"/>
      <c r="C46" s="11"/>
      <c r="D46" s="11"/>
      <c r="E46" s="11"/>
      <c r="F46" s="11"/>
      <c r="G46" s="11"/>
      <c r="H46" s="11"/>
      <c r="I46" s="11"/>
      <c r="J46" s="11"/>
      <c r="K46" s="11"/>
      <c r="L46" s="11"/>
      <c r="M46" s="11"/>
      <c r="N46" s="11"/>
      <c r="O46" s="11"/>
      <c r="P46" s="11"/>
      <c r="Q46" s="11"/>
      <c r="R46" s="11"/>
      <c r="S46" s="11"/>
      <c r="T46" s="11"/>
      <c r="U46" s="11"/>
      <c r="V46" s="11"/>
    </row>
    <row r="47" spans="1:22">
      <c r="A47" s="11"/>
      <c r="B47" s="11"/>
      <c r="C47" s="11"/>
      <c r="D47" s="11"/>
      <c r="E47" s="11"/>
      <c r="F47" s="11"/>
      <c r="G47" s="11"/>
      <c r="H47" s="11"/>
      <c r="I47" s="11"/>
      <c r="J47" s="11"/>
      <c r="K47" s="11"/>
      <c r="L47" s="11"/>
      <c r="M47" s="11"/>
      <c r="N47" s="11"/>
      <c r="O47" s="11"/>
      <c r="P47" s="11"/>
      <c r="Q47" s="11"/>
      <c r="R47" s="11"/>
      <c r="S47" s="11"/>
      <c r="T47" s="11"/>
      <c r="U47" s="11"/>
      <c r="V47" s="11"/>
    </row>
    <row r="48" spans="1:22">
      <c r="A48" s="11"/>
      <c r="B48" s="11"/>
      <c r="C48" s="11"/>
      <c r="D48" s="11"/>
      <c r="E48" s="11"/>
      <c r="F48" s="11"/>
      <c r="G48" s="11"/>
      <c r="H48" s="11"/>
      <c r="I48" s="11"/>
      <c r="J48" s="11"/>
      <c r="K48" s="11"/>
      <c r="L48" s="11"/>
      <c r="M48" s="11"/>
      <c r="N48" s="11"/>
      <c r="O48" s="11"/>
      <c r="P48" s="11"/>
      <c r="Q48" s="11"/>
      <c r="R48" s="11"/>
      <c r="S48" s="11"/>
      <c r="T48" s="11"/>
      <c r="U48" s="11"/>
      <c r="V48" s="11"/>
    </row>
    <row r="49" spans="1:22">
      <c r="A49" s="11"/>
      <c r="B49" s="11"/>
      <c r="C49" s="11"/>
      <c r="D49" s="11"/>
      <c r="E49" s="11"/>
      <c r="F49" s="11"/>
      <c r="G49" s="11"/>
      <c r="H49" s="11"/>
      <c r="I49" s="11"/>
      <c r="J49" s="11"/>
      <c r="K49" s="11"/>
      <c r="L49" s="11"/>
      <c r="M49" s="11"/>
      <c r="N49" s="11"/>
      <c r="O49" s="11"/>
      <c r="P49" s="11"/>
      <c r="Q49" s="11"/>
      <c r="R49" s="11"/>
      <c r="S49" s="11"/>
      <c r="T49" s="11"/>
      <c r="U49" s="11"/>
      <c r="V49" s="11"/>
    </row>
    <row r="50" spans="1:22">
      <c r="A50" s="11"/>
      <c r="B50" s="11"/>
      <c r="C50" s="11"/>
      <c r="D50" s="11"/>
      <c r="E50" s="11"/>
      <c r="F50" s="11"/>
      <c r="G50" s="11"/>
      <c r="H50" s="11"/>
      <c r="I50" s="11"/>
      <c r="J50" s="11"/>
      <c r="K50" s="11"/>
      <c r="L50" s="11"/>
      <c r="M50" s="11"/>
      <c r="N50" s="11"/>
      <c r="O50" s="11"/>
      <c r="P50" s="11"/>
      <c r="Q50" s="11"/>
      <c r="R50" s="11"/>
      <c r="S50" s="11"/>
      <c r="T50" s="11"/>
      <c r="U50" s="11"/>
      <c r="V50" s="11"/>
    </row>
    <row r="51" spans="1:22">
      <c r="A51" s="11"/>
      <c r="B51" s="11"/>
      <c r="C51" s="11"/>
      <c r="D51" s="11"/>
      <c r="E51" s="11"/>
      <c r="F51" s="11"/>
      <c r="G51" s="11"/>
      <c r="H51" s="11"/>
      <c r="I51" s="11"/>
      <c r="J51" s="11"/>
      <c r="K51" s="11"/>
      <c r="L51" s="11"/>
      <c r="M51" s="11"/>
      <c r="N51" s="11"/>
      <c r="O51" s="11"/>
      <c r="P51" s="11"/>
      <c r="Q51" s="11"/>
      <c r="R51" s="11"/>
      <c r="S51" s="11"/>
      <c r="T51" s="11"/>
      <c r="U51" s="11"/>
      <c r="V51" s="11"/>
    </row>
    <row r="52" spans="1:22">
      <c r="A52" s="11"/>
      <c r="B52" s="11"/>
      <c r="C52" s="11"/>
      <c r="D52" s="11"/>
      <c r="E52" s="11"/>
      <c r="F52" s="11"/>
      <c r="G52" s="11"/>
      <c r="H52" s="11"/>
      <c r="I52" s="11"/>
      <c r="J52" s="11"/>
      <c r="K52" s="11"/>
      <c r="L52" s="11"/>
      <c r="M52" s="11"/>
      <c r="N52" s="11"/>
      <c r="O52" s="11"/>
      <c r="P52" s="11"/>
      <c r="Q52" s="11"/>
      <c r="R52" s="11"/>
      <c r="S52" s="11"/>
      <c r="T52" s="11"/>
      <c r="U52" s="11"/>
      <c r="V52" s="11"/>
    </row>
    <row r="53" spans="1:22">
      <c r="A53" s="11"/>
      <c r="B53" s="11"/>
      <c r="C53" s="11"/>
      <c r="D53" s="11"/>
      <c r="E53" s="11"/>
      <c r="F53" s="11"/>
      <c r="G53" s="11"/>
      <c r="H53" s="11"/>
      <c r="I53" s="11"/>
      <c r="J53" s="11"/>
      <c r="K53" s="11"/>
      <c r="L53" s="11"/>
      <c r="M53" s="11"/>
      <c r="N53" s="11"/>
      <c r="O53" s="11"/>
      <c r="P53" s="11"/>
      <c r="Q53" s="11"/>
      <c r="R53" s="11"/>
      <c r="S53" s="11"/>
      <c r="T53" s="11"/>
      <c r="U53" s="11"/>
      <c r="V53" s="11"/>
    </row>
    <row r="54" spans="1:22">
      <c r="A54" s="11"/>
      <c r="B54" s="11"/>
      <c r="C54" s="11"/>
      <c r="D54" s="11"/>
      <c r="E54" s="11"/>
      <c r="F54" s="11"/>
      <c r="G54" s="11"/>
      <c r="H54" s="11"/>
      <c r="I54" s="11"/>
      <c r="J54" s="11"/>
      <c r="K54" s="11"/>
      <c r="L54" s="11"/>
      <c r="M54" s="11"/>
      <c r="N54" s="11"/>
      <c r="O54" s="11"/>
      <c r="P54" s="11"/>
      <c r="Q54" s="11"/>
      <c r="R54" s="11"/>
      <c r="S54" s="11"/>
      <c r="T54" s="11"/>
      <c r="U54" s="11"/>
      <c r="V54" s="11"/>
    </row>
    <row r="55" spans="1:22">
      <c r="A55" s="11"/>
      <c r="B55" s="11"/>
      <c r="C55" s="11"/>
      <c r="D55" s="11"/>
      <c r="E55" s="11"/>
      <c r="F55" s="11"/>
      <c r="G55" s="11"/>
      <c r="H55" s="11"/>
      <c r="I55" s="11"/>
      <c r="J55" s="11"/>
      <c r="K55" s="11"/>
      <c r="L55" s="11"/>
      <c r="M55" s="11"/>
      <c r="N55" s="11"/>
      <c r="O55" s="11"/>
      <c r="P55" s="11"/>
      <c r="Q55" s="11"/>
      <c r="R55" s="11"/>
      <c r="S55" s="11"/>
      <c r="T55" s="11"/>
      <c r="U55" s="11"/>
      <c r="V55" s="11"/>
    </row>
    <row r="56" spans="1:22">
      <c r="A56" s="11"/>
      <c r="B56" s="11"/>
      <c r="C56" s="11"/>
      <c r="D56" s="11"/>
      <c r="E56" s="11"/>
      <c r="F56" s="11"/>
      <c r="G56" s="11"/>
      <c r="H56" s="11"/>
      <c r="I56" s="11"/>
      <c r="J56" s="11"/>
      <c r="K56" s="11"/>
      <c r="L56" s="11"/>
      <c r="M56" s="11"/>
      <c r="N56" s="11"/>
      <c r="O56" s="11"/>
      <c r="P56" s="11"/>
      <c r="Q56" s="11"/>
      <c r="R56" s="11"/>
      <c r="S56" s="11"/>
      <c r="T56" s="11"/>
      <c r="U56" s="11"/>
      <c r="V56" s="11"/>
    </row>
    <row r="57" spans="1:22">
      <c r="A57" s="11"/>
      <c r="B57" s="11"/>
      <c r="C57" s="11"/>
      <c r="D57" s="11"/>
      <c r="E57" s="11"/>
      <c r="F57" s="11"/>
      <c r="G57" s="11"/>
      <c r="H57" s="11"/>
      <c r="I57" s="11"/>
      <c r="J57" s="11"/>
      <c r="K57" s="11"/>
      <c r="L57" s="11"/>
      <c r="M57" s="11"/>
      <c r="N57" s="11"/>
      <c r="O57" s="11"/>
      <c r="P57" s="11"/>
      <c r="Q57" s="11"/>
      <c r="R57" s="11"/>
      <c r="S57" s="11"/>
      <c r="T57" s="11"/>
      <c r="U57" s="11"/>
      <c r="V57" s="11"/>
    </row>
    <row r="58" spans="1:22">
      <c r="A58" s="11"/>
      <c r="B58" s="11"/>
      <c r="C58" s="11"/>
      <c r="D58" s="11"/>
      <c r="E58" s="11"/>
      <c r="F58" s="11"/>
      <c r="G58" s="11"/>
      <c r="H58" s="11"/>
      <c r="I58" s="11"/>
      <c r="J58" s="11"/>
      <c r="K58" s="11"/>
      <c r="L58" s="11"/>
      <c r="M58" s="11"/>
      <c r="N58" s="11"/>
      <c r="O58" s="11"/>
      <c r="P58" s="11"/>
      <c r="Q58" s="11"/>
      <c r="R58" s="11"/>
      <c r="S58" s="11"/>
      <c r="T58" s="11"/>
      <c r="U58" s="11"/>
      <c r="V58" s="11"/>
    </row>
    <row r="59" spans="1:22">
      <c r="A59" s="11"/>
      <c r="B59" s="11"/>
      <c r="C59" s="11"/>
      <c r="D59" s="11"/>
      <c r="E59" s="11"/>
      <c r="F59" s="11"/>
      <c r="G59" s="11"/>
      <c r="H59" s="11"/>
      <c r="I59" s="11"/>
      <c r="J59" s="11"/>
      <c r="K59" s="11"/>
      <c r="L59" s="11"/>
      <c r="M59" s="11"/>
      <c r="N59" s="11"/>
      <c r="O59" s="11"/>
      <c r="P59" s="11"/>
      <c r="Q59" s="11"/>
      <c r="R59" s="11"/>
      <c r="S59" s="11"/>
      <c r="T59" s="11"/>
      <c r="U59" s="11"/>
      <c r="V59" s="11"/>
    </row>
    <row r="60" spans="1:22">
      <c r="A60" s="11"/>
      <c r="B60" s="11"/>
      <c r="C60" s="11"/>
      <c r="D60" s="11"/>
      <c r="E60" s="11"/>
      <c r="F60" s="11"/>
      <c r="G60" s="11"/>
      <c r="H60" s="11"/>
      <c r="I60" s="11"/>
      <c r="J60" s="11"/>
      <c r="K60" s="11"/>
      <c r="L60" s="11"/>
      <c r="M60" s="11"/>
      <c r="N60" s="11"/>
      <c r="O60" s="11"/>
      <c r="P60" s="11"/>
      <c r="Q60" s="11"/>
      <c r="R60" s="11"/>
      <c r="S60" s="11"/>
      <c r="T60" s="11"/>
      <c r="U60" s="11"/>
      <c r="V60" s="11"/>
    </row>
    <row r="61" spans="1:22">
      <c r="A61" s="11"/>
      <c r="B61" s="11"/>
      <c r="C61" s="11"/>
      <c r="D61" s="11"/>
      <c r="E61" s="11"/>
      <c r="F61" s="11"/>
      <c r="G61" s="11"/>
      <c r="H61" s="11"/>
      <c r="I61" s="11"/>
      <c r="J61" s="11"/>
      <c r="K61" s="11"/>
      <c r="L61" s="11"/>
      <c r="M61" s="11"/>
      <c r="N61" s="11"/>
      <c r="O61" s="11"/>
      <c r="P61" s="11"/>
      <c r="Q61" s="11"/>
      <c r="R61" s="11"/>
      <c r="S61" s="11"/>
      <c r="T61" s="11"/>
      <c r="U61" s="11"/>
      <c r="V61" s="11"/>
    </row>
    <row r="62" spans="1:22">
      <c r="A62" s="11"/>
      <c r="B62" s="11"/>
      <c r="C62" s="11"/>
      <c r="D62" s="11"/>
      <c r="E62" s="11"/>
      <c r="F62" s="11"/>
      <c r="G62" s="11"/>
      <c r="H62" s="11"/>
      <c r="I62" s="11"/>
      <c r="J62" s="11"/>
      <c r="K62" s="11"/>
      <c r="L62" s="11"/>
      <c r="M62" s="11"/>
      <c r="N62" s="11"/>
      <c r="O62" s="11"/>
      <c r="P62" s="11"/>
      <c r="Q62" s="11"/>
      <c r="R62" s="11"/>
      <c r="S62" s="11"/>
      <c r="T62" s="11"/>
      <c r="U62" s="11"/>
      <c r="V62" s="11"/>
    </row>
    <row r="63" spans="1:22">
      <c r="A63" s="11"/>
      <c r="B63" s="11"/>
      <c r="C63" s="11"/>
      <c r="D63" s="11"/>
      <c r="E63" s="11"/>
      <c r="F63" s="11"/>
      <c r="G63" s="11"/>
      <c r="H63" s="11"/>
      <c r="I63" s="11"/>
      <c r="J63" s="11"/>
      <c r="K63" s="11"/>
      <c r="L63" s="11"/>
      <c r="M63" s="11"/>
      <c r="N63" s="11"/>
      <c r="O63" s="11"/>
      <c r="P63" s="11"/>
      <c r="Q63" s="11"/>
      <c r="R63" s="11"/>
      <c r="S63" s="11"/>
      <c r="T63" s="11"/>
      <c r="U63" s="11"/>
      <c r="V63" s="11"/>
    </row>
    <row r="64" spans="1:22">
      <c r="A64" s="11"/>
      <c r="B64" s="11"/>
      <c r="C64" s="11"/>
      <c r="D64" s="11"/>
      <c r="E64" s="11"/>
      <c r="F64" s="11"/>
      <c r="G64" s="11"/>
      <c r="H64" s="11"/>
      <c r="I64" s="11"/>
      <c r="J64" s="11"/>
      <c r="K64" s="11"/>
      <c r="L64" s="11"/>
      <c r="M64" s="11"/>
      <c r="N64" s="11"/>
      <c r="O64" s="11"/>
      <c r="P64" s="11"/>
      <c r="Q64" s="11"/>
      <c r="R64" s="11"/>
      <c r="S64" s="11"/>
      <c r="T64" s="11"/>
      <c r="U64" s="11"/>
      <c r="V64" s="11"/>
    </row>
    <row r="65" spans="1:22">
      <c r="A65" s="11"/>
      <c r="B65" s="11"/>
      <c r="C65" s="11"/>
      <c r="D65" s="11"/>
      <c r="E65" s="11"/>
      <c r="F65" s="11"/>
      <c r="G65" s="11"/>
      <c r="H65" s="11"/>
      <c r="I65" s="11"/>
      <c r="J65" s="11"/>
      <c r="K65" s="11"/>
      <c r="L65" s="11"/>
      <c r="M65" s="11"/>
      <c r="N65" s="11"/>
      <c r="O65" s="11"/>
      <c r="P65" s="11"/>
      <c r="Q65" s="11"/>
      <c r="R65" s="11"/>
      <c r="S65" s="11"/>
      <c r="T65" s="11"/>
      <c r="U65" s="11"/>
      <c r="V65" s="11"/>
    </row>
    <row r="66" spans="1:22">
      <c r="A66" s="11"/>
      <c r="B66" s="11"/>
      <c r="C66" s="11"/>
      <c r="D66" s="11"/>
      <c r="E66" s="11"/>
      <c r="F66" s="11"/>
      <c r="G66" s="11"/>
      <c r="H66" s="11"/>
      <c r="I66" s="11"/>
      <c r="J66" s="11"/>
      <c r="K66" s="11"/>
      <c r="L66" s="11"/>
      <c r="M66" s="11"/>
      <c r="N66" s="11"/>
      <c r="O66" s="11"/>
      <c r="P66" s="11"/>
      <c r="Q66" s="11"/>
      <c r="R66" s="11"/>
      <c r="S66" s="11"/>
      <c r="T66" s="11"/>
      <c r="U66" s="11"/>
      <c r="V66" s="11"/>
    </row>
    <row r="67" spans="1:22">
      <c r="A67" s="11"/>
      <c r="B67" s="11"/>
      <c r="C67" s="11"/>
      <c r="D67" s="11"/>
      <c r="E67" s="11"/>
      <c r="F67" s="11"/>
      <c r="G67" s="11"/>
      <c r="H67" s="11"/>
      <c r="I67" s="11"/>
      <c r="J67" s="11"/>
      <c r="K67" s="11"/>
      <c r="L67" s="11"/>
      <c r="M67" s="11"/>
      <c r="N67" s="11"/>
      <c r="O67" s="11"/>
      <c r="P67" s="11"/>
      <c r="Q67" s="11"/>
      <c r="R67" s="11"/>
      <c r="S67" s="11"/>
      <c r="T67" s="11"/>
      <c r="U67" s="11"/>
      <c r="V67" s="11"/>
    </row>
    <row r="68" spans="1:22">
      <c r="A68" s="11"/>
      <c r="B68" s="11"/>
      <c r="C68" s="11"/>
      <c r="D68" s="11"/>
      <c r="E68" s="11"/>
      <c r="F68" s="11"/>
      <c r="G68" s="11"/>
      <c r="H68" s="11"/>
      <c r="I68" s="11"/>
      <c r="J68" s="11"/>
      <c r="K68" s="11"/>
      <c r="L68" s="11"/>
      <c r="M68" s="11"/>
      <c r="N68" s="11"/>
      <c r="O68" s="11"/>
      <c r="P68" s="11"/>
      <c r="Q68" s="11"/>
      <c r="R68" s="11"/>
      <c r="S68" s="11"/>
      <c r="T68" s="11"/>
      <c r="U68" s="11"/>
      <c r="V68" s="11"/>
    </row>
    <row r="69" spans="1:22">
      <c r="A69" s="11"/>
      <c r="B69" s="11"/>
      <c r="C69" s="11"/>
      <c r="D69" s="11"/>
      <c r="E69" s="11"/>
      <c r="F69" s="11"/>
      <c r="G69" s="11"/>
      <c r="H69" s="11"/>
      <c r="I69" s="11"/>
      <c r="J69" s="11"/>
      <c r="K69" s="11"/>
      <c r="L69" s="11"/>
      <c r="M69" s="11"/>
      <c r="N69" s="11"/>
      <c r="O69" s="11"/>
      <c r="P69" s="11"/>
      <c r="Q69" s="11"/>
      <c r="R69" s="11"/>
      <c r="S69" s="11"/>
      <c r="T69" s="11"/>
      <c r="U69" s="11"/>
      <c r="V69" s="11"/>
    </row>
    <row r="70" spans="1:22">
      <c r="A70" s="11"/>
      <c r="B70" s="11"/>
      <c r="C70" s="11"/>
      <c r="D70" s="11"/>
      <c r="E70" s="11"/>
      <c r="F70" s="11"/>
      <c r="G70" s="11"/>
      <c r="H70" s="11"/>
      <c r="I70" s="11"/>
      <c r="J70" s="11"/>
      <c r="K70" s="11"/>
      <c r="L70" s="11"/>
      <c r="M70" s="11"/>
      <c r="N70" s="11"/>
      <c r="O70" s="11"/>
      <c r="P70" s="11"/>
      <c r="Q70" s="11"/>
      <c r="R70" s="11"/>
      <c r="S70" s="11"/>
      <c r="T70" s="11"/>
      <c r="U70" s="11"/>
      <c r="V70" s="11"/>
    </row>
    <row r="71" spans="1:22">
      <c r="A71" s="11"/>
      <c r="B71" s="11"/>
      <c r="C71" s="11"/>
      <c r="D71" s="11"/>
      <c r="E71" s="11"/>
      <c r="F71" s="11"/>
      <c r="G71" s="11"/>
      <c r="H71" s="11"/>
      <c r="I71" s="11"/>
      <c r="J71" s="11"/>
      <c r="K71" s="11"/>
      <c r="L71" s="11"/>
      <c r="M71" s="11"/>
      <c r="N71" s="11"/>
      <c r="O71" s="11"/>
      <c r="P71" s="11"/>
      <c r="Q71" s="11"/>
      <c r="R71" s="11"/>
      <c r="S71" s="11"/>
      <c r="T71" s="11"/>
      <c r="U71" s="11"/>
      <c r="V71" s="11"/>
    </row>
    <row r="72" spans="1:22">
      <c r="A72" s="11"/>
      <c r="B72" s="11"/>
      <c r="C72" s="11"/>
      <c r="D72" s="11"/>
      <c r="E72" s="11"/>
      <c r="F72" s="11"/>
      <c r="G72" s="11"/>
      <c r="H72" s="11"/>
      <c r="I72" s="11"/>
      <c r="J72" s="11"/>
      <c r="K72" s="11"/>
      <c r="L72" s="11"/>
      <c r="M72" s="11"/>
      <c r="N72" s="11"/>
      <c r="O72" s="11"/>
      <c r="P72" s="11"/>
      <c r="Q72" s="11"/>
      <c r="R72" s="11"/>
      <c r="S72" s="11"/>
      <c r="T72" s="11"/>
      <c r="U72" s="11"/>
      <c r="V72" s="11"/>
    </row>
    <row r="73" spans="1:22">
      <c r="A73" s="11"/>
      <c r="B73" s="11"/>
      <c r="C73" s="11"/>
      <c r="D73" s="11"/>
      <c r="E73" s="11"/>
      <c r="F73" s="11"/>
      <c r="G73" s="11"/>
      <c r="H73" s="11"/>
      <c r="I73" s="11"/>
      <c r="J73" s="11"/>
      <c r="K73" s="11"/>
      <c r="L73" s="11"/>
      <c r="M73" s="11"/>
      <c r="N73" s="11"/>
      <c r="O73" s="11"/>
      <c r="P73" s="11"/>
      <c r="Q73" s="11"/>
      <c r="R73" s="11"/>
      <c r="S73" s="11"/>
      <c r="T73" s="11"/>
      <c r="U73" s="11"/>
      <c r="V73" s="11"/>
    </row>
    <row r="74" spans="1:22">
      <c r="A74" s="11"/>
      <c r="B74" s="11"/>
      <c r="C74" s="11"/>
      <c r="D74" s="11"/>
      <c r="E74" s="11"/>
      <c r="F74" s="11"/>
      <c r="G74" s="11"/>
      <c r="H74" s="11"/>
      <c r="I74" s="11"/>
      <c r="J74" s="11"/>
      <c r="K74" s="11"/>
      <c r="L74" s="11"/>
      <c r="M74" s="11"/>
      <c r="N74" s="11"/>
      <c r="O74" s="11"/>
      <c r="P74" s="11"/>
      <c r="Q74" s="11"/>
      <c r="R74" s="11"/>
      <c r="S74" s="11"/>
      <c r="T74" s="11"/>
      <c r="U74" s="11"/>
      <c r="V74" s="11"/>
    </row>
    <row r="75" spans="1:22">
      <c r="A75" s="11"/>
      <c r="B75" s="11"/>
      <c r="C75" s="11"/>
      <c r="D75" s="11"/>
      <c r="E75" s="11"/>
      <c r="F75" s="11"/>
      <c r="G75" s="11"/>
      <c r="H75" s="11"/>
      <c r="I75" s="11"/>
      <c r="J75" s="11"/>
      <c r="K75" s="11"/>
      <c r="L75" s="11"/>
      <c r="M75" s="11"/>
      <c r="N75" s="11"/>
      <c r="O75" s="11"/>
      <c r="P75" s="11"/>
      <c r="Q75" s="11"/>
      <c r="R75" s="11"/>
      <c r="S75" s="11"/>
      <c r="T75" s="11"/>
      <c r="U75" s="11"/>
      <c r="V75" s="11"/>
    </row>
    <row r="76" spans="1:22">
      <c r="A76" s="11"/>
      <c r="B76" s="11"/>
      <c r="C76" s="11"/>
      <c r="D76" s="11"/>
      <c r="E76" s="11"/>
      <c r="F76" s="11"/>
      <c r="G76" s="11"/>
      <c r="H76" s="11"/>
      <c r="I76" s="11"/>
      <c r="J76" s="11"/>
      <c r="K76" s="11"/>
      <c r="L76" s="11"/>
      <c r="M76" s="11"/>
      <c r="N76" s="11"/>
      <c r="O76" s="11"/>
      <c r="P76" s="11"/>
      <c r="Q76" s="11"/>
      <c r="R76" s="11"/>
      <c r="S76" s="11"/>
      <c r="T76" s="11"/>
      <c r="U76" s="11"/>
      <c r="V76" s="11"/>
    </row>
    <row r="77" spans="1:22">
      <c r="A77" s="11"/>
      <c r="B77" s="11"/>
      <c r="C77" s="11"/>
      <c r="D77" s="11"/>
      <c r="E77" s="11"/>
      <c r="F77" s="11"/>
      <c r="G77" s="11"/>
      <c r="H77" s="11"/>
      <c r="I77" s="11"/>
      <c r="J77" s="11"/>
      <c r="K77" s="11"/>
      <c r="L77" s="11"/>
      <c r="M77" s="11"/>
      <c r="N77" s="11"/>
      <c r="O77" s="11"/>
      <c r="P77" s="11"/>
      <c r="Q77" s="11"/>
      <c r="R77" s="11"/>
      <c r="S77" s="11"/>
      <c r="T77" s="11"/>
      <c r="U77" s="11"/>
      <c r="V77" s="11"/>
    </row>
    <row r="78" spans="1:22">
      <c r="A78" s="11"/>
      <c r="B78" s="11"/>
      <c r="C78" s="11"/>
      <c r="D78" s="11"/>
      <c r="E78" s="11"/>
      <c r="F78" s="11"/>
      <c r="G78" s="11"/>
      <c r="H78" s="11"/>
      <c r="I78" s="11"/>
      <c r="J78" s="11"/>
      <c r="K78" s="11"/>
      <c r="L78" s="11"/>
      <c r="M78" s="11"/>
      <c r="N78" s="11"/>
      <c r="O78" s="11"/>
      <c r="P78" s="11"/>
      <c r="Q78" s="11"/>
      <c r="R78" s="11"/>
      <c r="S78" s="11"/>
      <c r="T78" s="11"/>
      <c r="U78" s="11"/>
      <c r="V78" s="11"/>
    </row>
    <row r="79" spans="1:22">
      <c r="A79" s="11"/>
      <c r="B79" s="11"/>
      <c r="C79" s="11"/>
      <c r="D79" s="11"/>
      <c r="E79" s="11"/>
      <c r="F79" s="11"/>
      <c r="G79" s="11"/>
      <c r="H79" s="11"/>
      <c r="I79" s="11"/>
      <c r="J79" s="11"/>
      <c r="K79" s="11"/>
      <c r="L79" s="11"/>
      <c r="M79" s="11"/>
      <c r="N79" s="11"/>
      <c r="O79" s="11"/>
      <c r="P79" s="11"/>
      <c r="Q79" s="11"/>
      <c r="R79" s="11"/>
      <c r="S79" s="11"/>
      <c r="T79" s="11"/>
      <c r="U79" s="11"/>
      <c r="V79" s="11"/>
    </row>
    <row r="80" spans="1:22">
      <c r="A80" s="11"/>
      <c r="B80" s="11"/>
      <c r="C80" s="11"/>
      <c r="D80" s="11"/>
      <c r="E80" s="11"/>
      <c r="F80" s="11"/>
      <c r="G80" s="11"/>
      <c r="H80" s="11"/>
      <c r="I80" s="11"/>
      <c r="J80" s="11"/>
      <c r="K80" s="11"/>
      <c r="L80" s="11"/>
      <c r="M80" s="11"/>
      <c r="N80" s="11"/>
      <c r="O80" s="11"/>
      <c r="P80" s="11"/>
      <c r="Q80" s="11"/>
      <c r="R80" s="11"/>
      <c r="S80" s="11"/>
      <c r="T80" s="11"/>
      <c r="U80" s="11"/>
      <c r="V80" s="11"/>
    </row>
    <row r="81" spans="1:22">
      <c r="A81" s="11"/>
      <c r="B81" s="11"/>
      <c r="C81" s="11"/>
      <c r="D81" s="11"/>
      <c r="E81" s="11"/>
      <c r="F81" s="11"/>
      <c r="G81" s="11"/>
      <c r="H81" s="11"/>
      <c r="I81" s="11"/>
      <c r="J81" s="11"/>
      <c r="K81" s="11"/>
      <c r="L81" s="11"/>
      <c r="M81" s="11"/>
      <c r="N81" s="11"/>
      <c r="O81" s="11"/>
      <c r="P81" s="11"/>
      <c r="Q81" s="11"/>
      <c r="R81" s="11"/>
      <c r="S81" s="11"/>
      <c r="T81" s="11"/>
      <c r="U81" s="11"/>
      <c r="V81" s="11"/>
    </row>
    <row r="82" spans="1:22">
      <c r="A82" s="11"/>
      <c r="B82" s="11"/>
      <c r="C82" s="11"/>
      <c r="D82" s="11"/>
      <c r="E82" s="11"/>
      <c r="F82" s="11"/>
      <c r="G82" s="11"/>
      <c r="H82" s="11"/>
      <c r="I82" s="11"/>
      <c r="J82" s="11"/>
      <c r="K82" s="11"/>
      <c r="L82" s="11"/>
      <c r="M82" s="11"/>
      <c r="N82" s="11"/>
      <c r="O82" s="11"/>
      <c r="P82" s="11"/>
      <c r="Q82" s="11"/>
      <c r="R82" s="11"/>
      <c r="S82" s="11"/>
      <c r="T82" s="11"/>
      <c r="U82" s="11"/>
      <c r="V82" s="11"/>
    </row>
    <row r="83" spans="1:22">
      <c r="A83" s="11"/>
      <c r="B83" s="11"/>
      <c r="C83" s="11"/>
      <c r="D83" s="11"/>
      <c r="E83" s="11"/>
      <c r="F83" s="11"/>
      <c r="G83" s="11"/>
      <c r="H83" s="11"/>
      <c r="I83" s="11"/>
      <c r="J83" s="11"/>
      <c r="K83" s="11"/>
      <c r="L83" s="11"/>
      <c r="M83" s="11"/>
      <c r="N83" s="11"/>
      <c r="O83" s="11"/>
      <c r="P83" s="11"/>
      <c r="Q83" s="11"/>
      <c r="R83" s="11"/>
      <c r="S83" s="11"/>
      <c r="T83" s="11"/>
      <c r="U83" s="11"/>
      <c r="V83" s="11"/>
    </row>
    <row r="84" spans="1:22">
      <c r="A84" s="11"/>
      <c r="B84" s="11"/>
      <c r="C84" s="11"/>
      <c r="D84" s="11"/>
      <c r="E84" s="11"/>
      <c r="F84" s="11"/>
      <c r="G84" s="11"/>
      <c r="H84" s="11"/>
      <c r="I84" s="11"/>
      <c r="J84" s="11"/>
      <c r="K84" s="11"/>
      <c r="L84" s="11"/>
      <c r="M84" s="11"/>
      <c r="N84" s="11"/>
      <c r="O84" s="11"/>
      <c r="P84" s="11"/>
      <c r="Q84" s="11"/>
      <c r="R84" s="11"/>
      <c r="S84" s="11"/>
      <c r="T84" s="11"/>
      <c r="U84" s="11"/>
      <c r="V84" s="11"/>
    </row>
    <row r="85" spans="1:22">
      <c r="A85" s="11"/>
      <c r="B85" s="11"/>
      <c r="C85" s="11"/>
      <c r="D85" s="11"/>
      <c r="E85" s="11"/>
      <c r="F85" s="11"/>
      <c r="G85" s="11"/>
      <c r="H85" s="11"/>
      <c r="I85" s="11"/>
      <c r="J85" s="11"/>
      <c r="K85" s="11"/>
      <c r="L85" s="11"/>
      <c r="M85" s="11"/>
      <c r="N85" s="11"/>
      <c r="O85" s="11"/>
      <c r="P85" s="11"/>
      <c r="Q85" s="11"/>
      <c r="R85" s="11"/>
      <c r="S85" s="11"/>
      <c r="T85" s="11"/>
      <c r="U85" s="11"/>
      <c r="V85" s="11"/>
    </row>
    <row r="86" spans="1:22">
      <c r="A86" s="11"/>
      <c r="B86" s="11"/>
      <c r="C86" s="11"/>
      <c r="D86" s="11"/>
      <c r="E86" s="11"/>
      <c r="F86" s="11"/>
      <c r="G86" s="11"/>
      <c r="H86" s="11"/>
      <c r="I86" s="11"/>
      <c r="J86" s="11"/>
      <c r="K86" s="11"/>
      <c r="L86" s="11"/>
      <c r="M86" s="11"/>
      <c r="N86" s="11"/>
      <c r="O86" s="11"/>
      <c r="P86" s="11"/>
      <c r="Q86" s="11"/>
      <c r="R86" s="11"/>
      <c r="S86" s="11"/>
      <c r="T86" s="11"/>
      <c r="U86" s="11"/>
      <c r="V86" s="11"/>
    </row>
    <row r="87" spans="1:22">
      <c r="A87" s="11"/>
      <c r="B87" s="11"/>
      <c r="C87" s="11"/>
      <c r="D87" s="11"/>
      <c r="E87" s="11"/>
      <c r="F87" s="11"/>
      <c r="G87" s="11"/>
      <c r="H87" s="11"/>
      <c r="I87" s="11"/>
      <c r="J87" s="11"/>
      <c r="K87" s="11"/>
      <c r="L87" s="11"/>
      <c r="M87" s="11"/>
      <c r="N87" s="11"/>
      <c r="O87" s="11"/>
      <c r="P87" s="11"/>
      <c r="Q87" s="11"/>
      <c r="R87" s="11"/>
      <c r="S87" s="11"/>
      <c r="T87" s="11"/>
      <c r="U87" s="11"/>
      <c r="V87" s="11"/>
    </row>
    <row r="88" spans="1:22">
      <c r="A88" s="11"/>
      <c r="B88" s="11"/>
      <c r="C88" s="11"/>
      <c r="D88" s="11"/>
      <c r="E88" s="11"/>
      <c r="F88" s="11"/>
      <c r="G88" s="11"/>
      <c r="H88" s="11"/>
      <c r="I88" s="11"/>
      <c r="J88" s="11"/>
      <c r="K88" s="11"/>
      <c r="L88" s="11"/>
      <c r="M88" s="11"/>
      <c r="N88" s="11"/>
      <c r="O88" s="11"/>
      <c r="P88" s="11"/>
      <c r="Q88" s="11"/>
      <c r="R88" s="11"/>
      <c r="S88" s="11"/>
      <c r="T88" s="11"/>
      <c r="U88" s="11"/>
      <c r="V88" s="11"/>
    </row>
    <row r="89" spans="1:22">
      <c r="A89" s="11"/>
      <c r="B89" s="11"/>
      <c r="C89" s="11"/>
      <c r="D89" s="11"/>
      <c r="E89" s="11"/>
      <c r="F89" s="11"/>
      <c r="G89" s="11"/>
      <c r="H89" s="11"/>
      <c r="I89" s="11"/>
      <c r="J89" s="11"/>
      <c r="K89" s="11"/>
      <c r="L89" s="11"/>
      <c r="M89" s="11"/>
      <c r="N89" s="11"/>
      <c r="O89" s="11"/>
      <c r="P89" s="11"/>
      <c r="Q89" s="11"/>
      <c r="R89" s="11"/>
      <c r="S89" s="11"/>
      <c r="T89" s="11"/>
      <c r="U89" s="11"/>
      <c r="V89" s="11"/>
    </row>
    <row r="90" spans="1:22">
      <c r="A90" s="11"/>
      <c r="B90" s="11"/>
      <c r="C90" s="11"/>
      <c r="D90" s="11"/>
      <c r="E90" s="11"/>
      <c r="F90" s="11"/>
      <c r="G90" s="11"/>
      <c r="H90" s="11"/>
      <c r="I90" s="11"/>
      <c r="J90" s="11"/>
      <c r="K90" s="11"/>
      <c r="L90" s="11"/>
      <c r="M90" s="11"/>
      <c r="N90" s="11"/>
      <c r="O90" s="11"/>
      <c r="P90" s="11"/>
      <c r="Q90" s="11"/>
      <c r="R90" s="11"/>
      <c r="S90" s="11"/>
      <c r="T90" s="11"/>
      <c r="U90" s="11"/>
      <c r="V90" s="11"/>
    </row>
    <row r="91" spans="1:22">
      <c r="A91" s="11"/>
      <c r="B91" s="11"/>
      <c r="C91" s="11"/>
      <c r="D91" s="11"/>
      <c r="E91" s="11"/>
      <c r="F91" s="11"/>
      <c r="G91" s="11"/>
      <c r="H91" s="11"/>
      <c r="I91" s="11"/>
      <c r="J91" s="11"/>
      <c r="K91" s="11"/>
      <c r="L91" s="11"/>
      <c r="M91" s="11"/>
      <c r="N91" s="11"/>
      <c r="O91" s="11"/>
      <c r="P91" s="11"/>
      <c r="Q91" s="11"/>
      <c r="R91" s="11"/>
      <c r="S91" s="11"/>
      <c r="T91" s="11"/>
      <c r="U91" s="11"/>
      <c r="V91" s="11"/>
    </row>
    <row r="92" spans="1:22">
      <c r="A92" s="11"/>
      <c r="B92" s="11"/>
      <c r="C92" s="11"/>
      <c r="D92" s="11"/>
      <c r="E92" s="11"/>
      <c r="F92" s="11"/>
      <c r="G92" s="11"/>
      <c r="H92" s="11"/>
      <c r="I92" s="11"/>
      <c r="J92" s="11"/>
      <c r="K92" s="11"/>
      <c r="L92" s="11"/>
      <c r="M92" s="11"/>
      <c r="N92" s="11"/>
      <c r="O92" s="11"/>
      <c r="P92" s="11"/>
      <c r="Q92" s="11"/>
      <c r="R92" s="11"/>
      <c r="S92" s="11"/>
      <c r="T92" s="11"/>
      <c r="U92" s="11"/>
      <c r="V92" s="11"/>
    </row>
    <row r="93" spans="1:22">
      <c r="A93" s="11"/>
      <c r="B93" s="11"/>
      <c r="C93" s="11"/>
      <c r="D93" s="11"/>
      <c r="E93" s="11"/>
      <c r="F93" s="11"/>
      <c r="G93" s="11"/>
      <c r="H93" s="11"/>
      <c r="I93" s="11"/>
      <c r="J93" s="11"/>
      <c r="K93" s="11"/>
      <c r="L93" s="11"/>
      <c r="M93" s="11"/>
      <c r="N93" s="11"/>
      <c r="O93" s="11"/>
      <c r="P93" s="11"/>
      <c r="Q93" s="11"/>
      <c r="R93" s="11"/>
      <c r="S93" s="11"/>
      <c r="T93" s="11"/>
      <c r="U93" s="11"/>
      <c r="V93" s="11"/>
    </row>
    <row r="94" spans="1:22">
      <c r="A94" s="11"/>
      <c r="B94" s="11"/>
      <c r="C94" s="11"/>
      <c r="D94" s="11"/>
      <c r="E94" s="11"/>
      <c r="F94" s="11"/>
      <c r="G94" s="11"/>
      <c r="H94" s="11"/>
      <c r="I94" s="11"/>
      <c r="J94" s="11"/>
      <c r="K94" s="11"/>
      <c r="L94" s="11"/>
      <c r="M94" s="11"/>
      <c r="N94" s="11"/>
      <c r="O94" s="11"/>
      <c r="P94" s="11"/>
      <c r="Q94" s="11"/>
      <c r="R94" s="11"/>
      <c r="S94" s="11"/>
      <c r="T94" s="11"/>
      <c r="U94" s="11"/>
      <c r="V94" s="11"/>
    </row>
    <row r="95" spans="1:22">
      <c r="A95" s="11"/>
      <c r="B95" s="11"/>
      <c r="C95" s="11"/>
      <c r="D95" s="11"/>
      <c r="E95" s="11"/>
      <c r="F95" s="11"/>
      <c r="G95" s="11"/>
      <c r="H95" s="11"/>
      <c r="I95" s="11"/>
      <c r="J95" s="11"/>
      <c r="K95" s="11"/>
      <c r="L95" s="11"/>
      <c r="M95" s="11"/>
      <c r="N95" s="11"/>
      <c r="O95" s="11"/>
      <c r="P95" s="11"/>
      <c r="Q95" s="11"/>
      <c r="R95" s="11"/>
      <c r="S95" s="11"/>
      <c r="T95" s="11"/>
      <c r="U95" s="11"/>
      <c r="V95" s="11"/>
    </row>
    <row r="96" spans="1:22">
      <c r="A96" s="11"/>
      <c r="B96" s="11"/>
      <c r="C96" s="11"/>
      <c r="D96" s="11"/>
      <c r="E96" s="11"/>
      <c r="F96" s="11"/>
      <c r="G96" s="11"/>
      <c r="H96" s="11"/>
      <c r="I96" s="11"/>
      <c r="J96" s="11"/>
      <c r="K96" s="11"/>
      <c r="L96" s="11"/>
      <c r="M96" s="11"/>
      <c r="N96" s="11"/>
      <c r="O96" s="11"/>
      <c r="P96" s="11"/>
      <c r="Q96" s="11"/>
      <c r="R96" s="11"/>
      <c r="S96" s="11"/>
      <c r="T96" s="11"/>
      <c r="U96" s="11"/>
      <c r="V96" s="11"/>
    </row>
    <row r="97" spans="1:22">
      <c r="A97" s="11"/>
      <c r="B97" s="11"/>
      <c r="C97" s="11"/>
      <c r="D97" s="11"/>
      <c r="E97" s="11"/>
      <c r="F97" s="11"/>
      <c r="G97" s="11"/>
      <c r="H97" s="11"/>
      <c r="I97" s="11"/>
      <c r="J97" s="11"/>
      <c r="K97" s="11"/>
      <c r="L97" s="11"/>
      <c r="M97" s="11"/>
      <c r="N97" s="11"/>
      <c r="O97" s="11"/>
      <c r="P97" s="11"/>
      <c r="Q97" s="11"/>
      <c r="R97" s="11"/>
      <c r="S97" s="11"/>
      <c r="T97" s="11"/>
      <c r="U97" s="11"/>
      <c r="V97" s="11"/>
    </row>
    <row r="98" spans="1:22">
      <c r="A98" s="11"/>
      <c r="B98" s="11"/>
      <c r="C98" s="11"/>
      <c r="D98" s="11"/>
      <c r="E98" s="11"/>
      <c r="F98" s="11"/>
      <c r="G98" s="11"/>
      <c r="H98" s="11"/>
      <c r="I98" s="11"/>
      <c r="J98" s="11"/>
      <c r="K98" s="11"/>
      <c r="L98" s="11"/>
      <c r="M98" s="11"/>
      <c r="N98" s="11"/>
      <c r="O98" s="11"/>
      <c r="P98" s="11"/>
      <c r="Q98" s="11"/>
      <c r="R98" s="11"/>
      <c r="S98" s="11"/>
      <c r="T98" s="11"/>
      <c r="U98" s="11"/>
      <c r="V98" s="11"/>
    </row>
    <row r="99" spans="1:22">
      <c r="A99" s="11"/>
      <c r="B99" s="11"/>
      <c r="C99" s="11"/>
      <c r="D99" s="11"/>
      <c r="E99" s="11"/>
      <c r="F99" s="11"/>
      <c r="G99" s="11"/>
      <c r="H99" s="11"/>
      <c r="I99" s="11"/>
      <c r="J99" s="11"/>
      <c r="K99" s="11"/>
      <c r="L99" s="11"/>
      <c r="M99" s="11"/>
      <c r="N99" s="11"/>
      <c r="O99" s="11"/>
      <c r="P99" s="11"/>
      <c r="Q99" s="11"/>
      <c r="R99" s="11"/>
      <c r="S99" s="11"/>
      <c r="T99" s="11"/>
      <c r="U99" s="11"/>
      <c r="V99" s="11"/>
    </row>
    <row r="100" spans="1:2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c r="A247" s="11"/>
      <c r="B247" s="11"/>
      <c r="C247" s="11"/>
      <c r="D247" s="11"/>
      <c r="E247" s="11"/>
      <c r="F247" s="11"/>
      <c r="G247" s="11"/>
      <c r="H247" s="11"/>
      <c r="I247" s="11"/>
      <c r="J247" s="11"/>
      <c r="K247" s="11"/>
      <c r="L247" s="11"/>
      <c r="M247" s="11"/>
      <c r="N247" s="11"/>
      <c r="O247" s="11"/>
      <c r="P247" s="11"/>
      <c r="Q247" s="11"/>
      <c r="R247" s="11"/>
      <c r="S247" s="11"/>
      <c r="T247" s="11"/>
      <c r="U247" s="11"/>
      <c r="V247" s="11"/>
    </row>
    <row r="248" spans="1:22">
      <c r="A248" s="11"/>
      <c r="B248" s="11"/>
      <c r="C248" s="11"/>
      <c r="D248" s="11"/>
      <c r="E248" s="11"/>
      <c r="F248" s="11"/>
      <c r="G248" s="11"/>
      <c r="H248" s="11"/>
      <c r="I248" s="11"/>
      <c r="J248" s="11"/>
      <c r="K248" s="11"/>
      <c r="L248" s="11"/>
      <c r="M248" s="11"/>
      <c r="N248" s="11"/>
      <c r="O248" s="11"/>
      <c r="P248" s="11"/>
      <c r="Q248" s="11"/>
      <c r="R248" s="11"/>
      <c r="S248" s="11"/>
      <c r="T248" s="11"/>
      <c r="U248" s="11"/>
      <c r="V248" s="11"/>
    </row>
    <row r="249" spans="1:22">
      <c r="A249" s="11"/>
      <c r="B249" s="11"/>
      <c r="C249" s="11"/>
      <c r="D249" s="11"/>
      <c r="E249" s="11"/>
      <c r="F249" s="11"/>
      <c r="G249" s="11"/>
      <c r="H249" s="11"/>
      <c r="I249" s="11"/>
      <c r="J249" s="11"/>
      <c r="K249" s="11"/>
      <c r="L249" s="11"/>
      <c r="M249" s="11"/>
      <c r="N249" s="11"/>
      <c r="O249" s="11"/>
      <c r="P249" s="11"/>
      <c r="Q249" s="11"/>
      <c r="R249" s="11"/>
      <c r="S249" s="11"/>
      <c r="T249" s="11"/>
      <c r="U249" s="11"/>
      <c r="V249" s="11"/>
    </row>
    <row r="250" spans="1:22">
      <c r="A250" s="11"/>
      <c r="B250" s="11"/>
      <c r="C250" s="11"/>
      <c r="D250" s="11"/>
      <c r="E250" s="11"/>
      <c r="F250" s="11"/>
      <c r="G250" s="11"/>
      <c r="H250" s="11"/>
      <c r="I250" s="11"/>
      <c r="J250" s="11"/>
      <c r="K250" s="11"/>
      <c r="L250" s="11"/>
      <c r="M250" s="11"/>
      <c r="N250" s="11"/>
      <c r="O250" s="11"/>
      <c r="P250" s="11"/>
      <c r="Q250" s="11"/>
      <c r="R250" s="11"/>
      <c r="S250" s="11"/>
      <c r="T250" s="11"/>
      <c r="U250" s="11"/>
      <c r="V250" s="11"/>
    </row>
    <row r="251" spans="1:22">
      <c r="A251" s="11"/>
      <c r="B251" s="11"/>
      <c r="C251" s="11"/>
      <c r="D251" s="11"/>
      <c r="E251" s="11"/>
      <c r="F251" s="11"/>
      <c r="G251" s="11"/>
      <c r="H251" s="11"/>
      <c r="I251" s="11"/>
      <c r="J251" s="11"/>
      <c r="K251" s="11"/>
      <c r="L251" s="11"/>
      <c r="M251" s="11"/>
      <c r="N251" s="11"/>
      <c r="O251" s="11"/>
      <c r="P251" s="11"/>
      <c r="Q251" s="11"/>
      <c r="R251" s="11"/>
      <c r="S251" s="11"/>
      <c r="T251" s="11"/>
      <c r="U251" s="11"/>
      <c r="V251" s="11"/>
    </row>
    <row r="252" spans="1:22">
      <c r="A252" s="11"/>
      <c r="B252" s="11"/>
      <c r="C252" s="11"/>
      <c r="D252" s="11"/>
      <c r="E252" s="11"/>
      <c r="F252" s="11"/>
      <c r="G252" s="11"/>
      <c r="H252" s="11"/>
      <c r="I252" s="11"/>
      <c r="J252" s="11"/>
      <c r="K252" s="11"/>
      <c r="L252" s="11"/>
      <c r="M252" s="11"/>
      <c r="N252" s="11"/>
      <c r="O252" s="11"/>
      <c r="P252" s="11"/>
      <c r="Q252" s="11"/>
      <c r="R252" s="11"/>
      <c r="S252" s="11"/>
      <c r="T252" s="11"/>
      <c r="U252" s="11"/>
      <c r="V252" s="11"/>
    </row>
    <row r="253" spans="1:22">
      <c r="A253" s="11"/>
      <c r="B253" s="11"/>
      <c r="C253" s="11"/>
      <c r="D253" s="11"/>
      <c r="E253" s="11"/>
      <c r="F253" s="11"/>
      <c r="G253" s="11"/>
      <c r="H253" s="11"/>
      <c r="I253" s="11"/>
      <c r="J253" s="11"/>
      <c r="K253" s="11"/>
      <c r="L253" s="11"/>
      <c r="M253" s="11"/>
      <c r="N253" s="11"/>
      <c r="O253" s="11"/>
      <c r="P253" s="11"/>
      <c r="Q253" s="11"/>
      <c r="R253" s="11"/>
      <c r="S253" s="11"/>
      <c r="T253" s="11"/>
      <c r="U253" s="11"/>
      <c r="V253" s="11"/>
    </row>
    <row r="254" spans="1:22">
      <c r="A254" s="11"/>
      <c r="B254" s="11"/>
      <c r="C254" s="11"/>
      <c r="D254" s="11"/>
      <c r="E254" s="11"/>
      <c r="F254" s="11"/>
      <c r="G254" s="11"/>
      <c r="H254" s="11"/>
      <c r="I254" s="11"/>
      <c r="J254" s="11"/>
      <c r="K254" s="11"/>
      <c r="L254" s="11"/>
      <c r="M254" s="11"/>
      <c r="N254" s="11"/>
      <c r="O254" s="11"/>
      <c r="P254" s="11"/>
      <c r="Q254" s="11"/>
      <c r="R254" s="11"/>
      <c r="S254" s="11"/>
      <c r="T254" s="11"/>
      <c r="U254" s="11"/>
      <c r="V254" s="11"/>
    </row>
    <row r="255" spans="1:22">
      <c r="A255" s="11"/>
      <c r="B255" s="11"/>
      <c r="C255" s="11"/>
      <c r="D255" s="11"/>
      <c r="E255" s="11"/>
      <c r="F255" s="11"/>
      <c r="G255" s="11"/>
      <c r="H255" s="11"/>
      <c r="I255" s="11"/>
      <c r="J255" s="11"/>
      <c r="K255" s="11"/>
      <c r="L255" s="11"/>
      <c r="M255" s="11"/>
      <c r="N255" s="11"/>
      <c r="O255" s="11"/>
      <c r="P255" s="11"/>
      <c r="Q255" s="11"/>
      <c r="R255" s="11"/>
      <c r="S255" s="11"/>
      <c r="T255" s="11"/>
      <c r="U255" s="11"/>
      <c r="V255" s="11"/>
    </row>
    <row r="256" spans="1:22">
      <c r="A256" s="11"/>
      <c r="B256" s="11"/>
      <c r="C256" s="11"/>
      <c r="D256" s="11"/>
      <c r="E256" s="11"/>
      <c r="F256" s="11"/>
      <c r="G256" s="11"/>
      <c r="H256" s="11"/>
      <c r="I256" s="11"/>
      <c r="J256" s="11"/>
      <c r="K256" s="11"/>
      <c r="L256" s="11"/>
      <c r="M256" s="11"/>
      <c r="N256" s="11"/>
      <c r="O256" s="11"/>
      <c r="P256" s="11"/>
      <c r="Q256" s="11"/>
      <c r="R256" s="11"/>
      <c r="S256" s="11"/>
      <c r="T256" s="11"/>
      <c r="U256" s="11"/>
      <c r="V256" s="11"/>
    </row>
    <row r="257" spans="1:22">
      <c r="A257" s="11"/>
      <c r="B257" s="11"/>
      <c r="C257" s="11"/>
      <c r="D257" s="11"/>
      <c r="E257" s="11"/>
      <c r="F257" s="11"/>
      <c r="G257" s="11"/>
      <c r="H257" s="11"/>
      <c r="I257" s="11"/>
      <c r="J257" s="11"/>
      <c r="K257" s="11"/>
      <c r="L257" s="11"/>
      <c r="M257" s="11"/>
      <c r="N257" s="11"/>
      <c r="O257" s="11"/>
      <c r="P257" s="11"/>
      <c r="Q257" s="11"/>
      <c r="R257" s="11"/>
      <c r="S257" s="11"/>
      <c r="T257" s="11"/>
      <c r="U257" s="11"/>
      <c r="V257" s="11"/>
    </row>
    <row r="258" spans="1:22">
      <c r="A258" s="11"/>
      <c r="B258" s="11"/>
      <c r="C258" s="11"/>
      <c r="D258" s="11"/>
      <c r="E258" s="11"/>
      <c r="F258" s="11"/>
      <c r="G258" s="11"/>
      <c r="H258" s="11"/>
      <c r="I258" s="11"/>
      <c r="J258" s="11"/>
      <c r="K258" s="11"/>
      <c r="L258" s="11"/>
      <c r="M258" s="11"/>
      <c r="N258" s="11"/>
      <c r="O258" s="11"/>
      <c r="P258" s="11"/>
      <c r="Q258" s="11"/>
      <c r="R258" s="11"/>
      <c r="S258" s="11"/>
      <c r="T258" s="11"/>
      <c r="U258" s="11"/>
      <c r="V258" s="11"/>
    </row>
    <row r="259" spans="1:22">
      <c r="A259" s="11"/>
      <c r="B259" s="11"/>
      <c r="C259" s="11"/>
      <c r="D259" s="11"/>
      <c r="E259" s="11"/>
      <c r="F259" s="11"/>
      <c r="G259" s="11"/>
      <c r="H259" s="11"/>
      <c r="I259" s="11"/>
      <c r="J259" s="11"/>
      <c r="K259" s="11"/>
      <c r="L259" s="11"/>
      <c r="M259" s="11"/>
      <c r="N259" s="11"/>
      <c r="O259" s="11"/>
      <c r="P259" s="11"/>
      <c r="Q259" s="11"/>
      <c r="R259" s="11"/>
      <c r="S259" s="11"/>
      <c r="T259" s="11"/>
      <c r="U259" s="11"/>
      <c r="V259" s="11"/>
    </row>
    <row r="260" spans="1:22">
      <c r="A260" s="11"/>
      <c r="B260" s="11"/>
      <c r="C260" s="11"/>
      <c r="D260" s="11"/>
      <c r="E260" s="11"/>
      <c r="F260" s="11"/>
      <c r="G260" s="11"/>
      <c r="H260" s="11"/>
      <c r="I260" s="11"/>
      <c r="J260" s="11"/>
      <c r="K260" s="11"/>
      <c r="L260" s="11"/>
      <c r="M260" s="11"/>
      <c r="N260" s="11"/>
      <c r="O260" s="11"/>
      <c r="P260" s="11"/>
      <c r="Q260" s="11"/>
      <c r="R260" s="11"/>
      <c r="S260" s="11"/>
      <c r="T260" s="11"/>
      <c r="U260" s="11"/>
      <c r="V260" s="11"/>
    </row>
    <row r="261" spans="1:22">
      <c r="A261" s="11"/>
      <c r="B261" s="11"/>
      <c r="C261" s="11"/>
      <c r="D261" s="11"/>
      <c r="E261" s="11"/>
      <c r="F261" s="11"/>
      <c r="G261" s="11"/>
      <c r="H261" s="11"/>
      <c r="I261" s="11"/>
      <c r="J261" s="11"/>
      <c r="K261" s="11"/>
      <c r="L261" s="11"/>
      <c r="M261" s="11"/>
      <c r="N261" s="11"/>
      <c r="O261" s="11"/>
      <c r="P261" s="11"/>
      <c r="Q261" s="11"/>
      <c r="R261" s="11"/>
      <c r="S261" s="11"/>
      <c r="T261" s="11"/>
      <c r="U261" s="11"/>
      <c r="V261" s="11"/>
    </row>
    <row r="262" spans="1:22">
      <c r="A262" s="11"/>
      <c r="B262" s="11"/>
      <c r="C262" s="11"/>
      <c r="D262" s="11"/>
      <c r="E262" s="11"/>
      <c r="F262" s="11"/>
      <c r="G262" s="11"/>
      <c r="H262" s="11"/>
      <c r="I262" s="11"/>
      <c r="J262" s="11"/>
      <c r="K262" s="11"/>
      <c r="L262" s="11"/>
      <c r="M262" s="11"/>
      <c r="N262" s="11"/>
      <c r="O262" s="11"/>
      <c r="P262" s="11"/>
      <c r="Q262" s="11"/>
      <c r="R262" s="11"/>
      <c r="S262" s="11"/>
      <c r="T262" s="11"/>
      <c r="U262" s="11"/>
      <c r="V262" s="11"/>
    </row>
    <row r="263" spans="1:22">
      <c r="A263" s="11"/>
      <c r="B263" s="11"/>
      <c r="C263" s="11"/>
      <c r="D263" s="11"/>
      <c r="E263" s="11"/>
      <c r="F263" s="11"/>
      <c r="G263" s="11"/>
      <c r="H263" s="11"/>
      <c r="I263" s="11"/>
      <c r="J263" s="11"/>
      <c r="K263" s="11"/>
      <c r="L263" s="11"/>
      <c r="M263" s="11"/>
      <c r="N263" s="11"/>
      <c r="O263" s="11"/>
      <c r="P263" s="11"/>
      <c r="Q263" s="11"/>
      <c r="R263" s="11"/>
      <c r="S263" s="11"/>
      <c r="T263" s="11"/>
      <c r="U263" s="11"/>
      <c r="V263" s="11"/>
    </row>
    <row r="264" spans="1:22">
      <c r="A264" s="11"/>
      <c r="B264" s="11"/>
      <c r="C264" s="11"/>
      <c r="D264" s="11"/>
      <c r="E264" s="11"/>
      <c r="F264" s="11"/>
      <c r="G264" s="11"/>
      <c r="H264" s="11"/>
      <c r="I264" s="11"/>
      <c r="J264" s="11"/>
      <c r="K264" s="11"/>
      <c r="L264" s="11"/>
      <c r="M264" s="11"/>
      <c r="N264" s="11"/>
      <c r="O264" s="11"/>
      <c r="P264" s="11"/>
      <c r="Q264" s="11"/>
      <c r="R264" s="11"/>
      <c r="S264" s="11"/>
      <c r="T264" s="11"/>
      <c r="U264" s="11"/>
      <c r="V264" s="11"/>
    </row>
    <row r="265" spans="1:22">
      <c r="A265" s="11"/>
      <c r="B265" s="11"/>
      <c r="C265" s="11"/>
      <c r="D265" s="11"/>
      <c r="E265" s="11"/>
      <c r="F265" s="11"/>
      <c r="G265" s="11"/>
      <c r="H265" s="11"/>
      <c r="I265" s="11"/>
      <c r="J265" s="11"/>
      <c r="K265" s="11"/>
      <c r="L265" s="11"/>
      <c r="M265" s="11"/>
      <c r="N265" s="11"/>
      <c r="O265" s="11"/>
      <c r="P265" s="11"/>
      <c r="Q265" s="11"/>
      <c r="R265" s="11"/>
      <c r="S265" s="11"/>
      <c r="T265" s="11"/>
      <c r="U265" s="11"/>
      <c r="V265" s="11"/>
    </row>
    <row r="266" spans="1:22">
      <c r="A266" s="11"/>
      <c r="B266" s="11"/>
      <c r="C266" s="11"/>
      <c r="D266" s="11"/>
      <c r="E266" s="11"/>
      <c r="F266" s="11"/>
      <c r="G266" s="11"/>
      <c r="H266" s="11"/>
      <c r="I266" s="11"/>
      <c r="J266" s="11"/>
      <c r="K266" s="11"/>
      <c r="L266" s="11"/>
      <c r="M266" s="11"/>
      <c r="N266" s="11"/>
      <c r="O266" s="11"/>
      <c r="P266" s="11"/>
      <c r="Q266" s="11"/>
      <c r="R266" s="11"/>
      <c r="S266" s="11"/>
      <c r="T266" s="11"/>
      <c r="U266" s="11"/>
      <c r="V266" s="11"/>
    </row>
    <row r="267" spans="1:22">
      <c r="A267" s="11"/>
      <c r="B267" s="11"/>
      <c r="C267" s="11"/>
      <c r="D267" s="11"/>
      <c r="E267" s="11"/>
      <c r="F267" s="11"/>
      <c r="G267" s="11"/>
      <c r="H267" s="11"/>
      <c r="I267" s="11"/>
      <c r="J267" s="11"/>
      <c r="K267" s="11"/>
      <c r="L267" s="11"/>
      <c r="M267" s="11"/>
      <c r="N267" s="11"/>
      <c r="O267" s="11"/>
      <c r="P267" s="11"/>
      <c r="Q267" s="11"/>
      <c r="R267" s="11"/>
      <c r="S267" s="11"/>
      <c r="T267" s="11"/>
      <c r="U267" s="11"/>
      <c r="V267" s="11"/>
    </row>
    <row r="268" spans="1:22">
      <c r="A268" s="11"/>
      <c r="B268" s="11"/>
      <c r="C268" s="11"/>
      <c r="D268" s="11"/>
      <c r="E268" s="11"/>
      <c r="F268" s="11"/>
      <c r="G268" s="11"/>
      <c r="H268" s="11"/>
      <c r="I268" s="11"/>
      <c r="J268" s="11"/>
      <c r="K268" s="11"/>
      <c r="L268" s="11"/>
      <c r="M268" s="11"/>
      <c r="N268" s="11"/>
      <c r="O268" s="11"/>
      <c r="P268" s="11"/>
      <c r="Q268" s="11"/>
      <c r="R268" s="11"/>
      <c r="S268" s="11"/>
      <c r="T268" s="11"/>
      <c r="U268" s="11"/>
      <c r="V268" s="11"/>
    </row>
    <row r="269" spans="1:22">
      <c r="A269" s="11"/>
      <c r="B269" s="11"/>
      <c r="C269" s="11"/>
      <c r="D269" s="11"/>
      <c r="E269" s="11"/>
      <c r="F269" s="11"/>
      <c r="G269" s="11"/>
      <c r="H269" s="11"/>
      <c r="I269" s="11"/>
      <c r="J269" s="11"/>
      <c r="K269" s="11"/>
      <c r="L269" s="11"/>
      <c r="M269" s="11"/>
      <c r="N269" s="11"/>
      <c r="O269" s="11"/>
      <c r="P269" s="11"/>
      <c r="Q269" s="11"/>
      <c r="R269" s="11"/>
      <c r="S269" s="11"/>
      <c r="T269" s="11"/>
      <c r="U269" s="11"/>
      <c r="V269" s="11"/>
    </row>
    <row r="270" spans="1:22">
      <c r="A270" s="11"/>
      <c r="B270" s="11"/>
      <c r="C270" s="11"/>
      <c r="D270" s="11"/>
      <c r="E270" s="11"/>
      <c r="F270" s="11"/>
      <c r="G270" s="11"/>
      <c r="H270" s="11"/>
      <c r="I270" s="11"/>
      <c r="J270" s="11"/>
      <c r="K270" s="11"/>
      <c r="L270" s="11"/>
      <c r="M270" s="11"/>
      <c r="N270" s="11"/>
      <c r="O270" s="11"/>
      <c r="P270" s="11"/>
      <c r="Q270" s="11"/>
      <c r="R270" s="11"/>
      <c r="S270" s="11"/>
      <c r="T270" s="11"/>
      <c r="U270" s="11"/>
      <c r="V270" s="11"/>
    </row>
    <row r="271" spans="1:22">
      <c r="A271" s="11"/>
      <c r="B271" s="11"/>
      <c r="C271" s="11"/>
      <c r="D271" s="11"/>
      <c r="E271" s="11"/>
      <c r="F271" s="11"/>
      <c r="G271" s="11"/>
      <c r="H271" s="11"/>
      <c r="I271" s="11"/>
      <c r="J271" s="11"/>
      <c r="K271" s="11"/>
      <c r="L271" s="11"/>
      <c r="M271" s="11"/>
      <c r="N271" s="11"/>
      <c r="O271" s="11"/>
      <c r="P271" s="11"/>
      <c r="Q271" s="11"/>
      <c r="R271" s="11"/>
      <c r="S271" s="11"/>
      <c r="T271" s="11"/>
      <c r="U271" s="11"/>
      <c r="V271" s="11"/>
    </row>
    <row r="272" spans="1:22">
      <c r="A272" s="11"/>
      <c r="B272" s="11"/>
      <c r="C272" s="11"/>
      <c r="D272" s="11"/>
      <c r="E272" s="11"/>
      <c r="F272" s="11"/>
      <c r="G272" s="11"/>
      <c r="H272" s="11"/>
      <c r="I272" s="11"/>
      <c r="J272" s="11"/>
      <c r="K272" s="11"/>
      <c r="L272" s="11"/>
      <c r="M272" s="11"/>
      <c r="N272" s="11"/>
      <c r="O272" s="11"/>
      <c r="P272" s="11"/>
      <c r="Q272" s="11"/>
      <c r="R272" s="11"/>
      <c r="S272" s="11"/>
      <c r="T272" s="11"/>
      <c r="U272" s="11"/>
      <c r="V272" s="11"/>
    </row>
    <row r="273" spans="1:22">
      <c r="A273" s="11"/>
      <c r="B273" s="11"/>
      <c r="C273" s="11"/>
      <c r="D273" s="11"/>
      <c r="E273" s="11"/>
      <c r="F273" s="11"/>
      <c r="G273" s="11"/>
      <c r="H273" s="11"/>
      <c r="I273" s="11"/>
      <c r="J273" s="11"/>
      <c r="K273" s="11"/>
      <c r="L273" s="11"/>
      <c r="M273" s="11"/>
      <c r="N273" s="11"/>
      <c r="O273" s="11"/>
      <c r="P273" s="11"/>
      <c r="Q273" s="11"/>
      <c r="R273" s="11"/>
      <c r="S273" s="11"/>
      <c r="T273" s="11"/>
      <c r="U273" s="11"/>
      <c r="V273" s="11"/>
    </row>
    <row r="274" spans="1:22">
      <c r="A274" s="11"/>
      <c r="B274" s="11"/>
      <c r="C274" s="11"/>
      <c r="D274" s="11"/>
      <c r="E274" s="11"/>
      <c r="F274" s="11"/>
      <c r="G274" s="11"/>
      <c r="H274" s="11"/>
      <c r="I274" s="11"/>
      <c r="J274" s="11"/>
      <c r="K274" s="11"/>
      <c r="L274" s="11"/>
      <c r="M274" s="11"/>
      <c r="N274" s="11"/>
      <c r="O274" s="11"/>
      <c r="P274" s="11"/>
      <c r="Q274" s="11"/>
      <c r="R274" s="11"/>
      <c r="S274" s="11"/>
      <c r="T274" s="11"/>
      <c r="U274" s="11"/>
      <c r="V274" s="11"/>
    </row>
    <row r="275" spans="1:22">
      <c r="A275" s="11"/>
      <c r="B275" s="11"/>
      <c r="C275" s="11"/>
      <c r="D275" s="11"/>
      <c r="E275" s="11"/>
      <c r="F275" s="11"/>
      <c r="G275" s="11"/>
      <c r="H275" s="11"/>
      <c r="I275" s="11"/>
      <c r="J275" s="11"/>
      <c r="K275" s="11"/>
      <c r="L275" s="11"/>
      <c r="M275" s="11"/>
      <c r="N275" s="11"/>
      <c r="O275" s="11"/>
      <c r="P275" s="11"/>
      <c r="Q275" s="11"/>
      <c r="R275" s="11"/>
      <c r="S275" s="11"/>
      <c r="T275" s="11"/>
      <c r="U275" s="11"/>
      <c r="V275" s="11"/>
    </row>
    <row r="276" spans="1:22">
      <c r="A276" s="11"/>
      <c r="B276" s="11"/>
      <c r="C276" s="11"/>
      <c r="D276" s="11"/>
      <c r="E276" s="11"/>
      <c r="F276" s="11"/>
      <c r="G276" s="11"/>
      <c r="H276" s="11"/>
      <c r="I276" s="11"/>
      <c r="J276" s="11"/>
      <c r="K276" s="11"/>
      <c r="L276" s="11"/>
      <c r="M276" s="11"/>
      <c r="N276" s="11"/>
      <c r="O276" s="11"/>
      <c r="P276" s="11"/>
      <c r="Q276" s="11"/>
      <c r="R276" s="11"/>
      <c r="S276" s="11"/>
      <c r="T276" s="11"/>
      <c r="U276" s="11"/>
      <c r="V276" s="11"/>
    </row>
    <row r="277" spans="1:22">
      <c r="A277" s="11"/>
      <c r="B277" s="11"/>
      <c r="C277" s="11"/>
      <c r="D277" s="11"/>
      <c r="E277" s="11"/>
      <c r="F277" s="11"/>
      <c r="G277" s="11"/>
      <c r="H277" s="11"/>
      <c r="I277" s="11"/>
      <c r="J277" s="11"/>
      <c r="K277" s="11"/>
      <c r="L277" s="11"/>
      <c r="M277" s="11"/>
      <c r="N277" s="11"/>
      <c r="O277" s="11"/>
      <c r="P277" s="11"/>
      <c r="Q277" s="11"/>
      <c r="R277" s="11"/>
      <c r="S277" s="11"/>
      <c r="T277" s="11"/>
      <c r="U277" s="11"/>
      <c r="V277" s="11"/>
    </row>
    <row r="278" spans="1:22">
      <c r="A278" s="11"/>
      <c r="B278" s="11"/>
      <c r="C278" s="11"/>
      <c r="D278" s="11"/>
      <c r="E278" s="11"/>
      <c r="F278" s="11"/>
      <c r="G278" s="11"/>
      <c r="H278" s="11"/>
      <c r="I278" s="11"/>
      <c r="J278" s="11"/>
      <c r="K278" s="11"/>
      <c r="L278" s="11"/>
      <c r="M278" s="11"/>
      <c r="N278" s="11"/>
      <c r="O278" s="11"/>
      <c r="P278" s="11"/>
      <c r="Q278" s="11"/>
      <c r="R278" s="11"/>
      <c r="S278" s="11"/>
      <c r="T278" s="11"/>
      <c r="U278" s="11"/>
      <c r="V278" s="11"/>
    </row>
    <row r="279" spans="1:22">
      <c r="A279" s="11"/>
      <c r="B279" s="11"/>
      <c r="C279" s="11"/>
      <c r="D279" s="11"/>
      <c r="E279" s="11"/>
      <c r="F279" s="11"/>
      <c r="G279" s="11"/>
      <c r="H279" s="11"/>
      <c r="I279" s="11"/>
      <c r="J279" s="11"/>
      <c r="K279" s="11"/>
      <c r="L279" s="11"/>
      <c r="M279" s="11"/>
      <c r="N279" s="11"/>
      <c r="O279" s="11"/>
      <c r="P279" s="11"/>
      <c r="Q279" s="11"/>
      <c r="R279" s="11"/>
      <c r="S279" s="11"/>
      <c r="T279" s="11"/>
      <c r="U279" s="11"/>
      <c r="V279" s="11"/>
    </row>
    <row r="280" spans="1:22">
      <c r="A280" s="11"/>
      <c r="B280" s="11"/>
      <c r="C280" s="11"/>
      <c r="D280" s="11"/>
      <c r="E280" s="11"/>
      <c r="F280" s="11"/>
      <c r="G280" s="11"/>
      <c r="H280" s="11"/>
      <c r="I280" s="11"/>
      <c r="J280" s="11"/>
      <c r="K280" s="11"/>
      <c r="L280" s="11"/>
      <c r="M280" s="11"/>
      <c r="N280" s="11"/>
      <c r="O280" s="11"/>
      <c r="P280" s="11"/>
      <c r="Q280" s="11"/>
      <c r="R280" s="11"/>
      <c r="S280" s="11"/>
      <c r="T280" s="11"/>
      <c r="U280" s="11"/>
      <c r="V280" s="11"/>
    </row>
    <row r="281" spans="1:22">
      <c r="A281" s="11"/>
      <c r="B281" s="11"/>
      <c r="C281" s="11"/>
      <c r="D281" s="11"/>
      <c r="E281" s="11"/>
      <c r="F281" s="11"/>
      <c r="G281" s="11"/>
      <c r="H281" s="11"/>
      <c r="I281" s="11"/>
      <c r="J281" s="11"/>
      <c r="K281" s="11"/>
      <c r="L281" s="11"/>
      <c r="M281" s="11"/>
      <c r="N281" s="11"/>
      <c r="O281" s="11"/>
      <c r="P281" s="11"/>
      <c r="Q281" s="11"/>
      <c r="R281" s="11"/>
      <c r="S281" s="11"/>
      <c r="T281" s="11"/>
      <c r="U281" s="11"/>
      <c r="V281" s="11"/>
    </row>
    <row r="282" spans="1:22">
      <c r="A282" s="11"/>
      <c r="B282" s="11"/>
      <c r="C282" s="11"/>
      <c r="D282" s="11"/>
      <c r="E282" s="11"/>
      <c r="F282" s="11"/>
      <c r="G282" s="11"/>
      <c r="H282" s="11"/>
      <c r="I282" s="11"/>
      <c r="J282" s="11"/>
      <c r="K282" s="11"/>
      <c r="L282" s="11"/>
      <c r="M282" s="11"/>
      <c r="N282" s="11"/>
      <c r="O282" s="11"/>
      <c r="P282" s="11"/>
      <c r="Q282" s="11"/>
      <c r="R282" s="11"/>
      <c r="S282" s="11"/>
      <c r="T282" s="11"/>
      <c r="U282" s="11"/>
      <c r="V282" s="11"/>
    </row>
    <row r="283" spans="1:22">
      <c r="A283" s="11"/>
      <c r="B283" s="11"/>
      <c r="C283" s="11"/>
      <c r="D283" s="11"/>
      <c r="E283" s="11"/>
      <c r="F283" s="11"/>
      <c r="G283" s="11"/>
      <c r="H283" s="11"/>
      <c r="I283" s="11"/>
      <c r="J283" s="11"/>
      <c r="K283" s="11"/>
      <c r="L283" s="11"/>
      <c r="M283" s="11"/>
      <c r="N283" s="11"/>
      <c r="O283" s="11"/>
      <c r="P283" s="11"/>
      <c r="Q283" s="11"/>
      <c r="R283" s="11"/>
      <c r="S283" s="11"/>
      <c r="T283" s="11"/>
      <c r="U283" s="11"/>
      <c r="V283" s="11"/>
    </row>
    <row r="284" spans="1:22">
      <c r="A284" s="11"/>
      <c r="B284" s="11"/>
      <c r="C284" s="11"/>
      <c r="D284" s="11"/>
      <c r="E284" s="11"/>
      <c r="F284" s="11"/>
      <c r="G284" s="11"/>
      <c r="H284" s="11"/>
      <c r="I284" s="11"/>
      <c r="J284" s="11"/>
      <c r="K284" s="11"/>
      <c r="L284" s="11"/>
      <c r="M284" s="11"/>
      <c r="N284" s="11"/>
      <c r="O284" s="11"/>
      <c r="P284" s="11"/>
      <c r="Q284" s="11"/>
      <c r="R284" s="11"/>
      <c r="S284" s="11"/>
      <c r="T284" s="11"/>
      <c r="U284" s="11"/>
      <c r="V284" s="11"/>
    </row>
    <row r="285" spans="1:22">
      <c r="A285" s="11"/>
      <c r="B285" s="11"/>
      <c r="C285" s="11"/>
      <c r="D285" s="11"/>
      <c r="E285" s="11"/>
      <c r="F285" s="11"/>
      <c r="G285" s="11"/>
      <c r="H285" s="11"/>
      <c r="I285" s="11"/>
      <c r="J285" s="11"/>
      <c r="K285" s="11"/>
      <c r="L285" s="11"/>
      <c r="M285" s="11"/>
      <c r="N285" s="11"/>
      <c r="O285" s="11"/>
      <c r="P285" s="11"/>
      <c r="Q285" s="11"/>
      <c r="R285" s="11"/>
      <c r="S285" s="11"/>
      <c r="T285" s="11"/>
      <c r="U285" s="11"/>
      <c r="V285" s="11"/>
    </row>
    <row r="286" spans="1:22">
      <c r="A286" s="11"/>
      <c r="B286" s="11"/>
      <c r="C286" s="11"/>
      <c r="D286" s="11"/>
      <c r="E286" s="11"/>
      <c r="F286" s="11"/>
      <c r="G286" s="11"/>
      <c r="H286" s="11"/>
      <c r="I286" s="11"/>
      <c r="J286" s="11"/>
      <c r="K286" s="11"/>
      <c r="L286" s="11"/>
      <c r="M286" s="11"/>
      <c r="N286" s="11"/>
      <c r="O286" s="11"/>
      <c r="P286" s="11"/>
      <c r="Q286" s="11"/>
      <c r="R286" s="11"/>
      <c r="S286" s="11"/>
      <c r="T286" s="11"/>
      <c r="U286" s="11"/>
      <c r="V286" s="11"/>
    </row>
    <row r="287" spans="1:22">
      <c r="A287" s="11"/>
      <c r="B287" s="11"/>
      <c r="C287" s="11"/>
      <c r="D287" s="11"/>
      <c r="E287" s="11"/>
      <c r="F287" s="11"/>
      <c r="G287" s="11"/>
      <c r="H287" s="11"/>
      <c r="I287" s="11"/>
      <c r="J287" s="11"/>
      <c r="K287" s="11"/>
      <c r="L287" s="11"/>
      <c r="M287" s="11"/>
      <c r="N287" s="11"/>
      <c r="O287" s="11"/>
      <c r="P287" s="11"/>
      <c r="Q287" s="11"/>
      <c r="R287" s="11"/>
      <c r="S287" s="11"/>
      <c r="T287" s="11"/>
      <c r="U287" s="11"/>
      <c r="V287" s="11"/>
    </row>
    <row r="288" spans="1:22">
      <c r="A288" s="11"/>
      <c r="B288" s="11"/>
      <c r="C288" s="11"/>
      <c r="D288" s="11"/>
      <c r="E288" s="11"/>
      <c r="F288" s="11"/>
      <c r="G288" s="11"/>
      <c r="H288" s="11"/>
      <c r="I288" s="11"/>
      <c r="J288" s="11"/>
      <c r="K288" s="11"/>
      <c r="L288" s="11"/>
      <c r="M288" s="11"/>
      <c r="N288" s="11"/>
      <c r="O288" s="11"/>
      <c r="P288" s="11"/>
      <c r="Q288" s="11"/>
      <c r="R288" s="11"/>
      <c r="S288" s="11"/>
      <c r="T288" s="11"/>
      <c r="U288" s="11"/>
      <c r="V288" s="11"/>
    </row>
    <row r="289" spans="1:22">
      <c r="A289" s="11"/>
      <c r="B289" s="11"/>
      <c r="C289" s="11"/>
      <c r="D289" s="11"/>
      <c r="E289" s="11"/>
      <c r="F289" s="11"/>
      <c r="G289" s="11"/>
      <c r="H289" s="11"/>
      <c r="I289" s="11"/>
      <c r="J289" s="11"/>
      <c r="K289" s="11"/>
      <c r="L289" s="11"/>
      <c r="M289" s="11"/>
      <c r="N289" s="11"/>
      <c r="O289" s="11"/>
      <c r="P289" s="11"/>
      <c r="Q289" s="11"/>
      <c r="R289" s="11"/>
      <c r="S289" s="11"/>
      <c r="T289" s="11"/>
      <c r="U289" s="11"/>
      <c r="V289" s="11"/>
    </row>
    <row r="290" spans="1:22">
      <c r="A290" s="11"/>
      <c r="B290" s="11"/>
      <c r="C290" s="11"/>
      <c r="D290" s="11"/>
      <c r="E290" s="11"/>
      <c r="F290" s="11"/>
      <c r="G290" s="11"/>
      <c r="H290" s="11"/>
      <c r="I290" s="11"/>
      <c r="J290" s="11"/>
      <c r="K290" s="11"/>
      <c r="L290" s="11"/>
      <c r="M290" s="11"/>
      <c r="N290" s="11"/>
      <c r="O290" s="11"/>
      <c r="P290" s="11"/>
      <c r="Q290" s="11"/>
      <c r="R290" s="11"/>
      <c r="S290" s="11"/>
      <c r="T290" s="11"/>
      <c r="U290" s="11"/>
      <c r="V290" s="11"/>
    </row>
    <row r="291" spans="1:22">
      <c r="A291" s="11"/>
      <c r="B291" s="11"/>
      <c r="C291" s="11"/>
      <c r="D291" s="11"/>
      <c r="E291" s="11"/>
      <c r="F291" s="11"/>
      <c r="G291" s="11"/>
      <c r="H291" s="11"/>
      <c r="I291" s="11"/>
      <c r="J291" s="11"/>
      <c r="K291" s="11"/>
      <c r="L291" s="11"/>
      <c r="M291" s="11"/>
      <c r="N291" s="11"/>
      <c r="O291" s="11"/>
      <c r="P291" s="11"/>
      <c r="Q291" s="11"/>
      <c r="R291" s="11"/>
      <c r="S291" s="11"/>
      <c r="T291" s="11"/>
      <c r="U291" s="11"/>
      <c r="V291" s="11"/>
    </row>
    <row r="292" spans="1:22">
      <c r="A292" s="11"/>
      <c r="B292" s="11"/>
      <c r="C292" s="11"/>
      <c r="D292" s="11"/>
      <c r="E292" s="11"/>
      <c r="F292" s="11"/>
      <c r="G292" s="11"/>
      <c r="H292" s="11"/>
      <c r="I292" s="11"/>
      <c r="J292" s="11"/>
      <c r="K292" s="11"/>
      <c r="L292" s="11"/>
      <c r="M292" s="11"/>
      <c r="N292" s="11"/>
      <c r="O292" s="11"/>
      <c r="P292" s="11"/>
      <c r="Q292" s="11"/>
      <c r="R292" s="11"/>
      <c r="S292" s="11"/>
      <c r="T292" s="11"/>
      <c r="U292" s="11"/>
      <c r="V292" s="11"/>
    </row>
    <row r="293" spans="1:22">
      <c r="A293" s="11"/>
      <c r="B293" s="11"/>
      <c r="C293" s="11"/>
      <c r="D293" s="11"/>
      <c r="E293" s="11"/>
      <c r="F293" s="11"/>
      <c r="G293" s="11"/>
      <c r="H293" s="11"/>
      <c r="I293" s="11"/>
      <c r="J293" s="11"/>
      <c r="K293" s="11"/>
      <c r="L293" s="11"/>
      <c r="M293" s="11"/>
      <c r="N293" s="11"/>
      <c r="O293" s="11"/>
      <c r="P293" s="11"/>
      <c r="Q293" s="11"/>
      <c r="R293" s="11"/>
      <c r="S293" s="11"/>
      <c r="T293" s="11"/>
      <c r="U293" s="11"/>
      <c r="V293" s="11"/>
    </row>
    <row r="294" spans="1:22">
      <c r="A294" s="11"/>
      <c r="B294" s="11"/>
      <c r="C294" s="11"/>
      <c r="D294" s="11"/>
      <c r="E294" s="11"/>
      <c r="F294" s="11"/>
      <c r="G294" s="11"/>
      <c r="H294" s="11"/>
      <c r="I294" s="11"/>
      <c r="J294" s="11"/>
      <c r="K294" s="11"/>
      <c r="L294" s="11"/>
      <c r="M294" s="11"/>
      <c r="N294" s="11"/>
      <c r="O294" s="11"/>
      <c r="P294" s="11"/>
      <c r="Q294" s="11"/>
      <c r="R294" s="11"/>
      <c r="S294" s="11"/>
      <c r="T294" s="11"/>
      <c r="U294" s="11"/>
      <c r="V294" s="11"/>
    </row>
    <row r="295" spans="1:22">
      <c r="A295" s="11"/>
      <c r="B295" s="11"/>
      <c r="C295" s="11"/>
      <c r="D295" s="11"/>
      <c r="E295" s="11"/>
      <c r="F295" s="11"/>
      <c r="G295" s="11"/>
      <c r="H295" s="11"/>
      <c r="I295" s="11"/>
      <c r="J295" s="11"/>
      <c r="K295" s="11"/>
      <c r="L295" s="11"/>
      <c r="M295" s="11"/>
      <c r="N295" s="11"/>
      <c r="O295" s="11"/>
      <c r="P295" s="11"/>
      <c r="Q295" s="11"/>
      <c r="R295" s="11"/>
      <c r="S295" s="11"/>
      <c r="T295" s="11"/>
      <c r="U295" s="11"/>
      <c r="V295" s="11"/>
    </row>
    <row r="296" spans="1:22">
      <c r="A296" s="11"/>
      <c r="B296" s="11"/>
      <c r="C296" s="11"/>
      <c r="D296" s="11"/>
      <c r="E296" s="11"/>
      <c r="F296" s="11"/>
      <c r="G296" s="11"/>
      <c r="H296" s="11"/>
      <c r="I296" s="11"/>
      <c r="J296" s="11"/>
      <c r="K296" s="11"/>
      <c r="L296" s="11"/>
      <c r="M296" s="11"/>
      <c r="N296" s="11"/>
      <c r="O296" s="11"/>
      <c r="P296" s="11"/>
      <c r="Q296" s="11"/>
      <c r="R296" s="11"/>
      <c r="S296" s="11"/>
      <c r="T296" s="11"/>
      <c r="U296" s="11"/>
      <c r="V296" s="11"/>
    </row>
    <row r="297" spans="1:22">
      <c r="A297" s="11"/>
      <c r="B297" s="11"/>
      <c r="C297" s="11"/>
      <c r="D297" s="11"/>
      <c r="E297" s="11"/>
      <c r="F297" s="11"/>
      <c r="G297" s="11"/>
      <c r="H297" s="11"/>
      <c r="I297" s="11"/>
      <c r="J297" s="11"/>
      <c r="K297" s="11"/>
      <c r="L297" s="11"/>
      <c r="M297" s="11"/>
      <c r="N297" s="11"/>
      <c r="O297" s="11"/>
      <c r="P297" s="11"/>
      <c r="Q297" s="11"/>
      <c r="R297" s="11"/>
      <c r="S297" s="11"/>
      <c r="T297" s="11"/>
      <c r="U297" s="11"/>
      <c r="V297" s="11"/>
    </row>
    <row r="298" spans="1:22">
      <c r="A298" s="11"/>
      <c r="B298" s="11"/>
      <c r="C298" s="11"/>
      <c r="D298" s="11"/>
      <c r="E298" s="11"/>
      <c r="F298" s="11"/>
      <c r="G298" s="11"/>
      <c r="H298" s="11"/>
      <c r="I298" s="11"/>
      <c r="J298" s="11"/>
      <c r="K298" s="11"/>
      <c r="L298" s="11"/>
      <c r="M298" s="11"/>
      <c r="N298" s="11"/>
      <c r="O298" s="11"/>
      <c r="P298" s="11"/>
      <c r="Q298" s="11"/>
      <c r="R298" s="11"/>
      <c r="S298" s="11"/>
      <c r="T298" s="11"/>
      <c r="U298" s="11"/>
      <c r="V298" s="11"/>
    </row>
    <row r="299" spans="1:22">
      <c r="A299" s="11"/>
      <c r="B299" s="11"/>
      <c r="C299" s="11"/>
      <c r="D299" s="11"/>
      <c r="E299" s="11"/>
      <c r="F299" s="11"/>
      <c r="G299" s="11"/>
      <c r="H299" s="11"/>
      <c r="I299" s="11"/>
      <c r="J299" s="11"/>
      <c r="K299" s="11"/>
      <c r="L299" s="11"/>
      <c r="M299" s="11"/>
      <c r="N299" s="11"/>
      <c r="O299" s="11"/>
      <c r="P299" s="11"/>
      <c r="Q299" s="11"/>
      <c r="R299" s="11"/>
      <c r="S299" s="11"/>
      <c r="T299" s="11"/>
      <c r="U299" s="11"/>
      <c r="V299" s="11"/>
    </row>
    <row r="300" spans="1:22">
      <c r="A300" s="11"/>
      <c r="B300" s="11"/>
      <c r="C300" s="11"/>
      <c r="D300" s="11"/>
      <c r="E300" s="11"/>
      <c r="F300" s="11"/>
      <c r="G300" s="11"/>
      <c r="H300" s="11"/>
      <c r="I300" s="11"/>
      <c r="J300" s="11"/>
      <c r="K300" s="11"/>
      <c r="L300" s="11"/>
      <c r="M300" s="11"/>
      <c r="N300" s="11"/>
      <c r="O300" s="11"/>
      <c r="P300" s="11"/>
      <c r="Q300" s="11"/>
      <c r="R300" s="11"/>
      <c r="S300" s="11"/>
      <c r="T300" s="11"/>
      <c r="U300" s="11"/>
      <c r="V300" s="11"/>
    </row>
    <row r="301" spans="1:22">
      <c r="A301" s="11"/>
      <c r="B301" s="11"/>
      <c r="C301" s="11"/>
      <c r="D301" s="11"/>
      <c r="E301" s="11"/>
      <c r="F301" s="11"/>
      <c r="G301" s="11"/>
      <c r="H301" s="11"/>
      <c r="I301" s="11"/>
      <c r="J301" s="11"/>
      <c r="K301" s="11"/>
      <c r="L301" s="11"/>
      <c r="M301" s="11"/>
      <c r="N301" s="11"/>
      <c r="O301" s="11"/>
      <c r="P301" s="11"/>
      <c r="Q301" s="11"/>
      <c r="R301" s="11"/>
      <c r="S301" s="11"/>
      <c r="T301" s="11"/>
      <c r="U301" s="11"/>
      <c r="V301" s="11"/>
    </row>
    <row r="302" spans="1:22">
      <c r="A302" s="11"/>
      <c r="B302" s="11"/>
      <c r="C302" s="11"/>
      <c r="D302" s="11"/>
      <c r="E302" s="11"/>
      <c r="F302" s="11"/>
      <c r="G302" s="11"/>
      <c r="H302" s="11"/>
      <c r="I302" s="11"/>
      <c r="J302" s="11"/>
      <c r="K302" s="11"/>
      <c r="L302" s="11"/>
      <c r="M302" s="11"/>
      <c r="N302" s="11"/>
      <c r="O302" s="11"/>
      <c r="P302" s="11"/>
      <c r="Q302" s="11"/>
      <c r="R302" s="11"/>
      <c r="S302" s="11"/>
      <c r="T302" s="11"/>
      <c r="U302" s="11"/>
      <c r="V302" s="11"/>
    </row>
    <row r="303" spans="1:22">
      <c r="A303" s="11"/>
      <c r="B303" s="11"/>
      <c r="C303" s="11"/>
      <c r="D303" s="11"/>
      <c r="E303" s="11"/>
      <c r="F303" s="11"/>
      <c r="G303" s="11"/>
      <c r="H303" s="11"/>
      <c r="I303" s="11"/>
      <c r="J303" s="11"/>
      <c r="K303" s="11"/>
      <c r="L303" s="11"/>
      <c r="M303" s="11"/>
      <c r="N303" s="11"/>
      <c r="O303" s="11"/>
      <c r="P303" s="11"/>
      <c r="Q303" s="11"/>
      <c r="R303" s="11"/>
      <c r="S303" s="11"/>
      <c r="T303" s="11"/>
      <c r="U303" s="11"/>
      <c r="V303" s="11"/>
    </row>
    <row r="304" spans="1:22">
      <c r="A304" s="11"/>
      <c r="B304" s="11"/>
      <c r="C304" s="11"/>
      <c r="D304" s="11"/>
      <c r="E304" s="11"/>
      <c r="F304" s="11"/>
      <c r="G304" s="11"/>
      <c r="H304" s="11"/>
      <c r="I304" s="11"/>
      <c r="J304" s="11"/>
      <c r="K304" s="11"/>
      <c r="L304" s="11"/>
      <c r="M304" s="11"/>
      <c r="N304" s="11"/>
      <c r="O304" s="11"/>
      <c r="P304" s="11"/>
      <c r="Q304" s="11"/>
      <c r="R304" s="11"/>
      <c r="S304" s="11"/>
      <c r="T304" s="11"/>
      <c r="U304" s="11"/>
      <c r="V304" s="11"/>
    </row>
    <row r="305" spans="1:22">
      <c r="A305" s="11"/>
      <c r="B305" s="11"/>
      <c r="C305" s="11"/>
      <c r="D305" s="11"/>
      <c r="E305" s="11"/>
      <c r="F305" s="11"/>
      <c r="G305" s="11"/>
      <c r="H305" s="11"/>
      <c r="I305" s="11"/>
      <c r="J305" s="11"/>
      <c r="K305" s="11"/>
      <c r="L305" s="11"/>
      <c r="M305" s="11"/>
      <c r="N305" s="11"/>
      <c r="O305" s="11"/>
      <c r="P305" s="11"/>
      <c r="Q305" s="11"/>
      <c r="R305" s="11"/>
      <c r="S305" s="11"/>
      <c r="T305" s="11"/>
      <c r="U305" s="11"/>
      <c r="V305" s="11"/>
    </row>
    <row r="306" spans="1:22">
      <c r="A306" s="11"/>
      <c r="B306" s="11"/>
      <c r="C306" s="11"/>
      <c r="D306" s="11"/>
      <c r="E306" s="11"/>
      <c r="F306" s="11"/>
      <c r="G306" s="11"/>
      <c r="H306" s="11"/>
      <c r="I306" s="11"/>
      <c r="J306" s="11"/>
      <c r="K306" s="11"/>
      <c r="L306" s="11"/>
      <c r="M306" s="11"/>
      <c r="N306" s="11"/>
      <c r="O306" s="11"/>
      <c r="P306" s="11"/>
      <c r="Q306" s="11"/>
      <c r="R306" s="11"/>
      <c r="S306" s="11"/>
      <c r="T306" s="11"/>
      <c r="U306" s="11"/>
      <c r="V306" s="11"/>
    </row>
    <row r="307" spans="1:22">
      <c r="A307" s="11"/>
      <c r="B307" s="11"/>
      <c r="C307" s="11"/>
      <c r="D307" s="11"/>
      <c r="E307" s="11"/>
      <c r="F307" s="11"/>
      <c r="G307" s="11"/>
      <c r="H307" s="11"/>
      <c r="I307" s="11"/>
      <c r="J307" s="11"/>
      <c r="K307" s="11"/>
      <c r="L307" s="11"/>
      <c r="M307" s="11"/>
      <c r="N307" s="11"/>
      <c r="O307" s="11"/>
      <c r="P307" s="11"/>
      <c r="Q307" s="11"/>
      <c r="R307" s="11"/>
      <c r="S307" s="11"/>
      <c r="T307" s="11"/>
      <c r="U307" s="11"/>
      <c r="V307" s="11"/>
    </row>
    <row r="308" spans="1:22">
      <c r="A308" s="11"/>
      <c r="B308" s="11"/>
      <c r="C308" s="11"/>
      <c r="D308" s="11"/>
      <c r="E308" s="11"/>
      <c r="F308" s="11"/>
      <c r="G308" s="11"/>
      <c r="H308" s="11"/>
      <c r="I308" s="11"/>
      <c r="J308" s="11"/>
      <c r="K308" s="11"/>
      <c r="L308" s="11"/>
      <c r="M308" s="11"/>
      <c r="N308" s="11"/>
      <c r="O308" s="11"/>
      <c r="P308" s="11"/>
      <c r="Q308" s="11"/>
      <c r="R308" s="11"/>
      <c r="S308" s="11"/>
      <c r="T308" s="11"/>
      <c r="U308" s="11"/>
      <c r="V308" s="11"/>
    </row>
    <row r="309" spans="1:22">
      <c r="A309" s="11"/>
      <c r="B309" s="11"/>
      <c r="C309" s="11"/>
      <c r="D309" s="11"/>
      <c r="E309" s="11"/>
      <c r="F309" s="11"/>
      <c r="G309" s="11"/>
      <c r="H309" s="11"/>
      <c r="I309" s="11"/>
      <c r="J309" s="11"/>
      <c r="K309" s="11"/>
      <c r="L309" s="11"/>
      <c r="M309" s="11"/>
      <c r="N309" s="11"/>
      <c r="O309" s="11"/>
      <c r="P309" s="11"/>
      <c r="Q309" s="11"/>
      <c r="R309" s="11"/>
      <c r="S309" s="11"/>
      <c r="T309" s="11"/>
      <c r="U309" s="11"/>
      <c r="V309" s="11"/>
    </row>
    <row r="310" spans="1:22">
      <c r="A310" s="11"/>
      <c r="B310" s="11"/>
      <c r="C310" s="11"/>
      <c r="D310" s="11"/>
      <c r="E310" s="11"/>
      <c r="F310" s="11"/>
      <c r="G310" s="11"/>
      <c r="H310" s="11"/>
      <c r="I310" s="11"/>
      <c r="J310" s="11"/>
      <c r="K310" s="11"/>
      <c r="L310" s="11"/>
      <c r="M310" s="11"/>
      <c r="N310" s="11"/>
      <c r="O310" s="11"/>
      <c r="P310" s="11"/>
      <c r="Q310" s="11"/>
      <c r="R310" s="11"/>
      <c r="S310" s="11"/>
      <c r="T310" s="11"/>
      <c r="U310" s="11"/>
      <c r="V310" s="11"/>
    </row>
    <row r="311" spans="1:22">
      <c r="A311" s="11"/>
      <c r="B311" s="11"/>
      <c r="C311" s="11"/>
      <c r="D311" s="11"/>
      <c r="E311" s="11"/>
      <c r="F311" s="11"/>
      <c r="G311" s="11"/>
      <c r="H311" s="11"/>
      <c r="I311" s="11"/>
      <c r="J311" s="11"/>
      <c r="K311" s="11"/>
      <c r="L311" s="11"/>
      <c r="M311" s="11"/>
      <c r="N311" s="11"/>
      <c r="O311" s="11"/>
      <c r="P311" s="11"/>
      <c r="Q311" s="11"/>
      <c r="R311" s="11"/>
      <c r="S311" s="11"/>
      <c r="T311" s="11"/>
      <c r="U311" s="11"/>
      <c r="V311" s="11"/>
    </row>
    <row r="312" spans="1:22">
      <c r="A312" s="11"/>
      <c r="B312" s="11"/>
      <c r="C312" s="11"/>
      <c r="D312" s="11"/>
      <c r="E312" s="11"/>
      <c r="F312" s="11"/>
      <c r="G312" s="11"/>
      <c r="H312" s="11"/>
      <c r="I312" s="11"/>
      <c r="J312" s="11"/>
      <c r="K312" s="11"/>
      <c r="L312" s="11"/>
      <c r="M312" s="11"/>
      <c r="N312" s="11"/>
      <c r="O312" s="11"/>
      <c r="P312" s="11"/>
      <c r="Q312" s="11"/>
      <c r="R312" s="11"/>
      <c r="S312" s="11"/>
      <c r="T312" s="11"/>
      <c r="U312" s="11"/>
      <c r="V312" s="11"/>
    </row>
    <row r="313" spans="1:22">
      <c r="A313" s="11"/>
      <c r="B313" s="11"/>
      <c r="C313" s="11"/>
      <c r="D313" s="11"/>
      <c r="E313" s="11"/>
      <c r="F313" s="11"/>
      <c r="G313" s="11"/>
      <c r="H313" s="11"/>
      <c r="I313" s="11"/>
      <c r="J313" s="11"/>
      <c r="K313" s="11"/>
      <c r="L313" s="11"/>
      <c r="M313" s="11"/>
      <c r="N313" s="11"/>
      <c r="O313" s="11"/>
      <c r="P313" s="11"/>
      <c r="Q313" s="11"/>
      <c r="R313" s="11"/>
      <c r="S313" s="11"/>
      <c r="T313" s="11"/>
      <c r="U313" s="11"/>
      <c r="V313" s="11"/>
    </row>
    <row r="314" spans="1:22">
      <c r="A314" s="11"/>
      <c r="B314" s="11"/>
      <c r="C314" s="11"/>
      <c r="D314" s="11"/>
      <c r="E314" s="11"/>
      <c r="F314" s="11"/>
      <c r="G314" s="11"/>
      <c r="H314" s="11"/>
      <c r="I314" s="11"/>
      <c r="J314" s="11"/>
      <c r="K314" s="11"/>
      <c r="L314" s="11"/>
      <c r="M314" s="11"/>
      <c r="N314" s="11"/>
      <c r="O314" s="11"/>
      <c r="P314" s="11"/>
      <c r="Q314" s="11"/>
      <c r="R314" s="11"/>
      <c r="S314" s="11"/>
      <c r="T314" s="11"/>
      <c r="U314" s="11"/>
      <c r="V314" s="11"/>
    </row>
    <row r="315" spans="1:22">
      <c r="A315" s="11"/>
      <c r="B315" s="11"/>
      <c r="C315" s="11"/>
      <c r="D315" s="11"/>
      <c r="E315" s="11"/>
      <c r="F315" s="11"/>
      <c r="G315" s="11"/>
      <c r="H315" s="11"/>
      <c r="I315" s="11"/>
      <c r="J315" s="11"/>
      <c r="K315" s="11"/>
      <c r="L315" s="11"/>
      <c r="M315" s="11"/>
      <c r="N315" s="11"/>
      <c r="O315" s="11"/>
      <c r="P315" s="11"/>
      <c r="Q315" s="11"/>
      <c r="R315" s="11"/>
      <c r="S315" s="11"/>
      <c r="T315" s="11"/>
      <c r="U315" s="11"/>
      <c r="V315" s="11"/>
    </row>
    <row r="316" spans="1:22">
      <c r="A316" s="11"/>
      <c r="B316" s="11"/>
      <c r="C316" s="11"/>
      <c r="D316" s="11"/>
      <c r="E316" s="11"/>
      <c r="F316" s="11"/>
      <c r="G316" s="11"/>
      <c r="H316" s="11"/>
      <c r="I316" s="11"/>
      <c r="J316" s="11"/>
      <c r="K316" s="11"/>
      <c r="L316" s="11"/>
      <c r="M316" s="11"/>
      <c r="N316" s="11"/>
      <c r="O316" s="11"/>
      <c r="P316" s="11"/>
      <c r="Q316" s="11"/>
      <c r="R316" s="11"/>
      <c r="S316" s="11"/>
      <c r="T316" s="11"/>
      <c r="U316" s="11"/>
      <c r="V316" s="11"/>
    </row>
    <row r="317" spans="1:22">
      <c r="A317" s="11"/>
      <c r="B317" s="11"/>
      <c r="C317" s="11"/>
      <c r="D317" s="11"/>
      <c r="E317" s="11"/>
      <c r="F317" s="11"/>
      <c r="G317" s="11"/>
      <c r="H317" s="11"/>
      <c r="I317" s="11"/>
      <c r="J317" s="11"/>
      <c r="K317" s="11"/>
      <c r="L317" s="11"/>
      <c r="M317" s="11"/>
      <c r="N317" s="11"/>
      <c r="O317" s="11"/>
      <c r="P317" s="11"/>
      <c r="Q317" s="11"/>
      <c r="R317" s="11"/>
      <c r="S317" s="11"/>
      <c r="T317" s="11"/>
      <c r="U317" s="11"/>
      <c r="V317" s="11"/>
    </row>
    <row r="318" spans="1:22">
      <c r="A318" s="11"/>
      <c r="B318" s="11"/>
      <c r="C318" s="11"/>
      <c r="D318" s="11"/>
      <c r="E318" s="11"/>
      <c r="F318" s="11"/>
      <c r="G318" s="11"/>
      <c r="H318" s="11"/>
      <c r="I318" s="11"/>
      <c r="J318" s="11"/>
      <c r="K318" s="11"/>
      <c r="L318" s="11"/>
      <c r="M318" s="11"/>
      <c r="N318" s="11"/>
      <c r="O318" s="11"/>
      <c r="P318" s="11"/>
      <c r="Q318" s="11"/>
      <c r="R318" s="11"/>
      <c r="S318" s="11"/>
      <c r="T318" s="11"/>
      <c r="U318" s="11"/>
      <c r="V318" s="11"/>
    </row>
    <row r="319" spans="1:22">
      <c r="A319" s="11"/>
      <c r="B319" s="11"/>
      <c r="C319" s="11"/>
      <c r="D319" s="11"/>
      <c r="E319" s="11"/>
      <c r="F319" s="11"/>
      <c r="G319" s="11"/>
      <c r="H319" s="11"/>
      <c r="I319" s="11"/>
      <c r="J319" s="11"/>
      <c r="K319" s="11"/>
      <c r="L319" s="11"/>
      <c r="M319" s="11"/>
      <c r="N319" s="11"/>
      <c r="O319" s="11"/>
      <c r="P319" s="11"/>
      <c r="Q319" s="11"/>
      <c r="R319" s="11"/>
      <c r="S319" s="11"/>
      <c r="T319" s="11"/>
      <c r="U319" s="11"/>
      <c r="V319" s="11"/>
    </row>
    <row r="320" spans="1:22">
      <c r="A320" s="11"/>
      <c r="B320" s="11"/>
      <c r="C320" s="11"/>
      <c r="D320" s="11"/>
      <c r="E320" s="11"/>
      <c r="F320" s="11"/>
      <c r="G320" s="11"/>
      <c r="H320" s="11"/>
      <c r="I320" s="11"/>
      <c r="J320" s="11"/>
      <c r="K320" s="11"/>
      <c r="L320" s="11"/>
      <c r="M320" s="11"/>
      <c r="N320" s="11"/>
      <c r="O320" s="11"/>
      <c r="P320" s="11"/>
      <c r="Q320" s="11"/>
      <c r="R320" s="11"/>
      <c r="S320" s="11"/>
      <c r="T320" s="11"/>
      <c r="U320" s="11"/>
      <c r="V320" s="11"/>
    </row>
    <row r="321" spans="1:22">
      <c r="A321" s="11"/>
      <c r="B321" s="11"/>
      <c r="C321" s="11"/>
      <c r="D321" s="11"/>
      <c r="E321" s="11"/>
      <c r="F321" s="11"/>
      <c r="G321" s="11"/>
      <c r="H321" s="11"/>
      <c r="I321" s="11"/>
      <c r="J321" s="11"/>
      <c r="K321" s="11"/>
      <c r="L321" s="11"/>
      <c r="M321" s="11"/>
      <c r="N321" s="11"/>
      <c r="O321" s="11"/>
      <c r="P321" s="11"/>
      <c r="Q321" s="11"/>
      <c r="R321" s="11"/>
      <c r="S321" s="11"/>
      <c r="T321" s="11"/>
      <c r="U321" s="11"/>
      <c r="V321" s="11"/>
    </row>
    <row r="322" spans="1:22">
      <c r="A322" s="11"/>
      <c r="B322" s="11"/>
      <c r="C322" s="11"/>
      <c r="D322" s="11"/>
      <c r="E322" s="11"/>
      <c r="F322" s="11"/>
      <c r="G322" s="11"/>
      <c r="H322" s="11"/>
      <c r="I322" s="11"/>
      <c r="J322" s="11"/>
      <c r="K322" s="11"/>
      <c r="L322" s="11"/>
      <c r="M322" s="11"/>
      <c r="N322" s="11"/>
      <c r="O322" s="11"/>
      <c r="P322" s="11"/>
      <c r="Q322" s="11"/>
      <c r="R322" s="11"/>
      <c r="S322" s="11"/>
      <c r="T322" s="11"/>
      <c r="U322" s="11"/>
      <c r="V322" s="11"/>
    </row>
    <row r="323" spans="1:22">
      <c r="A323" s="11"/>
      <c r="B323" s="11"/>
      <c r="C323" s="11"/>
      <c r="D323" s="11"/>
      <c r="E323" s="11"/>
      <c r="F323" s="11"/>
      <c r="G323" s="11"/>
      <c r="H323" s="11"/>
      <c r="I323" s="11"/>
      <c r="J323" s="11"/>
      <c r="K323" s="11"/>
      <c r="L323" s="11"/>
      <c r="M323" s="11"/>
      <c r="N323" s="11"/>
      <c r="O323" s="11"/>
      <c r="P323" s="11"/>
      <c r="Q323" s="11"/>
      <c r="R323" s="11"/>
      <c r="S323" s="11"/>
      <c r="T323" s="11"/>
      <c r="U323" s="11"/>
      <c r="V323" s="11"/>
    </row>
    <row r="324" spans="1:22">
      <c r="A324" s="11"/>
      <c r="B324" s="11"/>
      <c r="C324" s="11"/>
      <c r="D324" s="11"/>
      <c r="E324" s="11"/>
      <c r="F324" s="11"/>
      <c r="G324" s="11"/>
      <c r="H324" s="11"/>
      <c r="I324" s="11"/>
      <c r="J324" s="11"/>
      <c r="K324" s="11"/>
      <c r="L324" s="11"/>
      <c r="M324" s="11"/>
      <c r="N324" s="11"/>
      <c r="O324" s="11"/>
      <c r="P324" s="11"/>
      <c r="Q324" s="11"/>
      <c r="R324" s="11"/>
      <c r="S324" s="11"/>
      <c r="T324" s="11"/>
      <c r="U324" s="11"/>
      <c r="V324" s="11"/>
    </row>
    <row r="325" spans="1:22">
      <c r="A325" s="11"/>
      <c r="B325" s="11"/>
      <c r="C325" s="11"/>
      <c r="D325" s="11"/>
      <c r="E325" s="11"/>
      <c r="F325" s="11"/>
      <c r="G325" s="11"/>
      <c r="H325" s="11"/>
      <c r="I325" s="11"/>
      <c r="J325" s="11"/>
      <c r="K325" s="11"/>
      <c r="L325" s="11"/>
      <c r="M325" s="11"/>
      <c r="N325" s="11"/>
      <c r="O325" s="11"/>
      <c r="P325" s="11"/>
      <c r="Q325" s="11"/>
      <c r="R325" s="11"/>
      <c r="S325" s="11"/>
      <c r="T325" s="11"/>
      <c r="U325" s="11"/>
      <c r="V325" s="11"/>
    </row>
    <row r="326" spans="1:22">
      <c r="A326" s="11"/>
      <c r="B326" s="11"/>
      <c r="C326" s="11"/>
      <c r="D326" s="11"/>
      <c r="E326" s="11"/>
      <c r="F326" s="11"/>
      <c r="G326" s="11"/>
      <c r="H326" s="11"/>
      <c r="I326" s="11"/>
      <c r="J326" s="11"/>
      <c r="K326" s="11"/>
      <c r="L326" s="11"/>
      <c r="M326" s="11"/>
      <c r="N326" s="11"/>
      <c r="O326" s="11"/>
      <c r="P326" s="11"/>
      <c r="Q326" s="11"/>
      <c r="R326" s="11"/>
      <c r="S326" s="11"/>
      <c r="T326" s="11"/>
      <c r="U326" s="11"/>
      <c r="V326" s="11"/>
    </row>
    <row r="327" spans="1:22">
      <c r="A327" s="11"/>
      <c r="B327" s="11"/>
      <c r="C327" s="11"/>
      <c r="D327" s="11"/>
      <c r="E327" s="11"/>
      <c r="F327" s="11"/>
      <c r="G327" s="11"/>
      <c r="H327" s="11"/>
      <c r="I327" s="11"/>
      <c r="J327" s="11"/>
      <c r="K327" s="11"/>
      <c r="L327" s="11"/>
      <c r="M327" s="11"/>
      <c r="N327" s="11"/>
      <c r="O327" s="11"/>
      <c r="P327" s="11"/>
      <c r="Q327" s="11"/>
      <c r="R327" s="11"/>
      <c r="S327" s="11"/>
      <c r="T327" s="11"/>
      <c r="U327" s="11"/>
      <c r="V327" s="11"/>
    </row>
    <row r="328" spans="1:22">
      <c r="A328" s="11"/>
      <c r="B328" s="11"/>
      <c r="C328" s="11"/>
      <c r="D328" s="11"/>
      <c r="E328" s="11"/>
      <c r="F328" s="11"/>
      <c r="G328" s="11"/>
      <c r="H328" s="11"/>
      <c r="I328" s="11"/>
      <c r="J328" s="11"/>
      <c r="K328" s="11"/>
      <c r="L328" s="11"/>
      <c r="M328" s="11"/>
      <c r="N328" s="11"/>
      <c r="O328" s="11"/>
      <c r="P328" s="11"/>
      <c r="Q328" s="11"/>
      <c r="R328" s="11"/>
      <c r="S328" s="11"/>
      <c r="T328" s="11"/>
      <c r="U328" s="11"/>
      <c r="V328" s="11"/>
    </row>
    <row r="329" spans="1:22">
      <c r="A329" s="11"/>
      <c r="B329" s="11"/>
      <c r="C329" s="11"/>
      <c r="D329" s="11"/>
      <c r="E329" s="11"/>
      <c r="F329" s="11"/>
      <c r="G329" s="11"/>
      <c r="H329" s="11"/>
      <c r="I329" s="11"/>
      <c r="J329" s="11"/>
      <c r="K329" s="11"/>
      <c r="L329" s="11"/>
      <c r="M329" s="11"/>
      <c r="N329" s="11"/>
      <c r="O329" s="11"/>
      <c r="P329" s="11"/>
      <c r="Q329" s="11"/>
      <c r="R329" s="11"/>
      <c r="S329" s="11"/>
      <c r="T329" s="11"/>
      <c r="U329" s="11"/>
      <c r="V329" s="11"/>
    </row>
    <row r="330" spans="1:22">
      <c r="A330" s="11"/>
      <c r="B330" s="11"/>
      <c r="C330" s="11"/>
      <c r="D330" s="11"/>
      <c r="E330" s="11"/>
      <c r="F330" s="11"/>
      <c r="G330" s="11"/>
      <c r="H330" s="11"/>
      <c r="I330" s="11"/>
      <c r="J330" s="11"/>
      <c r="K330" s="11"/>
      <c r="L330" s="11"/>
      <c r="M330" s="11"/>
      <c r="N330" s="11"/>
      <c r="O330" s="11"/>
      <c r="P330" s="11"/>
      <c r="Q330" s="11"/>
      <c r="R330" s="11"/>
      <c r="S330" s="11"/>
      <c r="T330" s="11"/>
      <c r="U330" s="11"/>
      <c r="V330" s="11"/>
    </row>
    <row r="331" spans="1:22">
      <c r="A331" s="11"/>
      <c r="B331" s="11"/>
      <c r="C331" s="11"/>
      <c r="D331" s="11"/>
      <c r="E331" s="11"/>
      <c r="F331" s="11"/>
      <c r="G331" s="11"/>
      <c r="H331" s="11"/>
      <c r="I331" s="11"/>
      <c r="J331" s="11"/>
      <c r="K331" s="11"/>
      <c r="L331" s="11"/>
      <c r="M331" s="11"/>
      <c r="N331" s="11"/>
      <c r="O331" s="11"/>
      <c r="P331" s="11"/>
      <c r="Q331" s="11"/>
      <c r="R331" s="11"/>
      <c r="S331" s="11"/>
      <c r="T331" s="11"/>
      <c r="U331" s="11"/>
      <c r="V331" s="11"/>
    </row>
    <row r="332" spans="1:22">
      <c r="A332" s="11"/>
      <c r="B332" s="11"/>
      <c r="C332" s="11"/>
      <c r="D332" s="11"/>
      <c r="E332" s="11"/>
      <c r="F332" s="11"/>
      <c r="G332" s="11"/>
      <c r="H332" s="11"/>
      <c r="I332" s="11"/>
      <c r="J332" s="11"/>
      <c r="K332" s="11"/>
      <c r="L332" s="11"/>
      <c r="M332" s="11"/>
      <c r="N332" s="11"/>
      <c r="O332" s="11"/>
      <c r="P332" s="11"/>
      <c r="Q332" s="11"/>
      <c r="R332" s="11"/>
      <c r="S332" s="11"/>
      <c r="T332" s="11"/>
      <c r="U332" s="11"/>
      <c r="V332" s="11"/>
    </row>
    <row r="333" spans="1:22">
      <c r="A333" s="11"/>
      <c r="B333" s="11"/>
      <c r="C333" s="11"/>
      <c r="D333" s="11"/>
      <c r="E333" s="11"/>
      <c r="F333" s="11"/>
      <c r="G333" s="11"/>
      <c r="H333" s="11"/>
      <c r="I333" s="11"/>
      <c r="J333" s="11"/>
      <c r="K333" s="11"/>
      <c r="L333" s="11"/>
      <c r="M333" s="11"/>
      <c r="N333" s="11"/>
      <c r="O333" s="11"/>
      <c r="P333" s="11"/>
      <c r="Q333" s="11"/>
      <c r="R333" s="11"/>
      <c r="S333" s="11"/>
      <c r="T333" s="11"/>
      <c r="U333" s="11"/>
      <c r="V333" s="11"/>
    </row>
    <row r="334" spans="1:22">
      <c r="A334" s="11"/>
      <c r="B334" s="11"/>
      <c r="C334" s="11"/>
      <c r="D334" s="11"/>
      <c r="E334" s="11"/>
      <c r="F334" s="11"/>
      <c r="G334" s="11"/>
      <c r="H334" s="11"/>
      <c r="I334" s="11"/>
      <c r="J334" s="11"/>
      <c r="K334" s="11"/>
      <c r="L334" s="11"/>
      <c r="M334" s="11"/>
      <c r="N334" s="11"/>
      <c r="O334" s="11"/>
      <c r="P334" s="11"/>
      <c r="Q334" s="11"/>
      <c r="R334" s="11"/>
      <c r="S334" s="11"/>
      <c r="T334" s="11"/>
      <c r="U334" s="11"/>
      <c r="V334" s="11"/>
    </row>
    <row r="335" spans="1:22">
      <c r="A335" s="11"/>
      <c r="B335" s="11"/>
      <c r="C335" s="11"/>
      <c r="D335" s="11"/>
      <c r="E335" s="11"/>
      <c r="F335" s="11"/>
      <c r="G335" s="11"/>
      <c r="H335" s="11"/>
      <c r="I335" s="11"/>
      <c r="J335" s="11"/>
      <c r="K335" s="11"/>
      <c r="L335" s="11"/>
      <c r="M335" s="11"/>
      <c r="N335" s="11"/>
      <c r="O335" s="11"/>
      <c r="P335" s="11"/>
      <c r="Q335" s="11"/>
      <c r="R335" s="11"/>
      <c r="S335" s="11"/>
      <c r="T335" s="11"/>
      <c r="U335" s="11"/>
      <c r="V335" s="11"/>
    </row>
    <row r="336" spans="1:22">
      <c r="A336" s="11"/>
      <c r="B336" s="11"/>
      <c r="C336" s="11"/>
      <c r="D336" s="11"/>
      <c r="E336" s="11"/>
      <c r="F336" s="11"/>
      <c r="G336" s="11"/>
      <c r="H336" s="11"/>
      <c r="I336" s="11"/>
      <c r="J336" s="11"/>
      <c r="K336" s="11"/>
      <c r="L336" s="11"/>
      <c r="M336" s="11"/>
      <c r="N336" s="11"/>
      <c r="O336" s="11"/>
      <c r="P336" s="11"/>
      <c r="Q336" s="11"/>
      <c r="R336" s="11"/>
      <c r="S336" s="11"/>
      <c r="T336" s="11"/>
      <c r="U336" s="11"/>
      <c r="V336" s="11"/>
    </row>
    <row r="337" spans="1:22">
      <c r="A337" s="11"/>
      <c r="B337" s="11"/>
      <c r="C337" s="11"/>
      <c r="D337" s="11"/>
      <c r="E337" s="11"/>
      <c r="F337" s="11"/>
      <c r="G337" s="11"/>
      <c r="H337" s="11"/>
      <c r="I337" s="11"/>
      <c r="J337" s="11"/>
      <c r="K337" s="11"/>
      <c r="L337" s="11"/>
      <c r="M337" s="11"/>
      <c r="N337" s="11"/>
      <c r="O337" s="11"/>
      <c r="P337" s="11"/>
      <c r="Q337" s="11"/>
      <c r="R337" s="11"/>
      <c r="S337" s="11"/>
      <c r="T337" s="11"/>
      <c r="U337" s="11"/>
      <c r="V337" s="11"/>
    </row>
    <row r="338" spans="1:22">
      <c r="A338" s="11"/>
      <c r="B338" s="11"/>
      <c r="C338" s="11"/>
      <c r="D338" s="11"/>
      <c r="E338" s="11"/>
      <c r="F338" s="11"/>
      <c r="G338" s="11"/>
      <c r="H338" s="11"/>
      <c r="I338" s="11"/>
      <c r="J338" s="11"/>
      <c r="K338" s="11"/>
      <c r="L338" s="11"/>
      <c r="M338" s="11"/>
      <c r="N338" s="11"/>
      <c r="O338" s="11"/>
      <c r="P338" s="11"/>
      <c r="Q338" s="11"/>
      <c r="R338" s="11"/>
      <c r="S338" s="11"/>
      <c r="T338" s="11"/>
      <c r="U338" s="11"/>
      <c r="V338" s="11"/>
    </row>
    <row r="339" spans="1:22">
      <c r="A339" s="11"/>
      <c r="B339" s="11"/>
      <c r="C339" s="11"/>
      <c r="D339" s="11"/>
      <c r="E339" s="11"/>
      <c r="F339" s="11"/>
      <c r="G339" s="11"/>
      <c r="H339" s="11"/>
      <c r="I339" s="11"/>
      <c r="J339" s="11"/>
      <c r="K339" s="11"/>
      <c r="L339" s="11"/>
      <c r="M339" s="11"/>
      <c r="N339" s="11"/>
      <c r="O339" s="11"/>
      <c r="P339" s="11"/>
      <c r="Q339" s="11"/>
      <c r="R339" s="11"/>
      <c r="S339" s="11"/>
      <c r="T339" s="11"/>
      <c r="U339" s="11"/>
      <c r="V339" s="11"/>
    </row>
    <row r="340" spans="1:22">
      <c r="A340" s="11"/>
      <c r="B340" s="11"/>
      <c r="C340" s="11"/>
      <c r="D340" s="11"/>
      <c r="E340" s="11"/>
      <c r="F340" s="11"/>
      <c r="G340" s="11"/>
      <c r="H340" s="11"/>
      <c r="I340" s="11"/>
      <c r="J340" s="11"/>
      <c r="K340" s="11"/>
      <c r="L340" s="11"/>
      <c r="M340" s="11"/>
      <c r="N340" s="11"/>
      <c r="O340" s="11"/>
      <c r="P340" s="11"/>
      <c r="Q340" s="11"/>
      <c r="R340" s="11"/>
      <c r="S340" s="11"/>
      <c r="T340" s="11"/>
      <c r="U340" s="11"/>
      <c r="V340" s="11"/>
    </row>
    <row r="341" spans="1:22">
      <c r="A341" s="11"/>
      <c r="B341" s="11"/>
      <c r="C341" s="11"/>
      <c r="D341" s="11"/>
      <c r="E341" s="11"/>
      <c r="F341" s="11"/>
      <c r="G341" s="11"/>
      <c r="H341" s="11"/>
      <c r="I341" s="11"/>
      <c r="J341" s="11"/>
      <c r="K341" s="11"/>
      <c r="L341" s="11"/>
      <c r="M341" s="11"/>
      <c r="N341" s="11"/>
      <c r="O341" s="11"/>
      <c r="P341" s="11"/>
      <c r="Q341" s="11"/>
      <c r="R341" s="11"/>
      <c r="S341" s="11"/>
      <c r="T341" s="11"/>
      <c r="U341" s="11"/>
      <c r="V341" s="11"/>
    </row>
    <row r="342" spans="1:22">
      <c r="A342" s="11"/>
      <c r="B342" s="11"/>
      <c r="C342" s="11"/>
      <c r="D342" s="11"/>
      <c r="E342" s="11"/>
      <c r="F342" s="11"/>
      <c r="G342" s="11"/>
      <c r="H342" s="11"/>
      <c r="I342" s="11"/>
      <c r="J342" s="11"/>
      <c r="K342" s="11"/>
      <c r="L342" s="11"/>
      <c r="M342" s="11"/>
      <c r="N342" s="11"/>
      <c r="O342" s="11"/>
      <c r="P342" s="11"/>
      <c r="Q342" s="11"/>
      <c r="R342" s="11"/>
      <c r="S342" s="11"/>
      <c r="T342" s="11"/>
      <c r="U342" s="11"/>
      <c r="V342" s="11"/>
    </row>
    <row r="343" spans="1:22">
      <c r="A343" s="11"/>
      <c r="B343" s="11"/>
      <c r="C343" s="11"/>
      <c r="D343" s="11"/>
      <c r="E343" s="11"/>
      <c r="F343" s="11"/>
      <c r="G343" s="11"/>
      <c r="H343" s="11"/>
      <c r="I343" s="11"/>
      <c r="J343" s="11"/>
      <c r="K343" s="11"/>
      <c r="L343" s="11"/>
      <c r="M343" s="11"/>
      <c r="N343" s="11"/>
      <c r="O343" s="11"/>
      <c r="P343" s="11"/>
      <c r="Q343" s="11"/>
      <c r="R343" s="11"/>
      <c r="S343" s="11"/>
      <c r="T343" s="11"/>
      <c r="U343" s="11"/>
      <c r="V343" s="11"/>
    </row>
    <row r="344" spans="1:22">
      <c r="A344" s="11"/>
      <c r="B344" s="11"/>
      <c r="C344" s="11"/>
      <c r="D344" s="11"/>
      <c r="E344" s="11"/>
      <c r="F344" s="11"/>
      <c r="G344" s="11"/>
      <c r="H344" s="11"/>
      <c r="I344" s="11"/>
      <c r="J344" s="11"/>
      <c r="K344" s="11"/>
      <c r="L344" s="11"/>
      <c r="M344" s="11"/>
      <c r="N344" s="11"/>
      <c r="O344" s="11"/>
      <c r="P344" s="11"/>
      <c r="Q344" s="11"/>
      <c r="R344" s="11"/>
      <c r="S344" s="11"/>
      <c r="T344" s="11"/>
      <c r="U344" s="11"/>
      <c r="V344" s="11"/>
    </row>
    <row r="345" spans="1:22">
      <c r="A345" s="11"/>
      <c r="B345" s="11"/>
      <c r="C345" s="11"/>
      <c r="D345" s="11"/>
      <c r="E345" s="11"/>
      <c r="F345" s="11"/>
      <c r="G345" s="11"/>
      <c r="H345" s="11"/>
      <c r="I345" s="11"/>
      <c r="J345" s="11"/>
      <c r="K345" s="11"/>
      <c r="L345" s="11"/>
      <c r="M345" s="11"/>
      <c r="N345" s="11"/>
      <c r="O345" s="11"/>
      <c r="P345" s="11"/>
      <c r="Q345" s="11"/>
      <c r="R345" s="11"/>
      <c r="S345" s="11"/>
      <c r="T345" s="11"/>
      <c r="U345" s="11"/>
      <c r="V345" s="11"/>
    </row>
    <row r="346" spans="1:22">
      <c r="A346" s="11"/>
      <c r="B346" s="11"/>
      <c r="C346" s="11"/>
      <c r="D346" s="11"/>
      <c r="E346" s="11"/>
      <c r="F346" s="11"/>
      <c r="G346" s="11"/>
      <c r="H346" s="11"/>
      <c r="I346" s="11"/>
      <c r="J346" s="11"/>
      <c r="K346" s="11"/>
      <c r="L346" s="11"/>
      <c r="M346" s="11"/>
      <c r="N346" s="11"/>
      <c r="O346" s="11"/>
      <c r="P346" s="11"/>
      <c r="Q346" s="11"/>
      <c r="R346" s="11"/>
      <c r="S346" s="11"/>
      <c r="T346" s="11"/>
      <c r="U346" s="11"/>
      <c r="V346" s="11"/>
    </row>
    <row r="347" spans="1:22">
      <c r="A347" s="11"/>
      <c r="B347" s="11"/>
      <c r="C347" s="11"/>
      <c r="D347" s="11"/>
      <c r="E347" s="11"/>
      <c r="F347" s="11"/>
      <c r="G347" s="11"/>
      <c r="H347" s="11"/>
      <c r="I347" s="11"/>
      <c r="J347" s="11"/>
      <c r="K347" s="11"/>
      <c r="L347" s="11"/>
      <c r="M347" s="11"/>
      <c r="N347" s="11"/>
      <c r="O347" s="11"/>
      <c r="P347" s="11"/>
      <c r="Q347" s="11"/>
      <c r="R347" s="11"/>
      <c r="S347" s="11"/>
      <c r="T347" s="11"/>
      <c r="U347" s="11"/>
      <c r="V347" s="11"/>
    </row>
    <row r="348" spans="1:22">
      <c r="A348" s="11"/>
      <c r="B348" s="11"/>
      <c r="C348" s="11"/>
      <c r="D348" s="11"/>
      <c r="E348" s="11"/>
      <c r="F348" s="11"/>
      <c r="G348" s="11"/>
      <c r="H348" s="11"/>
      <c r="I348" s="11"/>
      <c r="J348" s="11"/>
      <c r="K348" s="11"/>
      <c r="L348" s="11"/>
      <c r="M348" s="11"/>
      <c r="N348" s="11"/>
      <c r="O348" s="11"/>
      <c r="P348" s="11"/>
      <c r="Q348" s="11"/>
      <c r="R348" s="11"/>
      <c r="S348" s="11"/>
      <c r="T348" s="11"/>
      <c r="U348" s="11"/>
      <c r="V348" s="11"/>
    </row>
    <row r="349" spans="1:22">
      <c r="A349" s="11"/>
      <c r="B349" s="11"/>
      <c r="C349" s="11"/>
      <c r="D349" s="11"/>
      <c r="E349" s="11"/>
      <c r="F349" s="11"/>
      <c r="G349" s="11"/>
      <c r="H349" s="11"/>
      <c r="I349" s="11"/>
      <c r="J349" s="11"/>
      <c r="K349" s="11"/>
      <c r="L349" s="11"/>
      <c r="M349" s="11"/>
      <c r="N349" s="11"/>
      <c r="O349" s="11"/>
      <c r="P349" s="11"/>
      <c r="Q349" s="11"/>
      <c r="R349" s="11"/>
      <c r="S349" s="11"/>
      <c r="T349" s="11"/>
      <c r="U349" s="11"/>
      <c r="V349" s="11"/>
    </row>
    <row r="350" spans="1:22">
      <c r="A350" s="11"/>
      <c r="B350" s="11"/>
      <c r="C350" s="11"/>
      <c r="D350" s="11"/>
      <c r="E350" s="11"/>
      <c r="F350" s="11"/>
      <c r="G350" s="11"/>
      <c r="H350" s="11"/>
      <c r="I350" s="11"/>
      <c r="J350" s="11"/>
      <c r="K350" s="11"/>
      <c r="L350" s="11"/>
      <c r="M350" s="11"/>
      <c r="N350" s="11"/>
      <c r="O350" s="11"/>
      <c r="P350" s="11"/>
      <c r="Q350" s="11"/>
      <c r="R350" s="11"/>
      <c r="S350" s="11"/>
      <c r="T350" s="11"/>
      <c r="U350" s="11"/>
      <c r="V350" s="11"/>
    </row>
    <row r="351" spans="1:22">
      <c r="A351" s="11"/>
      <c r="B351" s="11"/>
      <c r="C351" s="11"/>
      <c r="D351" s="11"/>
      <c r="E351" s="11"/>
      <c r="F351" s="11"/>
      <c r="G351" s="11"/>
      <c r="H351" s="11"/>
      <c r="I351" s="11"/>
      <c r="J351" s="11"/>
      <c r="K351" s="11"/>
      <c r="L351" s="11"/>
      <c r="M351" s="11"/>
      <c r="N351" s="11"/>
      <c r="O351" s="11"/>
      <c r="P351" s="11"/>
      <c r="Q351" s="11"/>
      <c r="R351" s="11"/>
      <c r="S351" s="11"/>
      <c r="T351" s="11"/>
      <c r="U351" s="11"/>
      <c r="V351" s="11"/>
    </row>
    <row r="352" spans="1:22">
      <c r="A352" s="11"/>
      <c r="B352" s="11"/>
      <c r="C352" s="11"/>
      <c r="D352" s="11"/>
      <c r="E352" s="11"/>
      <c r="F352" s="11"/>
      <c r="G352" s="11"/>
      <c r="H352" s="11"/>
      <c r="I352" s="11"/>
      <c r="J352" s="11"/>
      <c r="K352" s="11"/>
      <c r="L352" s="11"/>
      <c r="M352" s="11"/>
      <c r="N352" s="11"/>
      <c r="O352" s="11"/>
      <c r="P352" s="11"/>
      <c r="Q352" s="11"/>
      <c r="R352" s="11"/>
      <c r="S352" s="11"/>
      <c r="T352" s="11"/>
      <c r="U352" s="11"/>
      <c r="V352" s="11"/>
    </row>
    <row r="353" spans="1:22">
      <c r="A353" s="11"/>
      <c r="B353" s="11"/>
      <c r="C353" s="11"/>
      <c r="D353" s="11"/>
      <c r="E353" s="11"/>
      <c r="F353" s="11"/>
      <c r="G353" s="11"/>
      <c r="H353" s="11"/>
      <c r="I353" s="11"/>
      <c r="J353" s="11"/>
      <c r="K353" s="11"/>
      <c r="L353" s="11"/>
      <c r="M353" s="11"/>
      <c r="N353" s="11"/>
      <c r="O353" s="11"/>
      <c r="P353" s="11"/>
      <c r="Q353" s="11"/>
      <c r="R353" s="11"/>
      <c r="S353" s="11"/>
      <c r="T353" s="11"/>
      <c r="U353" s="11"/>
      <c r="V353" s="11"/>
    </row>
    <row r="354" spans="1:22">
      <c r="A354" s="11"/>
      <c r="B354" s="11"/>
      <c r="C354" s="11"/>
      <c r="D354" s="11"/>
      <c r="E354" s="11"/>
      <c r="F354" s="11"/>
      <c r="G354" s="11"/>
      <c r="H354" s="11"/>
      <c r="I354" s="11"/>
      <c r="J354" s="11"/>
      <c r="K354" s="11"/>
      <c r="L354" s="11"/>
      <c r="M354" s="11"/>
      <c r="N354" s="11"/>
      <c r="O354" s="11"/>
      <c r="P354" s="11"/>
      <c r="Q354" s="11"/>
      <c r="R354" s="11"/>
      <c r="S354" s="11"/>
      <c r="T354" s="11"/>
      <c r="U354" s="11"/>
      <c r="V354" s="11"/>
    </row>
    <row r="355" spans="1:22">
      <c r="A355" s="11"/>
      <c r="B355" s="11"/>
      <c r="C355" s="11"/>
      <c r="D355" s="11"/>
      <c r="E355" s="11"/>
      <c r="F355" s="11"/>
      <c r="G355" s="11"/>
      <c r="H355" s="11"/>
      <c r="I355" s="11"/>
      <c r="J355" s="11"/>
      <c r="K355" s="11"/>
      <c r="L355" s="11"/>
      <c r="M355" s="11"/>
      <c r="N355" s="11"/>
      <c r="O355" s="11"/>
      <c r="P355" s="11"/>
      <c r="Q355" s="11"/>
      <c r="R355" s="11"/>
      <c r="S355" s="11"/>
      <c r="T355" s="11"/>
      <c r="U355" s="11"/>
      <c r="V355" s="11"/>
    </row>
    <row r="356" spans="1:22">
      <c r="A356" s="11"/>
      <c r="B356" s="11"/>
      <c r="C356" s="11"/>
      <c r="D356" s="11"/>
      <c r="E356" s="11"/>
      <c r="F356" s="11"/>
      <c r="G356" s="11"/>
      <c r="H356" s="11"/>
      <c r="I356" s="11"/>
      <c r="J356" s="11"/>
      <c r="K356" s="11"/>
      <c r="L356" s="11"/>
      <c r="M356" s="11"/>
      <c r="N356" s="11"/>
      <c r="O356" s="11"/>
      <c r="P356" s="11"/>
      <c r="Q356" s="11"/>
      <c r="R356" s="11"/>
      <c r="S356" s="11"/>
      <c r="T356" s="11"/>
      <c r="U356" s="11"/>
      <c r="V356" s="11"/>
    </row>
    <row r="357" spans="1:22">
      <c r="A357" s="11"/>
      <c r="B357" s="11"/>
      <c r="C357" s="11"/>
      <c r="D357" s="11"/>
      <c r="E357" s="11"/>
      <c r="F357" s="11"/>
      <c r="G357" s="11"/>
      <c r="H357" s="11"/>
      <c r="I357" s="11"/>
      <c r="J357" s="11"/>
      <c r="K357" s="11"/>
      <c r="L357" s="11"/>
      <c r="M357" s="11"/>
      <c r="N357" s="11"/>
      <c r="O357" s="11"/>
      <c r="P357" s="11"/>
      <c r="Q357" s="11"/>
      <c r="R357" s="11"/>
      <c r="S357" s="11"/>
      <c r="T357" s="11"/>
      <c r="U357" s="11"/>
      <c r="V357" s="11"/>
    </row>
    <row r="358" spans="1:22">
      <c r="A358" s="11"/>
      <c r="B358" s="11"/>
      <c r="C358" s="11"/>
      <c r="D358" s="11"/>
      <c r="E358" s="11"/>
      <c r="F358" s="11"/>
      <c r="G358" s="11"/>
      <c r="H358" s="11"/>
      <c r="I358" s="11"/>
      <c r="J358" s="11"/>
      <c r="K358" s="11"/>
      <c r="L358" s="11"/>
      <c r="M358" s="11"/>
      <c r="N358" s="11"/>
      <c r="O358" s="11"/>
      <c r="P358" s="11"/>
      <c r="Q358" s="11"/>
      <c r="R358" s="11"/>
      <c r="S358" s="11"/>
      <c r="T358" s="11"/>
      <c r="U358" s="11"/>
      <c r="V358" s="11"/>
    </row>
    <row r="359" spans="1:22">
      <c r="A359" s="11"/>
      <c r="B359" s="11"/>
      <c r="C359" s="11"/>
      <c r="D359" s="11"/>
      <c r="E359" s="11"/>
      <c r="F359" s="11"/>
      <c r="G359" s="11"/>
      <c r="H359" s="11"/>
      <c r="I359" s="11"/>
      <c r="J359" s="11"/>
      <c r="K359" s="11"/>
      <c r="L359" s="11"/>
      <c r="M359" s="11"/>
      <c r="N359" s="11"/>
      <c r="O359" s="11"/>
      <c r="P359" s="11"/>
      <c r="Q359" s="11"/>
      <c r="R359" s="11"/>
      <c r="S359" s="11"/>
      <c r="T359" s="11"/>
      <c r="U359" s="11"/>
      <c r="V359" s="11"/>
    </row>
    <row r="360" spans="1:22">
      <c r="A360" s="11"/>
      <c r="B360" s="11"/>
      <c r="C360" s="11"/>
      <c r="D360" s="11"/>
      <c r="E360" s="11"/>
      <c r="F360" s="11"/>
      <c r="G360" s="11"/>
      <c r="H360" s="11"/>
      <c r="I360" s="11"/>
      <c r="J360" s="11"/>
      <c r="K360" s="11"/>
      <c r="L360" s="11"/>
      <c r="M360" s="11"/>
      <c r="N360" s="11"/>
      <c r="O360" s="11"/>
      <c r="P360" s="11"/>
      <c r="Q360" s="11"/>
      <c r="R360" s="11"/>
      <c r="S360" s="11"/>
      <c r="T360" s="11"/>
      <c r="U360" s="11"/>
      <c r="V360" s="11"/>
    </row>
    <row r="361" spans="1:22">
      <c r="A361" s="11"/>
      <c r="B361" s="11"/>
      <c r="C361" s="11"/>
      <c r="D361" s="11"/>
      <c r="E361" s="11"/>
      <c r="F361" s="11"/>
      <c r="G361" s="11"/>
      <c r="H361" s="11"/>
      <c r="I361" s="11"/>
      <c r="J361" s="11"/>
      <c r="K361" s="11"/>
      <c r="L361" s="11"/>
      <c r="M361" s="11"/>
      <c r="N361" s="11"/>
      <c r="O361" s="11"/>
      <c r="P361" s="11"/>
      <c r="Q361" s="11"/>
      <c r="R361" s="11"/>
      <c r="S361" s="11"/>
      <c r="T361" s="11"/>
      <c r="U361" s="11"/>
      <c r="V361" s="11"/>
    </row>
    <row r="362" spans="1:22">
      <c r="A362" s="11"/>
      <c r="B362" s="11"/>
      <c r="C362" s="11"/>
      <c r="D362" s="11"/>
      <c r="E362" s="11"/>
      <c r="F362" s="11"/>
      <c r="G362" s="11"/>
      <c r="H362" s="11"/>
      <c r="I362" s="11"/>
      <c r="J362" s="11"/>
      <c r="K362" s="11"/>
      <c r="L362" s="11"/>
      <c r="M362" s="11"/>
      <c r="N362" s="11"/>
      <c r="O362" s="11"/>
      <c r="P362" s="11"/>
      <c r="Q362" s="11"/>
      <c r="R362" s="11"/>
      <c r="S362" s="11"/>
      <c r="T362" s="11"/>
      <c r="U362" s="11"/>
      <c r="V362" s="11"/>
    </row>
    <row r="363" spans="1:22">
      <c r="A363" s="11"/>
      <c r="B363" s="11"/>
      <c r="C363" s="11"/>
      <c r="D363" s="11"/>
      <c r="E363" s="11"/>
      <c r="F363" s="11"/>
      <c r="G363" s="11"/>
      <c r="H363" s="11"/>
      <c r="I363" s="11"/>
      <c r="J363" s="11"/>
      <c r="K363" s="11"/>
      <c r="L363" s="11"/>
      <c r="M363" s="11"/>
      <c r="N363" s="11"/>
      <c r="O363" s="11"/>
      <c r="P363" s="11"/>
      <c r="Q363" s="11"/>
      <c r="R363" s="11"/>
      <c r="S363" s="11"/>
      <c r="T363" s="11"/>
      <c r="U363" s="11"/>
      <c r="V363" s="11"/>
    </row>
    <row r="364" spans="1:22">
      <c r="A364" s="11"/>
      <c r="B364" s="11"/>
      <c r="C364" s="11"/>
      <c r="D364" s="11"/>
      <c r="E364" s="11"/>
      <c r="F364" s="11"/>
      <c r="G364" s="11"/>
      <c r="H364" s="11"/>
      <c r="I364" s="11"/>
      <c r="J364" s="11"/>
      <c r="K364" s="11"/>
      <c r="L364" s="11"/>
      <c r="M364" s="11"/>
      <c r="N364" s="11"/>
      <c r="O364" s="11"/>
      <c r="P364" s="11"/>
      <c r="Q364" s="11"/>
      <c r="R364" s="11"/>
      <c r="S364" s="11"/>
      <c r="T364" s="11"/>
      <c r="U364" s="11"/>
      <c r="V364" s="11"/>
    </row>
    <row r="365" spans="1:22">
      <c r="A365" s="11"/>
      <c r="B365" s="11"/>
      <c r="C365" s="11"/>
      <c r="D365" s="11"/>
      <c r="E365" s="11"/>
      <c r="F365" s="11"/>
      <c r="G365" s="11"/>
      <c r="H365" s="11"/>
      <c r="I365" s="11"/>
      <c r="J365" s="11"/>
      <c r="K365" s="11"/>
      <c r="L365" s="11"/>
      <c r="M365" s="11"/>
      <c r="N365" s="11"/>
      <c r="O365" s="11"/>
      <c r="P365" s="11"/>
      <c r="Q365" s="11"/>
      <c r="R365" s="11"/>
      <c r="S365" s="11"/>
      <c r="T365" s="11"/>
      <c r="U365" s="11"/>
      <c r="V365" s="11"/>
    </row>
    <row r="366" spans="1:22">
      <c r="A366" s="11"/>
      <c r="B366" s="11"/>
      <c r="C366" s="11"/>
      <c r="D366" s="11"/>
      <c r="E366" s="11"/>
      <c r="F366" s="11"/>
      <c r="G366" s="11"/>
      <c r="H366" s="11"/>
      <c r="I366" s="11"/>
      <c r="J366" s="11"/>
      <c r="K366" s="11"/>
      <c r="L366" s="11"/>
      <c r="M366" s="11"/>
      <c r="N366" s="11"/>
      <c r="O366" s="11"/>
      <c r="P366" s="11"/>
      <c r="Q366" s="11"/>
      <c r="R366" s="11"/>
      <c r="S366" s="11"/>
      <c r="T366" s="11"/>
      <c r="U366" s="11"/>
      <c r="V366" s="11"/>
    </row>
    <row r="367" spans="1:22">
      <c r="A367" s="11"/>
      <c r="B367" s="11"/>
      <c r="C367" s="11"/>
      <c r="D367" s="11"/>
      <c r="E367" s="11"/>
      <c r="F367" s="11"/>
      <c r="G367" s="11"/>
      <c r="H367" s="11"/>
      <c r="I367" s="11"/>
      <c r="J367" s="11"/>
      <c r="K367" s="11"/>
      <c r="L367" s="11"/>
      <c r="M367" s="11"/>
      <c r="N367" s="11"/>
      <c r="O367" s="11"/>
      <c r="P367" s="11"/>
      <c r="Q367" s="11"/>
      <c r="R367" s="11"/>
      <c r="S367" s="11"/>
      <c r="T367" s="11"/>
      <c r="U367" s="11"/>
      <c r="V367" s="11"/>
    </row>
    <row r="368" spans="1:22">
      <c r="A368" s="11"/>
      <c r="B368" s="11"/>
      <c r="C368" s="11"/>
      <c r="D368" s="11"/>
      <c r="E368" s="11"/>
      <c r="F368" s="11"/>
      <c r="G368" s="11"/>
      <c r="H368" s="11"/>
      <c r="I368" s="11"/>
      <c r="J368" s="11"/>
      <c r="K368" s="11"/>
      <c r="L368" s="11"/>
      <c r="M368" s="11"/>
      <c r="N368" s="11"/>
      <c r="O368" s="11"/>
      <c r="P368" s="11"/>
      <c r="Q368" s="11"/>
      <c r="R368" s="11"/>
      <c r="S368" s="11"/>
      <c r="T368" s="11"/>
      <c r="U368" s="11"/>
      <c r="V368" s="11"/>
    </row>
    <row r="369" spans="1:22">
      <c r="A369" s="11"/>
      <c r="B369" s="11"/>
      <c r="C369" s="11"/>
      <c r="D369" s="11"/>
      <c r="E369" s="11"/>
      <c r="F369" s="11"/>
      <c r="G369" s="11"/>
      <c r="H369" s="11"/>
      <c r="I369" s="11"/>
      <c r="J369" s="11"/>
      <c r="K369" s="11"/>
      <c r="L369" s="11"/>
      <c r="M369" s="11"/>
      <c r="N369" s="11"/>
      <c r="O369" s="11"/>
      <c r="P369" s="11"/>
      <c r="Q369" s="11"/>
      <c r="R369" s="11"/>
      <c r="S369" s="11"/>
      <c r="T369" s="11"/>
      <c r="U369" s="11"/>
      <c r="V369" s="11"/>
    </row>
    <row r="370" spans="1:22">
      <c r="A370" s="11"/>
      <c r="B370" s="11"/>
      <c r="C370" s="11"/>
      <c r="D370" s="11"/>
      <c r="E370" s="11"/>
      <c r="F370" s="11"/>
      <c r="G370" s="11"/>
      <c r="H370" s="11"/>
      <c r="I370" s="11"/>
      <c r="J370" s="11"/>
      <c r="K370" s="11"/>
      <c r="L370" s="11"/>
      <c r="M370" s="11"/>
      <c r="N370" s="11"/>
      <c r="O370" s="11"/>
      <c r="P370" s="11"/>
      <c r="Q370" s="11"/>
      <c r="R370" s="11"/>
      <c r="S370" s="11"/>
      <c r="T370" s="11"/>
      <c r="U370" s="11"/>
      <c r="V370" s="11"/>
    </row>
    <row r="371" spans="1:22">
      <c r="A371" s="11"/>
      <c r="B371" s="11"/>
      <c r="C371" s="11"/>
      <c r="D371" s="11"/>
      <c r="E371" s="11"/>
      <c r="F371" s="11"/>
      <c r="G371" s="11"/>
      <c r="H371" s="11"/>
      <c r="I371" s="11"/>
      <c r="J371" s="11"/>
      <c r="K371" s="11"/>
      <c r="L371" s="11"/>
      <c r="M371" s="11"/>
      <c r="N371" s="11"/>
      <c r="O371" s="11"/>
      <c r="P371" s="11"/>
      <c r="Q371" s="11"/>
      <c r="R371" s="11"/>
      <c r="S371" s="11"/>
      <c r="T371" s="11"/>
      <c r="U371" s="11"/>
      <c r="V371" s="11"/>
    </row>
    <row r="372" spans="1:22">
      <c r="A372" s="11"/>
      <c r="B372" s="11"/>
      <c r="C372" s="11"/>
      <c r="D372" s="11"/>
      <c r="E372" s="11"/>
      <c r="F372" s="11"/>
      <c r="G372" s="11"/>
      <c r="H372" s="11"/>
      <c r="I372" s="11"/>
      <c r="J372" s="11"/>
      <c r="K372" s="11"/>
      <c r="L372" s="11"/>
      <c r="M372" s="11"/>
      <c r="N372" s="11"/>
      <c r="O372" s="11"/>
      <c r="P372" s="11"/>
      <c r="Q372" s="11"/>
      <c r="R372" s="11"/>
      <c r="S372" s="11"/>
      <c r="T372" s="11"/>
      <c r="U372" s="11"/>
      <c r="V372" s="11"/>
    </row>
    <row r="373" spans="1:22">
      <c r="A373" s="11"/>
      <c r="B373" s="11"/>
      <c r="C373" s="11"/>
      <c r="D373" s="11"/>
      <c r="E373" s="11"/>
      <c r="F373" s="11"/>
      <c r="G373" s="11"/>
      <c r="H373" s="11"/>
      <c r="I373" s="11"/>
      <c r="J373" s="11"/>
      <c r="K373" s="11"/>
      <c r="L373" s="11"/>
      <c r="M373" s="11"/>
      <c r="N373" s="11"/>
      <c r="O373" s="11"/>
      <c r="P373" s="11"/>
      <c r="Q373" s="11"/>
      <c r="R373" s="11"/>
      <c r="S373" s="11"/>
      <c r="T373" s="11"/>
      <c r="U373" s="11"/>
      <c r="V373" s="11"/>
    </row>
    <row r="374" spans="1:22">
      <c r="A374" s="11"/>
      <c r="B374" s="11"/>
      <c r="C374" s="11"/>
      <c r="D374" s="11"/>
      <c r="E374" s="11"/>
      <c r="F374" s="11"/>
      <c r="G374" s="11"/>
      <c r="H374" s="11"/>
      <c r="I374" s="11"/>
      <c r="J374" s="11"/>
      <c r="K374" s="11"/>
      <c r="L374" s="11"/>
      <c r="M374" s="11"/>
      <c r="N374" s="11"/>
      <c r="O374" s="11"/>
      <c r="P374" s="11"/>
      <c r="Q374" s="11"/>
      <c r="R374" s="11"/>
      <c r="S374" s="11"/>
      <c r="T374" s="11"/>
      <c r="U374" s="11"/>
      <c r="V374" s="11"/>
    </row>
    <row r="375" spans="1:22">
      <c r="A375" s="11"/>
      <c r="B375" s="11"/>
      <c r="C375" s="11"/>
      <c r="D375" s="11"/>
      <c r="E375" s="11"/>
      <c r="F375" s="11"/>
      <c r="G375" s="11"/>
      <c r="H375" s="11"/>
      <c r="I375" s="11"/>
      <c r="J375" s="11"/>
      <c r="K375" s="11"/>
      <c r="L375" s="11"/>
      <c r="M375" s="11"/>
      <c r="N375" s="11"/>
      <c r="O375" s="11"/>
      <c r="P375" s="11"/>
      <c r="Q375" s="11"/>
      <c r="R375" s="11"/>
      <c r="S375" s="11"/>
      <c r="T375" s="11"/>
      <c r="U375" s="11"/>
      <c r="V375" s="11"/>
    </row>
    <row r="376" spans="1:22">
      <c r="A376" s="11"/>
      <c r="B376" s="11"/>
      <c r="C376" s="11"/>
      <c r="D376" s="11"/>
      <c r="E376" s="11"/>
      <c r="F376" s="11"/>
      <c r="G376" s="11"/>
      <c r="H376" s="11"/>
      <c r="I376" s="11"/>
      <c r="J376" s="11"/>
      <c r="K376" s="11"/>
      <c r="L376" s="11"/>
      <c r="M376" s="11"/>
      <c r="N376" s="11"/>
      <c r="O376" s="11"/>
      <c r="P376" s="11"/>
      <c r="Q376" s="11"/>
      <c r="R376" s="11"/>
      <c r="S376" s="11"/>
      <c r="T376" s="11"/>
      <c r="U376" s="11"/>
      <c r="V376" s="11"/>
    </row>
    <row r="377" spans="1:22">
      <c r="A377" s="11"/>
      <c r="B377" s="11"/>
      <c r="C377" s="11"/>
      <c r="D377" s="11"/>
      <c r="E377" s="11"/>
      <c r="F377" s="11"/>
      <c r="G377" s="11"/>
      <c r="H377" s="11"/>
      <c r="I377" s="11"/>
      <c r="J377" s="11"/>
      <c r="K377" s="11"/>
      <c r="L377" s="11"/>
      <c r="M377" s="11"/>
      <c r="N377" s="11"/>
      <c r="O377" s="11"/>
      <c r="P377" s="11"/>
      <c r="Q377" s="11"/>
      <c r="R377" s="11"/>
      <c r="S377" s="11"/>
      <c r="T377" s="11"/>
      <c r="U377" s="11"/>
      <c r="V377" s="11"/>
    </row>
    <row r="378" spans="1:22">
      <c r="A378" s="11"/>
      <c r="B378" s="11"/>
      <c r="C378" s="11"/>
      <c r="D378" s="11"/>
      <c r="E378" s="11"/>
      <c r="F378" s="11"/>
      <c r="G378" s="11"/>
      <c r="H378" s="11"/>
      <c r="I378" s="11"/>
      <c r="J378" s="11"/>
      <c r="K378" s="11"/>
      <c r="L378" s="11"/>
      <c r="M378" s="11"/>
      <c r="N378" s="11"/>
      <c r="O378" s="11"/>
      <c r="P378" s="11"/>
      <c r="Q378" s="11"/>
      <c r="R378" s="11"/>
      <c r="S378" s="11"/>
      <c r="T378" s="11"/>
      <c r="U378" s="11"/>
      <c r="V378" s="11"/>
    </row>
    <row r="379" spans="1:22">
      <c r="A379" s="11"/>
      <c r="B379" s="11"/>
      <c r="C379" s="11"/>
      <c r="D379" s="11"/>
      <c r="E379" s="11"/>
      <c r="F379" s="11"/>
      <c r="G379" s="11"/>
      <c r="H379" s="11"/>
      <c r="I379" s="11"/>
      <c r="J379" s="11"/>
      <c r="K379" s="11"/>
      <c r="L379" s="11"/>
      <c r="M379" s="11"/>
      <c r="N379" s="11"/>
      <c r="O379" s="11"/>
      <c r="P379" s="11"/>
      <c r="Q379" s="11"/>
      <c r="R379" s="11"/>
      <c r="S379" s="11"/>
      <c r="T379" s="11"/>
      <c r="U379" s="11"/>
      <c r="V379" s="11"/>
    </row>
    <row r="380" spans="1:22">
      <c r="A380" s="11"/>
      <c r="B380" s="11"/>
      <c r="C380" s="11"/>
      <c r="D380" s="11"/>
      <c r="E380" s="11"/>
      <c r="F380" s="11"/>
      <c r="G380" s="11"/>
      <c r="H380" s="11"/>
      <c r="I380" s="11"/>
      <c r="J380" s="11"/>
      <c r="K380" s="11"/>
      <c r="L380" s="11"/>
      <c r="M380" s="11"/>
      <c r="N380" s="11"/>
      <c r="O380" s="11"/>
      <c r="P380" s="11"/>
      <c r="Q380" s="11"/>
      <c r="R380" s="11"/>
      <c r="S380" s="11"/>
      <c r="T380" s="11"/>
      <c r="U380" s="11"/>
      <c r="V380" s="11"/>
    </row>
    <row r="381" spans="1:22">
      <c r="A381" s="11"/>
      <c r="B381" s="11"/>
      <c r="C381" s="11"/>
      <c r="D381" s="11"/>
      <c r="E381" s="11"/>
      <c r="F381" s="11"/>
      <c r="G381" s="11"/>
      <c r="H381" s="11"/>
      <c r="I381" s="11"/>
      <c r="J381" s="11"/>
      <c r="K381" s="11"/>
      <c r="L381" s="11"/>
      <c r="M381" s="11"/>
      <c r="N381" s="11"/>
      <c r="O381" s="11"/>
      <c r="P381" s="11"/>
      <c r="Q381" s="11"/>
      <c r="R381" s="11"/>
      <c r="S381" s="11"/>
      <c r="T381" s="11"/>
      <c r="U381" s="11"/>
      <c r="V381" s="11"/>
    </row>
    <row r="382" spans="1:22">
      <c r="A382" s="11"/>
      <c r="B382" s="11"/>
      <c r="C382" s="11"/>
      <c r="D382" s="11"/>
      <c r="E382" s="11"/>
      <c r="F382" s="11"/>
      <c r="G382" s="11"/>
      <c r="H382" s="11"/>
      <c r="I382" s="11"/>
      <c r="J382" s="11"/>
      <c r="K382" s="11"/>
      <c r="L382" s="11"/>
      <c r="M382" s="11"/>
      <c r="N382" s="11"/>
      <c r="O382" s="11"/>
      <c r="P382" s="11"/>
      <c r="Q382" s="11"/>
      <c r="R382" s="11"/>
      <c r="S382" s="11"/>
      <c r="T382" s="11"/>
      <c r="U382" s="11"/>
      <c r="V382" s="11"/>
    </row>
    <row r="383" spans="1:22">
      <c r="A383" s="11"/>
      <c r="B383" s="11"/>
      <c r="C383" s="11"/>
      <c r="D383" s="11"/>
      <c r="E383" s="11"/>
      <c r="F383" s="11"/>
      <c r="G383" s="11"/>
      <c r="H383" s="11"/>
      <c r="I383" s="11"/>
      <c r="J383" s="11"/>
      <c r="K383" s="11"/>
      <c r="L383" s="11"/>
      <c r="M383" s="11"/>
      <c r="N383" s="11"/>
      <c r="O383" s="11"/>
      <c r="P383" s="11"/>
      <c r="Q383" s="11"/>
      <c r="R383" s="11"/>
      <c r="S383" s="11"/>
      <c r="T383" s="11"/>
      <c r="U383" s="11"/>
      <c r="V383" s="11"/>
    </row>
    <row r="384" spans="1:22">
      <c r="A384" s="11"/>
      <c r="B384" s="11"/>
      <c r="C384" s="11"/>
      <c r="D384" s="11"/>
      <c r="E384" s="11"/>
      <c r="F384" s="11"/>
      <c r="G384" s="11"/>
      <c r="H384" s="11"/>
      <c r="I384" s="11"/>
      <c r="J384" s="11"/>
      <c r="K384" s="11"/>
      <c r="L384" s="11"/>
      <c r="M384" s="11"/>
      <c r="N384" s="11"/>
      <c r="O384" s="11"/>
      <c r="P384" s="11"/>
      <c r="Q384" s="11"/>
      <c r="R384" s="11"/>
      <c r="S384" s="11"/>
      <c r="T384" s="11"/>
      <c r="U384" s="11"/>
      <c r="V384" s="11"/>
    </row>
    <row r="385" spans="1:22">
      <c r="A385" s="11"/>
      <c r="B385" s="11"/>
      <c r="C385" s="11"/>
      <c r="D385" s="11"/>
      <c r="E385" s="11"/>
      <c r="F385" s="11"/>
      <c r="G385" s="11"/>
      <c r="H385" s="11"/>
      <c r="I385" s="11"/>
      <c r="J385" s="11"/>
      <c r="K385" s="11"/>
      <c r="L385" s="11"/>
      <c r="M385" s="11"/>
      <c r="N385" s="11"/>
      <c r="O385" s="11"/>
      <c r="P385" s="11"/>
      <c r="Q385" s="11"/>
      <c r="R385" s="11"/>
      <c r="S385" s="11"/>
      <c r="T385" s="11"/>
      <c r="U385" s="11"/>
      <c r="V385" s="11"/>
    </row>
    <row r="386" spans="1:22">
      <c r="A386" s="11"/>
      <c r="B386" s="11"/>
      <c r="C386" s="11"/>
      <c r="D386" s="11"/>
      <c r="E386" s="11"/>
      <c r="F386" s="11"/>
      <c r="G386" s="11"/>
      <c r="H386" s="11"/>
      <c r="I386" s="11"/>
      <c r="J386" s="11"/>
      <c r="K386" s="11"/>
      <c r="L386" s="11"/>
      <c r="M386" s="11"/>
      <c r="N386" s="11"/>
      <c r="O386" s="11"/>
      <c r="P386" s="11"/>
      <c r="Q386" s="11"/>
      <c r="R386" s="11"/>
      <c r="S386" s="11"/>
      <c r="T386" s="11"/>
      <c r="U386" s="11"/>
      <c r="V386" s="11"/>
    </row>
    <row r="387" spans="1:22">
      <c r="A387" s="11"/>
      <c r="B387" s="11"/>
      <c r="C387" s="11"/>
      <c r="D387" s="11"/>
      <c r="E387" s="11"/>
      <c r="F387" s="11"/>
      <c r="G387" s="11"/>
      <c r="H387" s="11"/>
      <c r="I387" s="11"/>
      <c r="J387" s="11"/>
      <c r="K387" s="11"/>
      <c r="L387" s="11"/>
      <c r="M387" s="11"/>
      <c r="N387" s="11"/>
      <c r="O387" s="11"/>
      <c r="P387" s="11"/>
      <c r="Q387" s="11"/>
      <c r="R387" s="11"/>
      <c r="S387" s="11"/>
      <c r="T387" s="11"/>
      <c r="U387" s="11"/>
      <c r="V387" s="11"/>
    </row>
    <row r="388" spans="1:22">
      <c r="A388" s="11"/>
      <c r="B388" s="11"/>
      <c r="C388" s="11"/>
      <c r="D388" s="11"/>
      <c r="E388" s="11"/>
      <c r="F388" s="11"/>
      <c r="G388" s="11"/>
      <c r="H388" s="11"/>
      <c r="I388" s="11"/>
      <c r="J388" s="11"/>
      <c r="K388" s="11"/>
      <c r="L388" s="11"/>
      <c r="M388" s="11"/>
      <c r="N388" s="11"/>
      <c r="O388" s="11"/>
      <c r="P388" s="11"/>
      <c r="Q388" s="11"/>
      <c r="R388" s="11"/>
      <c r="S388" s="11"/>
      <c r="T388" s="11"/>
      <c r="U388" s="11"/>
      <c r="V388" s="11"/>
    </row>
    <row r="389" spans="1:22">
      <c r="A389" s="11"/>
      <c r="B389" s="11"/>
      <c r="C389" s="11"/>
      <c r="D389" s="11"/>
      <c r="E389" s="11"/>
      <c r="F389" s="11"/>
      <c r="G389" s="11"/>
      <c r="H389" s="11"/>
      <c r="I389" s="11"/>
      <c r="J389" s="11"/>
      <c r="K389" s="11"/>
      <c r="L389" s="11"/>
      <c r="M389" s="11"/>
      <c r="N389" s="11"/>
      <c r="O389" s="11"/>
      <c r="P389" s="11"/>
      <c r="Q389" s="11"/>
      <c r="R389" s="11"/>
      <c r="S389" s="11"/>
      <c r="T389" s="11"/>
      <c r="U389" s="11"/>
      <c r="V389" s="11"/>
    </row>
    <row r="390" spans="1:22">
      <c r="A390" s="11"/>
      <c r="B390" s="11"/>
      <c r="C390" s="11"/>
      <c r="D390" s="11"/>
      <c r="E390" s="11"/>
      <c r="F390" s="11"/>
      <c r="G390" s="11"/>
      <c r="H390" s="11"/>
      <c r="I390" s="11"/>
      <c r="J390" s="11"/>
      <c r="K390" s="11"/>
      <c r="L390" s="11"/>
      <c r="M390" s="11"/>
      <c r="N390" s="11"/>
      <c r="O390" s="11"/>
      <c r="P390" s="11"/>
      <c r="Q390" s="11"/>
      <c r="R390" s="11"/>
      <c r="S390" s="11"/>
      <c r="T390" s="11"/>
      <c r="U390" s="11"/>
      <c r="V390" s="11"/>
    </row>
    <row r="391" spans="1:22">
      <c r="A391" s="11"/>
      <c r="B391" s="11"/>
      <c r="C391" s="11"/>
      <c r="D391" s="11"/>
      <c r="E391" s="11"/>
      <c r="F391" s="11"/>
      <c r="G391" s="11"/>
      <c r="H391" s="11"/>
      <c r="I391" s="11"/>
      <c r="J391" s="11"/>
      <c r="K391" s="11"/>
      <c r="L391" s="11"/>
      <c r="M391" s="11"/>
      <c r="N391" s="11"/>
      <c r="O391" s="11"/>
      <c r="P391" s="11"/>
      <c r="Q391" s="11"/>
      <c r="R391" s="11"/>
      <c r="S391" s="11"/>
      <c r="T391" s="11"/>
      <c r="U391" s="11"/>
      <c r="V391" s="11"/>
    </row>
    <row r="392" spans="1:22">
      <c r="A392" s="11"/>
      <c r="B392" s="11"/>
      <c r="C392" s="11"/>
      <c r="D392" s="11"/>
      <c r="E392" s="11"/>
      <c r="F392" s="11"/>
      <c r="G392" s="11"/>
      <c r="H392" s="11"/>
      <c r="I392" s="11"/>
      <c r="J392" s="11"/>
      <c r="K392" s="11"/>
      <c r="L392" s="11"/>
      <c r="M392" s="11"/>
      <c r="N392" s="11"/>
      <c r="O392" s="11"/>
      <c r="P392" s="11"/>
      <c r="Q392" s="11"/>
      <c r="R392" s="11"/>
      <c r="S392" s="11"/>
      <c r="T392" s="11"/>
      <c r="U392" s="11"/>
      <c r="V392" s="11"/>
    </row>
    <row r="393" spans="1:22">
      <c r="A393" s="11"/>
      <c r="B393" s="11"/>
      <c r="C393" s="11"/>
      <c r="D393" s="11"/>
      <c r="E393" s="11"/>
      <c r="F393" s="11"/>
      <c r="G393" s="11"/>
      <c r="H393" s="11"/>
      <c r="I393" s="11"/>
      <c r="J393" s="11"/>
      <c r="K393" s="11"/>
      <c r="L393" s="11"/>
      <c r="M393" s="11"/>
      <c r="N393" s="11"/>
      <c r="O393" s="11"/>
      <c r="P393" s="11"/>
      <c r="Q393" s="11"/>
      <c r="R393" s="11"/>
      <c r="S393" s="11"/>
      <c r="T393" s="11"/>
      <c r="U393" s="11"/>
      <c r="V393" s="11"/>
    </row>
    <row r="394" spans="1:22">
      <c r="A394" s="11"/>
      <c r="B394" s="11"/>
      <c r="C394" s="11"/>
      <c r="D394" s="11"/>
      <c r="E394" s="11"/>
      <c r="F394" s="11"/>
      <c r="G394" s="11"/>
      <c r="H394" s="11"/>
      <c r="I394" s="11"/>
      <c r="J394" s="11"/>
      <c r="K394" s="11"/>
      <c r="L394" s="11"/>
      <c r="M394" s="11"/>
      <c r="N394" s="11"/>
      <c r="O394" s="11"/>
      <c r="P394" s="11"/>
      <c r="Q394" s="11"/>
      <c r="R394" s="11"/>
      <c r="S394" s="11"/>
      <c r="T394" s="11"/>
      <c r="U394" s="11"/>
      <c r="V394" s="11"/>
    </row>
    <row r="395" spans="1:22">
      <c r="A395" s="11"/>
      <c r="B395" s="11"/>
      <c r="C395" s="11"/>
      <c r="D395" s="11"/>
      <c r="E395" s="11"/>
      <c r="F395" s="11"/>
      <c r="G395" s="11"/>
      <c r="H395" s="11"/>
      <c r="I395" s="11"/>
      <c r="J395" s="11"/>
      <c r="K395" s="11"/>
      <c r="L395" s="11"/>
      <c r="M395" s="11"/>
      <c r="N395" s="11"/>
      <c r="O395" s="11"/>
      <c r="P395" s="11"/>
      <c r="Q395" s="11"/>
      <c r="R395" s="11"/>
      <c r="S395" s="11"/>
      <c r="T395" s="11"/>
      <c r="U395" s="11"/>
      <c r="V395" s="11"/>
    </row>
    <row r="396" spans="1:22">
      <c r="A396" s="11"/>
      <c r="B396" s="11"/>
      <c r="C396" s="11"/>
      <c r="D396" s="11"/>
      <c r="E396" s="11"/>
      <c r="F396" s="11"/>
      <c r="G396" s="11"/>
      <c r="H396" s="11"/>
      <c r="I396" s="11"/>
      <c r="J396" s="11"/>
      <c r="K396" s="11"/>
      <c r="L396" s="11"/>
      <c r="M396" s="11"/>
      <c r="N396" s="11"/>
      <c r="O396" s="11"/>
      <c r="P396" s="11"/>
      <c r="Q396" s="11"/>
      <c r="R396" s="11"/>
      <c r="S396" s="11"/>
      <c r="T396" s="11"/>
      <c r="U396" s="11"/>
      <c r="V396" s="11"/>
    </row>
    <row r="397" spans="1:22">
      <c r="A397" s="11"/>
      <c r="B397" s="11"/>
      <c r="C397" s="11"/>
      <c r="D397" s="11"/>
      <c r="E397" s="11"/>
      <c r="F397" s="11"/>
      <c r="G397" s="11"/>
      <c r="H397" s="11"/>
      <c r="I397" s="11"/>
      <c r="J397" s="11"/>
      <c r="K397" s="11"/>
      <c r="L397" s="11"/>
      <c r="M397" s="11"/>
      <c r="N397" s="11"/>
      <c r="O397" s="11"/>
      <c r="P397" s="11"/>
      <c r="Q397" s="11"/>
      <c r="R397" s="11"/>
      <c r="S397" s="11"/>
      <c r="T397" s="11"/>
      <c r="U397" s="11"/>
      <c r="V397" s="11"/>
    </row>
    <row r="398" spans="1:22">
      <c r="A398" s="11"/>
      <c r="B398" s="11"/>
      <c r="C398" s="11"/>
      <c r="D398" s="11"/>
      <c r="E398" s="11"/>
      <c r="F398" s="11"/>
      <c r="G398" s="11"/>
      <c r="H398" s="11"/>
      <c r="I398" s="11"/>
      <c r="J398" s="11"/>
      <c r="K398" s="11"/>
      <c r="L398" s="11"/>
      <c r="M398" s="11"/>
      <c r="N398" s="11"/>
      <c r="O398" s="11"/>
      <c r="P398" s="11"/>
      <c r="Q398" s="11"/>
      <c r="R398" s="11"/>
      <c r="S398" s="11"/>
      <c r="T398" s="11"/>
      <c r="U398" s="11"/>
      <c r="V398" s="11"/>
    </row>
    <row r="399" spans="1:22">
      <c r="A399" s="11"/>
      <c r="B399" s="11"/>
      <c r="C399" s="11"/>
      <c r="D399" s="11"/>
      <c r="E399" s="11"/>
      <c r="F399" s="11"/>
      <c r="G399" s="11"/>
      <c r="H399" s="11"/>
      <c r="I399" s="11"/>
      <c r="J399" s="11"/>
      <c r="K399" s="11"/>
      <c r="L399" s="11"/>
      <c r="M399" s="11"/>
      <c r="N399" s="11"/>
      <c r="O399" s="11"/>
      <c r="P399" s="11"/>
      <c r="Q399" s="11"/>
      <c r="R399" s="11"/>
      <c r="S399" s="11"/>
      <c r="T399" s="11"/>
      <c r="U399" s="11"/>
      <c r="V399" s="11"/>
    </row>
    <row r="400" spans="1:22">
      <c r="A400" s="11"/>
      <c r="B400" s="11"/>
      <c r="C400" s="11"/>
      <c r="D400" s="11"/>
      <c r="E400" s="11"/>
      <c r="F400" s="11"/>
      <c r="G400" s="11"/>
      <c r="H400" s="11"/>
      <c r="I400" s="11"/>
      <c r="J400" s="11"/>
      <c r="K400" s="11"/>
      <c r="L400" s="11"/>
      <c r="M400" s="11"/>
      <c r="N400" s="11"/>
      <c r="O400" s="11"/>
      <c r="P400" s="11"/>
      <c r="Q400" s="11"/>
      <c r="R400" s="11"/>
      <c r="S400" s="11"/>
      <c r="T400" s="11"/>
      <c r="U400" s="11"/>
      <c r="V400" s="11"/>
    </row>
    <row r="401" spans="1:22">
      <c r="A401" s="11"/>
      <c r="B401" s="11"/>
      <c r="C401" s="11"/>
      <c r="D401" s="11"/>
      <c r="E401" s="11"/>
      <c r="F401" s="11"/>
      <c r="G401" s="11"/>
      <c r="H401" s="11"/>
      <c r="I401" s="11"/>
      <c r="J401" s="11"/>
      <c r="K401" s="11"/>
      <c r="L401" s="11"/>
      <c r="M401" s="11"/>
      <c r="N401" s="11"/>
      <c r="O401" s="11"/>
      <c r="P401" s="11"/>
      <c r="Q401" s="11"/>
      <c r="R401" s="11"/>
      <c r="S401" s="11"/>
      <c r="T401" s="11"/>
      <c r="U401" s="11"/>
      <c r="V401" s="11"/>
    </row>
    <row r="402" spans="1:22">
      <c r="A402" s="11"/>
      <c r="B402" s="11"/>
      <c r="C402" s="11"/>
      <c r="D402" s="11"/>
      <c r="E402" s="11"/>
      <c r="F402" s="11"/>
      <c r="G402" s="11"/>
      <c r="H402" s="11"/>
      <c r="I402" s="11"/>
      <c r="J402" s="11"/>
      <c r="K402" s="11"/>
      <c r="L402" s="11"/>
      <c r="M402" s="11"/>
      <c r="N402" s="11"/>
      <c r="O402" s="11"/>
      <c r="P402" s="11"/>
      <c r="Q402" s="11"/>
      <c r="R402" s="11"/>
      <c r="S402" s="11"/>
      <c r="T402" s="11"/>
      <c r="U402" s="11"/>
      <c r="V402" s="11"/>
    </row>
    <row r="403" spans="1:22">
      <c r="A403" s="11"/>
      <c r="B403" s="11"/>
      <c r="C403" s="11"/>
      <c r="D403" s="11"/>
      <c r="E403" s="11"/>
      <c r="F403" s="11"/>
      <c r="G403" s="11"/>
      <c r="H403" s="11"/>
      <c r="I403" s="11"/>
      <c r="J403" s="11"/>
      <c r="K403" s="11"/>
      <c r="L403" s="11"/>
      <c r="M403" s="11"/>
      <c r="N403" s="11"/>
      <c r="O403" s="11"/>
      <c r="P403" s="11"/>
      <c r="Q403" s="11"/>
      <c r="R403" s="11"/>
      <c r="S403" s="11"/>
      <c r="T403" s="11"/>
      <c r="U403" s="11"/>
      <c r="V403" s="11"/>
    </row>
    <row r="404" spans="1:22">
      <c r="A404" s="11"/>
      <c r="B404" s="11"/>
      <c r="C404" s="11"/>
      <c r="D404" s="11"/>
      <c r="E404" s="11"/>
      <c r="F404" s="11"/>
      <c r="G404" s="11"/>
      <c r="H404" s="11"/>
      <c r="I404" s="11"/>
      <c r="J404" s="11"/>
      <c r="K404" s="11"/>
      <c r="L404" s="11"/>
      <c r="M404" s="11"/>
      <c r="N404" s="11"/>
      <c r="O404" s="11"/>
      <c r="P404" s="11"/>
      <c r="Q404" s="11"/>
      <c r="R404" s="11"/>
      <c r="S404" s="11"/>
      <c r="T404" s="11"/>
      <c r="U404" s="11"/>
      <c r="V404" s="11"/>
    </row>
    <row r="405" spans="1:22">
      <c r="A405" s="11"/>
      <c r="B405" s="11"/>
      <c r="C405" s="11"/>
      <c r="D405" s="11"/>
      <c r="E405" s="11"/>
      <c r="F405" s="11"/>
      <c r="G405" s="11"/>
      <c r="H405" s="11"/>
      <c r="I405" s="11"/>
      <c r="J405" s="11"/>
      <c r="K405" s="11"/>
      <c r="L405" s="11"/>
      <c r="M405" s="11"/>
      <c r="N405" s="11"/>
      <c r="O405" s="11"/>
      <c r="P405" s="11"/>
      <c r="Q405" s="11"/>
      <c r="R405" s="11"/>
      <c r="S405" s="11"/>
      <c r="T405" s="11"/>
      <c r="U405" s="11"/>
      <c r="V405" s="11"/>
    </row>
    <row r="406" spans="1:22">
      <c r="A406" s="11"/>
      <c r="B406" s="11"/>
      <c r="C406" s="11"/>
      <c r="D406" s="11"/>
      <c r="E406" s="11"/>
      <c r="F406" s="11"/>
      <c r="G406" s="11"/>
      <c r="H406" s="11"/>
      <c r="I406" s="11"/>
      <c r="J406" s="11"/>
      <c r="K406" s="11"/>
      <c r="L406" s="11"/>
      <c r="M406" s="11"/>
      <c r="N406" s="11"/>
      <c r="O406" s="11"/>
      <c r="P406" s="11"/>
      <c r="Q406" s="11"/>
      <c r="R406" s="11"/>
      <c r="S406" s="11"/>
      <c r="T406" s="11"/>
      <c r="U406" s="11"/>
      <c r="V406" s="11"/>
    </row>
    <row r="407" spans="1:22">
      <c r="A407" s="11"/>
      <c r="B407" s="11"/>
      <c r="C407" s="11"/>
      <c r="D407" s="11"/>
      <c r="E407" s="11"/>
      <c r="F407" s="11"/>
      <c r="G407" s="11"/>
      <c r="H407" s="11"/>
      <c r="I407" s="11"/>
      <c r="J407" s="11"/>
      <c r="K407" s="11"/>
      <c r="L407" s="11"/>
      <c r="M407" s="11"/>
      <c r="N407" s="11"/>
      <c r="O407" s="11"/>
      <c r="P407" s="11"/>
      <c r="Q407" s="11"/>
      <c r="R407" s="11"/>
      <c r="S407" s="11"/>
      <c r="T407" s="11"/>
      <c r="U407" s="11"/>
      <c r="V407" s="11"/>
    </row>
    <row r="408" spans="1:22">
      <c r="A408" s="11"/>
      <c r="B408" s="11"/>
      <c r="C408" s="11"/>
      <c r="D408" s="11"/>
      <c r="E408" s="11"/>
      <c r="F408" s="11"/>
      <c r="G408" s="11"/>
      <c r="H408" s="11"/>
      <c r="I408" s="11"/>
      <c r="J408" s="11"/>
      <c r="K408" s="11"/>
      <c r="L408" s="11"/>
      <c r="M408" s="11"/>
      <c r="N408" s="11"/>
      <c r="O408" s="11"/>
      <c r="P408" s="11"/>
      <c r="Q408" s="11"/>
      <c r="R408" s="11"/>
      <c r="S408" s="11"/>
      <c r="T408" s="11"/>
      <c r="U408" s="11"/>
      <c r="V408" s="11"/>
    </row>
    <row r="409" spans="1:22">
      <c r="A409" s="11"/>
      <c r="B409" s="11"/>
      <c r="C409" s="11"/>
      <c r="D409" s="11"/>
      <c r="E409" s="11"/>
      <c r="F409" s="11"/>
      <c r="G409" s="11"/>
      <c r="H409" s="11"/>
      <c r="I409" s="11"/>
      <c r="J409" s="11"/>
      <c r="K409" s="11"/>
      <c r="L409" s="11"/>
      <c r="M409" s="11"/>
      <c r="N409" s="11"/>
      <c r="O409" s="11"/>
      <c r="P409" s="11"/>
      <c r="Q409" s="11"/>
      <c r="R409" s="11"/>
      <c r="S409" s="11"/>
      <c r="T409" s="11"/>
      <c r="U409" s="11"/>
      <c r="V409" s="11"/>
    </row>
    <row r="410" spans="1:22">
      <c r="A410" s="11"/>
      <c r="B410" s="11"/>
      <c r="C410" s="11"/>
      <c r="D410" s="11"/>
      <c r="E410" s="11"/>
      <c r="F410" s="11"/>
      <c r="G410" s="11"/>
      <c r="H410" s="11"/>
      <c r="I410" s="11"/>
      <c r="J410" s="11"/>
      <c r="K410" s="11"/>
      <c r="L410" s="11"/>
      <c r="M410" s="11"/>
      <c r="N410" s="11"/>
      <c r="O410" s="11"/>
      <c r="P410" s="11"/>
      <c r="Q410" s="11"/>
      <c r="R410" s="11"/>
      <c r="S410" s="11"/>
      <c r="T410" s="11"/>
      <c r="U410" s="11"/>
      <c r="V410" s="11"/>
    </row>
    <row r="411" spans="1:22">
      <c r="A411" s="11"/>
      <c r="B411" s="11"/>
      <c r="C411" s="11"/>
      <c r="D411" s="11"/>
      <c r="E411" s="11"/>
      <c r="F411" s="11"/>
      <c r="G411" s="11"/>
      <c r="H411" s="11"/>
      <c r="I411" s="11"/>
      <c r="J411" s="11"/>
      <c r="K411" s="11"/>
      <c r="L411" s="11"/>
      <c r="M411" s="11"/>
      <c r="N411" s="11"/>
      <c r="O411" s="11"/>
      <c r="P411" s="11"/>
      <c r="Q411" s="11"/>
      <c r="R411" s="11"/>
      <c r="S411" s="11"/>
      <c r="T411" s="11"/>
      <c r="U411" s="11"/>
      <c r="V411" s="11"/>
    </row>
    <row r="412" spans="1:22">
      <c r="A412" s="11"/>
      <c r="B412" s="11"/>
      <c r="C412" s="11"/>
      <c r="D412" s="11"/>
      <c r="E412" s="11"/>
      <c r="F412" s="11"/>
      <c r="G412" s="11"/>
      <c r="H412" s="11"/>
      <c r="I412" s="11"/>
      <c r="J412" s="11"/>
      <c r="K412" s="11"/>
      <c r="L412" s="11"/>
      <c r="M412" s="11"/>
      <c r="N412" s="11"/>
      <c r="O412" s="11"/>
      <c r="P412" s="11"/>
      <c r="Q412" s="11"/>
      <c r="R412" s="11"/>
      <c r="S412" s="11"/>
      <c r="T412" s="11"/>
      <c r="U412" s="11"/>
      <c r="V412" s="11"/>
    </row>
    <row r="413" spans="1:22">
      <c r="A413" s="11"/>
      <c r="B413" s="11"/>
      <c r="C413" s="11"/>
      <c r="D413" s="11"/>
      <c r="E413" s="11"/>
      <c r="F413" s="11"/>
      <c r="G413" s="11"/>
      <c r="H413" s="11"/>
      <c r="I413" s="11"/>
      <c r="J413" s="11"/>
      <c r="K413" s="11"/>
      <c r="L413" s="11"/>
      <c r="M413" s="11"/>
      <c r="N413" s="11"/>
      <c r="O413" s="11"/>
      <c r="P413" s="11"/>
      <c r="Q413" s="11"/>
      <c r="R413" s="11"/>
      <c r="S413" s="11"/>
      <c r="T413" s="11"/>
      <c r="U413" s="11"/>
      <c r="V413" s="11"/>
    </row>
    <row r="414" spans="1:22">
      <c r="A414" s="11"/>
      <c r="B414" s="11"/>
      <c r="C414" s="11"/>
      <c r="D414" s="11"/>
      <c r="E414" s="11"/>
      <c r="F414" s="11"/>
      <c r="G414" s="11"/>
      <c r="H414" s="11"/>
      <c r="I414" s="11"/>
      <c r="J414" s="11"/>
      <c r="K414" s="11"/>
      <c r="L414" s="11"/>
      <c r="M414" s="11"/>
      <c r="N414" s="11"/>
      <c r="O414" s="11"/>
      <c r="P414" s="11"/>
      <c r="Q414" s="11"/>
      <c r="R414" s="11"/>
      <c r="S414" s="11"/>
      <c r="T414" s="11"/>
      <c r="U414" s="11"/>
      <c r="V414" s="11"/>
    </row>
    <row r="415" spans="1:22">
      <c r="A415" s="11"/>
      <c r="B415" s="11"/>
      <c r="C415" s="11"/>
      <c r="D415" s="11"/>
      <c r="E415" s="11"/>
      <c r="F415" s="11"/>
      <c r="G415" s="11"/>
      <c r="H415" s="11"/>
      <c r="I415" s="11"/>
      <c r="J415" s="11"/>
      <c r="K415" s="11"/>
      <c r="L415" s="11"/>
      <c r="M415" s="11"/>
      <c r="N415" s="11"/>
      <c r="O415" s="11"/>
      <c r="P415" s="11"/>
      <c r="Q415" s="11"/>
      <c r="R415" s="11"/>
      <c r="S415" s="11"/>
      <c r="T415" s="11"/>
      <c r="U415" s="11"/>
      <c r="V415" s="11"/>
    </row>
    <row r="416" spans="1:22">
      <c r="A416" s="11"/>
      <c r="B416" s="11"/>
      <c r="C416" s="11"/>
      <c r="D416" s="11"/>
      <c r="E416" s="11"/>
      <c r="F416" s="11"/>
      <c r="G416" s="11"/>
      <c r="H416" s="11"/>
      <c r="I416" s="11"/>
      <c r="J416" s="11"/>
      <c r="K416" s="11"/>
      <c r="L416" s="11"/>
      <c r="M416" s="11"/>
      <c r="N416" s="11"/>
      <c r="O416" s="11"/>
      <c r="P416" s="11"/>
      <c r="Q416" s="11"/>
      <c r="R416" s="11"/>
      <c r="S416" s="11"/>
      <c r="T416" s="11"/>
      <c r="U416" s="11"/>
      <c r="V416" s="11"/>
    </row>
    <row r="417" spans="1:22">
      <c r="A417" s="11"/>
      <c r="B417" s="11"/>
      <c r="C417" s="11"/>
      <c r="D417" s="11"/>
      <c r="E417" s="11"/>
      <c r="F417" s="11"/>
      <c r="G417" s="11"/>
      <c r="H417" s="11"/>
      <c r="I417" s="11"/>
      <c r="J417" s="11"/>
      <c r="K417" s="11"/>
      <c r="L417" s="11"/>
      <c r="M417" s="11"/>
      <c r="N417" s="11"/>
      <c r="O417" s="11"/>
      <c r="P417" s="11"/>
      <c r="Q417" s="11"/>
      <c r="R417" s="11"/>
      <c r="S417" s="11"/>
      <c r="T417" s="11"/>
      <c r="U417" s="11"/>
      <c r="V417" s="11"/>
    </row>
    <row r="418" spans="1:22">
      <c r="A418" s="11"/>
      <c r="B418" s="11"/>
      <c r="C418" s="11"/>
      <c r="D418" s="11"/>
      <c r="E418" s="11"/>
      <c r="F418" s="11"/>
      <c r="G418" s="11"/>
      <c r="H418" s="11"/>
      <c r="I418" s="11"/>
      <c r="J418" s="11"/>
      <c r="K418" s="11"/>
      <c r="L418" s="11"/>
      <c r="M418" s="11"/>
      <c r="N418" s="11"/>
      <c r="O418" s="11"/>
      <c r="P418" s="11"/>
      <c r="Q418" s="11"/>
      <c r="R418" s="11"/>
      <c r="S418" s="11"/>
      <c r="T418" s="11"/>
      <c r="U418" s="11"/>
      <c r="V418" s="11"/>
    </row>
    <row r="419" spans="1:22">
      <c r="A419" s="11"/>
      <c r="B419" s="11"/>
      <c r="C419" s="11"/>
      <c r="D419" s="11"/>
      <c r="E419" s="11"/>
      <c r="F419" s="11"/>
      <c r="G419" s="11"/>
      <c r="H419" s="11"/>
      <c r="I419" s="11"/>
      <c r="J419" s="11"/>
      <c r="K419" s="11"/>
      <c r="L419" s="11"/>
      <c r="M419" s="11"/>
      <c r="N419" s="11"/>
      <c r="O419" s="11"/>
      <c r="P419" s="11"/>
      <c r="Q419" s="11"/>
      <c r="R419" s="11"/>
      <c r="S419" s="11"/>
      <c r="T419" s="11"/>
      <c r="U419" s="11"/>
      <c r="V419" s="11"/>
    </row>
    <row r="420" spans="1:22">
      <c r="A420" s="11"/>
      <c r="B420" s="11"/>
      <c r="C420" s="11"/>
      <c r="D420" s="11"/>
      <c r="E420" s="11"/>
      <c r="F420" s="11"/>
      <c r="G420" s="11"/>
      <c r="H420" s="11"/>
      <c r="I420" s="11"/>
      <c r="J420" s="11"/>
      <c r="K420" s="11"/>
      <c r="L420" s="11"/>
      <c r="M420" s="11"/>
      <c r="N420" s="11"/>
      <c r="O420" s="11"/>
      <c r="P420" s="11"/>
      <c r="Q420" s="11"/>
      <c r="R420" s="11"/>
      <c r="S420" s="11"/>
      <c r="T420" s="11"/>
      <c r="U420" s="11"/>
      <c r="V420" s="11"/>
    </row>
    <row r="421" spans="1:22">
      <c r="A421" s="11"/>
      <c r="B421" s="11"/>
      <c r="C421" s="11"/>
      <c r="D421" s="11"/>
      <c r="E421" s="11"/>
      <c r="F421" s="11"/>
      <c r="G421" s="11"/>
      <c r="H421" s="11"/>
      <c r="I421" s="11"/>
      <c r="J421" s="11"/>
      <c r="K421" s="11"/>
      <c r="L421" s="11"/>
      <c r="M421" s="11"/>
      <c r="N421" s="11"/>
      <c r="O421" s="11"/>
      <c r="P421" s="11"/>
      <c r="Q421" s="11"/>
      <c r="R421" s="11"/>
      <c r="S421" s="11"/>
      <c r="T421" s="11"/>
      <c r="U421" s="11"/>
      <c r="V421" s="11"/>
    </row>
    <row r="422" spans="1:22">
      <c r="A422" s="11"/>
      <c r="B422" s="11"/>
      <c r="C422" s="11"/>
      <c r="D422" s="11"/>
      <c r="E422" s="11"/>
      <c r="F422" s="11"/>
      <c r="G422" s="11"/>
      <c r="H422" s="11"/>
      <c r="I422" s="11"/>
      <c r="J422" s="11"/>
      <c r="K422" s="11"/>
      <c r="L422" s="11"/>
      <c r="M422" s="11"/>
      <c r="N422" s="11"/>
      <c r="O422" s="11"/>
      <c r="P422" s="11"/>
      <c r="Q422" s="11"/>
      <c r="R422" s="11"/>
      <c r="S422" s="11"/>
      <c r="T422" s="11"/>
      <c r="U422" s="11"/>
      <c r="V422" s="11"/>
    </row>
    <row r="423" spans="1:22">
      <c r="A423" s="11"/>
      <c r="B423" s="11"/>
      <c r="C423" s="11"/>
      <c r="D423" s="11"/>
      <c r="E423" s="11"/>
      <c r="F423" s="11"/>
      <c r="G423" s="11"/>
      <c r="H423" s="11"/>
      <c r="I423" s="11"/>
      <c r="J423" s="11"/>
      <c r="K423" s="11"/>
      <c r="L423" s="11"/>
      <c r="M423" s="11"/>
      <c r="N423" s="11"/>
      <c r="O423" s="11"/>
      <c r="P423" s="11"/>
      <c r="Q423" s="11"/>
      <c r="R423" s="11"/>
      <c r="S423" s="11"/>
      <c r="T423" s="11"/>
      <c r="U423" s="11"/>
      <c r="V423" s="11"/>
    </row>
    <row r="424" spans="1:22">
      <c r="A424" s="11"/>
      <c r="B424" s="11"/>
      <c r="C424" s="11"/>
      <c r="D424" s="11"/>
      <c r="E424" s="11"/>
      <c r="F424" s="11"/>
      <c r="G424" s="11"/>
      <c r="H424" s="11"/>
      <c r="I424" s="11"/>
      <c r="J424" s="11"/>
      <c r="K424" s="11"/>
      <c r="L424" s="11"/>
      <c r="M424" s="11"/>
      <c r="N424" s="11"/>
      <c r="O424" s="11"/>
      <c r="P424" s="11"/>
      <c r="Q424" s="11"/>
      <c r="R424" s="11"/>
      <c r="S424" s="11"/>
      <c r="T424" s="11"/>
      <c r="U424" s="11"/>
      <c r="V424" s="11"/>
    </row>
    <row r="425" spans="1:22">
      <c r="A425" s="11"/>
      <c r="B425" s="11"/>
      <c r="C425" s="11"/>
      <c r="D425" s="11"/>
      <c r="E425" s="11"/>
      <c r="F425" s="11"/>
      <c r="G425" s="11"/>
      <c r="H425" s="11"/>
      <c r="I425" s="11"/>
      <c r="J425" s="11"/>
      <c r="K425" s="11"/>
      <c r="L425" s="11"/>
      <c r="M425" s="11"/>
      <c r="N425" s="11"/>
      <c r="O425" s="11"/>
      <c r="P425" s="11"/>
      <c r="Q425" s="11"/>
      <c r="R425" s="11"/>
      <c r="S425" s="11"/>
      <c r="T425" s="11"/>
      <c r="U425" s="11"/>
      <c r="V425" s="11"/>
    </row>
    <row r="426" spans="1:22">
      <c r="A426" s="11"/>
      <c r="B426" s="11"/>
      <c r="C426" s="11"/>
      <c r="D426" s="11"/>
      <c r="E426" s="11"/>
      <c r="F426" s="11"/>
      <c r="G426" s="11"/>
      <c r="H426" s="11"/>
      <c r="I426" s="11"/>
      <c r="J426" s="11"/>
      <c r="K426" s="11"/>
      <c r="L426" s="11"/>
      <c r="M426" s="11"/>
      <c r="N426" s="11"/>
      <c r="O426" s="11"/>
      <c r="P426" s="11"/>
      <c r="Q426" s="11"/>
      <c r="R426" s="11"/>
      <c r="S426" s="11"/>
      <c r="T426" s="11"/>
      <c r="U426" s="11"/>
      <c r="V426" s="11"/>
    </row>
    <row r="427" spans="1:22">
      <c r="A427" s="11"/>
      <c r="B427" s="11"/>
      <c r="C427" s="11"/>
      <c r="D427" s="11"/>
      <c r="E427" s="11"/>
      <c r="F427" s="11"/>
      <c r="G427" s="11"/>
      <c r="H427" s="11"/>
      <c r="I427" s="11"/>
      <c r="J427" s="11"/>
      <c r="K427" s="11"/>
      <c r="L427" s="11"/>
      <c r="M427" s="11"/>
      <c r="N427" s="11"/>
      <c r="O427" s="11"/>
      <c r="P427" s="11"/>
      <c r="Q427" s="11"/>
      <c r="R427" s="11"/>
      <c r="S427" s="11"/>
      <c r="T427" s="11"/>
      <c r="U427" s="11"/>
      <c r="V427" s="11"/>
    </row>
    <row r="428" spans="1:22">
      <c r="A428" s="11"/>
      <c r="B428" s="11"/>
      <c r="C428" s="11"/>
      <c r="D428" s="11"/>
      <c r="E428" s="11"/>
      <c r="F428" s="11"/>
      <c r="G428" s="11"/>
      <c r="H428" s="11"/>
      <c r="I428" s="11"/>
      <c r="J428" s="11"/>
      <c r="K428" s="11"/>
      <c r="L428" s="11"/>
      <c r="M428" s="11"/>
      <c r="N428" s="11"/>
      <c r="O428" s="11"/>
      <c r="P428" s="11"/>
      <c r="Q428" s="11"/>
      <c r="R428" s="11"/>
      <c r="S428" s="11"/>
      <c r="T428" s="11"/>
      <c r="U428" s="11"/>
      <c r="V428" s="11"/>
    </row>
    <row r="429" spans="1:22">
      <c r="A429" s="11"/>
      <c r="B429" s="11"/>
      <c r="C429" s="11"/>
      <c r="D429" s="11"/>
      <c r="E429" s="11"/>
      <c r="F429" s="11"/>
      <c r="G429" s="11"/>
      <c r="H429" s="11"/>
      <c r="I429" s="11"/>
      <c r="J429" s="11"/>
      <c r="K429" s="11"/>
      <c r="L429" s="11"/>
      <c r="M429" s="11"/>
      <c r="N429" s="11"/>
      <c r="O429" s="11"/>
      <c r="P429" s="11"/>
      <c r="Q429" s="11"/>
      <c r="R429" s="11"/>
      <c r="S429" s="11"/>
      <c r="T429" s="11"/>
      <c r="U429" s="11"/>
      <c r="V429" s="11"/>
    </row>
    <row r="430" spans="1:22">
      <c r="A430" s="11"/>
      <c r="B430" s="11"/>
      <c r="C430" s="11"/>
      <c r="D430" s="11"/>
      <c r="E430" s="11"/>
      <c r="F430" s="11"/>
      <c r="G430" s="11"/>
      <c r="H430" s="11"/>
      <c r="I430" s="11"/>
      <c r="J430" s="11"/>
      <c r="K430" s="11"/>
      <c r="L430" s="11"/>
      <c r="M430" s="11"/>
      <c r="N430" s="11"/>
      <c r="O430" s="11"/>
      <c r="P430" s="11"/>
      <c r="Q430" s="11"/>
      <c r="R430" s="11"/>
      <c r="S430" s="11"/>
      <c r="T430" s="11"/>
      <c r="U430" s="11"/>
      <c r="V430" s="11"/>
    </row>
    <row r="431" spans="1:22">
      <c r="A431" s="11"/>
      <c r="B431" s="11"/>
      <c r="C431" s="11"/>
      <c r="D431" s="11"/>
      <c r="E431" s="11"/>
      <c r="F431" s="11"/>
      <c r="G431" s="11"/>
      <c r="H431" s="11"/>
      <c r="I431" s="11"/>
      <c r="J431" s="11"/>
      <c r="K431" s="11"/>
      <c r="L431" s="11"/>
      <c r="M431" s="11"/>
      <c r="N431" s="11"/>
      <c r="O431" s="11"/>
      <c r="P431" s="11"/>
      <c r="Q431" s="11"/>
      <c r="R431" s="11"/>
      <c r="S431" s="11"/>
      <c r="T431" s="11"/>
      <c r="U431" s="11"/>
      <c r="V431" s="11"/>
    </row>
    <row r="432" spans="1:22">
      <c r="A432" s="11"/>
      <c r="B432" s="11"/>
      <c r="C432" s="11"/>
      <c r="D432" s="11"/>
      <c r="E432" s="11"/>
      <c r="F432" s="11"/>
      <c r="G432" s="11"/>
      <c r="H432" s="11"/>
      <c r="I432" s="11"/>
      <c r="J432" s="11"/>
      <c r="K432" s="11"/>
      <c r="L432" s="11"/>
      <c r="M432" s="11"/>
      <c r="N432" s="11"/>
      <c r="O432" s="11"/>
      <c r="P432" s="11"/>
      <c r="Q432" s="11"/>
      <c r="R432" s="11"/>
      <c r="S432" s="11"/>
      <c r="T432" s="11"/>
      <c r="U432" s="11"/>
      <c r="V432" s="11"/>
    </row>
    <row r="433" spans="1:22">
      <c r="A433" s="11"/>
      <c r="B433" s="11"/>
      <c r="C433" s="11"/>
      <c r="D433" s="11"/>
      <c r="E433" s="11"/>
      <c r="F433" s="11"/>
      <c r="G433" s="11"/>
      <c r="H433" s="11"/>
      <c r="I433" s="11"/>
      <c r="J433" s="11"/>
      <c r="K433" s="11"/>
      <c r="L433" s="11"/>
      <c r="M433" s="11"/>
      <c r="N433" s="11"/>
      <c r="O433" s="11"/>
      <c r="P433" s="11"/>
      <c r="Q433" s="11"/>
      <c r="R433" s="11"/>
      <c r="S433" s="11"/>
      <c r="T433" s="11"/>
      <c r="U433" s="11"/>
      <c r="V433" s="11"/>
    </row>
    <row r="434" spans="1:22">
      <c r="A434" s="11"/>
      <c r="B434" s="11"/>
      <c r="C434" s="11"/>
      <c r="D434" s="11"/>
      <c r="E434" s="11"/>
      <c r="F434" s="11"/>
      <c r="G434" s="11"/>
      <c r="H434" s="11"/>
      <c r="I434" s="11"/>
      <c r="J434" s="11"/>
      <c r="K434" s="11"/>
      <c r="L434" s="11"/>
      <c r="M434" s="11"/>
      <c r="N434" s="11"/>
      <c r="O434" s="11"/>
      <c r="P434" s="11"/>
      <c r="Q434" s="11"/>
      <c r="R434" s="11"/>
      <c r="S434" s="11"/>
      <c r="T434" s="11"/>
      <c r="U434" s="11"/>
      <c r="V434" s="11"/>
    </row>
    <row r="435" spans="1:22">
      <c r="A435" s="11"/>
      <c r="B435" s="11"/>
      <c r="C435" s="11"/>
      <c r="D435" s="11"/>
      <c r="E435" s="11"/>
      <c r="F435" s="11"/>
      <c r="G435" s="11"/>
      <c r="H435" s="11"/>
      <c r="I435" s="11"/>
      <c r="J435" s="11"/>
      <c r="K435" s="11"/>
      <c r="L435" s="11"/>
      <c r="M435" s="11"/>
      <c r="N435" s="11"/>
      <c r="O435" s="11"/>
      <c r="P435" s="11"/>
      <c r="Q435" s="11"/>
      <c r="R435" s="11"/>
      <c r="S435" s="11"/>
      <c r="T435" s="11"/>
      <c r="U435" s="11"/>
      <c r="V435" s="11"/>
    </row>
    <row r="436" spans="1:22">
      <c r="A436" s="11"/>
      <c r="B436" s="11"/>
      <c r="C436" s="11"/>
      <c r="D436" s="11"/>
      <c r="E436" s="11"/>
      <c r="F436" s="11"/>
      <c r="G436" s="11"/>
      <c r="H436" s="11"/>
      <c r="I436" s="11"/>
      <c r="J436" s="11"/>
      <c r="K436" s="11"/>
      <c r="L436" s="11"/>
      <c r="M436" s="11"/>
      <c r="N436" s="11"/>
      <c r="O436" s="11"/>
      <c r="P436" s="11"/>
      <c r="Q436" s="11"/>
      <c r="R436" s="11"/>
      <c r="S436" s="11"/>
      <c r="T436" s="11"/>
      <c r="U436" s="11"/>
      <c r="V436" s="11"/>
    </row>
    <row r="437" spans="1:22">
      <c r="A437" s="11"/>
      <c r="B437" s="11"/>
      <c r="C437" s="11"/>
      <c r="D437" s="11"/>
      <c r="E437" s="11"/>
      <c r="F437" s="11"/>
      <c r="G437" s="11"/>
      <c r="H437" s="11"/>
      <c r="I437" s="11"/>
      <c r="J437" s="11"/>
      <c r="K437" s="11"/>
      <c r="L437" s="11"/>
      <c r="M437" s="11"/>
      <c r="N437" s="11"/>
      <c r="O437" s="11"/>
      <c r="P437" s="11"/>
      <c r="Q437" s="11"/>
      <c r="R437" s="11"/>
      <c r="S437" s="11"/>
      <c r="T437" s="11"/>
      <c r="U437" s="11"/>
      <c r="V437" s="11"/>
    </row>
    <row r="438" spans="1:22">
      <c r="A438" s="11"/>
      <c r="B438" s="11"/>
      <c r="C438" s="11"/>
      <c r="D438" s="11"/>
      <c r="E438" s="11"/>
      <c r="F438" s="11"/>
      <c r="G438" s="11"/>
      <c r="H438" s="11"/>
      <c r="I438" s="11"/>
      <c r="J438" s="11"/>
      <c r="K438" s="11"/>
      <c r="L438" s="11"/>
      <c r="M438" s="11"/>
      <c r="N438" s="11"/>
      <c r="O438" s="11"/>
      <c r="P438" s="11"/>
      <c r="Q438" s="11"/>
      <c r="R438" s="11"/>
      <c r="S438" s="11"/>
      <c r="T438" s="11"/>
      <c r="U438" s="11"/>
      <c r="V438" s="11"/>
    </row>
    <row r="439" spans="1:22">
      <c r="A439" s="11"/>
      <c r="B439" s="11"/>
      <c r="C439" s="11"/>
      <c r="D439" s="11"/>
      <c r="E439" s="11"/>
      <c r="F439" s="11"/>
      <c r="G439" s="11"/>
      <c r="H439" s="11"/>
      <c r="I439" s="11"/>
      <c r="J439" s="11"/>
      <c r="K439" s="11"/>
      <c r="L439" s="11"/>
      <c r="M439" s="11"/>
      <c r="N439" s="11"/>
      <c r="O439" s="11"/>
      <c r="P439" s="11"/>
      <c r="Q439" s="11"/>
      <c r="R439" s="11"/>
      <c r="S439" s="11"/>
      <c r="T439" s="11"/>
      <c r="U439" s="11"/>
      <c r="V439" s="11"/>
    </row>
    <row r="440" spans="1:22">
      <c r="A440" s="11"/>
      <c r="B440" s="11"/>
      <c r="C440" s="11"/>
      <c r="D440" s="11"/>
      <c r="E440" s="11"/>
      <c r="F440" s="11"/>
      <c r="G440" s="11"/>
      <c r="H440" s="11"/>
      <c r="I440" s="11"/>
      <c r="J440" s="11"/>
      <c r="K440" s="11"/>
      <c r="L440" s="11"/>
      <c r="M440" s="11"/>
      <c r="N440" s="11"/>
      <c r="O440" s="11"/>
      <c r="P440" s="11"/>
      <c r="Q440" s="11"/>
      <c r="R440" s="11"/>
      <c r="S440" s="11"/>
      <c r="T440" s="11"/>
      <c r="U440" s="11"/>
      <c r="V440" s="11"/>
    </row>
    <row r="441" spans="1:22">
      <c r="A441" s="11"/>
      <c r="B441" s="11"/>
      <c r="C441" s="11"/>
      <c r="D441" s="11"/>
      <c r="E441" s="11"/>
      <c r="F441" s="11"/>
      <c r="G441" s="11"/>
      <c r="H441" s="11"/>
      <c r="I441" s="11"/>
      <c r="J441" s="11"/>
      <c r="K441" s="11"/>
      <c r="L441" s="11"/>
      <c r="M441" s="11"/>
      <c r="N441" s="11"/>
      <c r="O441" s="11"/>
      <c r="P441" s="11"/>
      <c r="Q441" s="11"/>
      <c r="R441" s="11"/>
      <c r="S441" s="11"/>
      <c r="T441" s="11"/>
      <c r="U441" s="11"/>
      <c r="V441" s="11"/>
    </row>
    <row r="442" spans="1:22">
      <c r="A442" s="11"/>
      <c r="B442" s="11"/>
      <c r="C442" s="11"/>
      <c r="D442" s="11"/>
      <c r="E442" s="11"/>
      <c r="F442" s="11"/>
      <c r="G442" s="11"/>
      <c r="H442" s="11"/>
      <c r="I442" s="11"/>
      <c r="J442" s="11"/>
      <c r="K442" s="11"/>
      <c r="L442" s="11"/>
      <c r="M442" s="11"/>
      <c r="N442" s="11"/>
      <c r="O442" s="11"/>
      <c r="P442" s="11"/>
      <c r="Q442" s="11"/>
      <c r="R442" s="11"/>
      <c r="S442" s="11"/>
      <c r="T442" s="11"/>
      <c r="U442" s="11"/>
      <c r="V442" s="11"/>
    </row>
    <row r="443" spans="1:22">
      <c r="A443" s="11"/>
      <c r="B443" s="11"/>
      <c r="C443" s="11"/>
      <c r="D443" s="11"/>
      <c r="E443" s="11"/>
      <c r="F443" s="11"/>
      <c r="G443" s="11"/>
      <c r="H443" s="11"/>
      <c r="I443" s="11"/>
      <c r="J443" s="11"/>
      <c r="K443" s="11"/>
      <c r="L443" s="11"/>
      <c r="M443" s="11"/>
      <c r="N443" s="11"/>
      <c r="O443" s="11"/>
      <c r="P443" s="11"/>
      <c r="Q443" s="11"/>
      <c r="R443" s="11"/>
      <c r="S443" s="11"/>
      <c r="T443" s="11"/>
      <c r="U443" s="11"/>
      <c r="V443" s="11"/>
    </row>
    <row r="444" spans="1:22">
      <c r="A444" s="11"/>
      <c r="B444" s="11"/>
      <c r="C444" s="11"/>
      <c r="D444" s="11"/>
      <c r="E444" s="11"/>
      <c r="F444" s="11"/>
      <c r="G444" s="11"/>
      <c r="H444" s="11"/>
      <c r="I444" s="11"/>
      <c r="J444" s="11"/>
      <c r="K444" s="11"/>
      <c r="L444" s="11"/>
      <c r="M444" s="11"/>
      <c r="N444" s="11"/>
      <c r="O444" s="11"/>
      <c r="P444" s="11"/>
      <c r="Q444" s="11"/>
      <c r="R444" s="11"/>
      <c r="S444" s="11"/>
      <c r="T444" s="11"/>
      <c r="U444" s="11"/>
      <c r="V444" s="11"/>
    </row>
    <row r="445" spans="1:22">
      <c r="A445" s="11"/>
      <c r="B445" s="11"/>
      <c r="C445" s="11"/>
      <c r="D445" s="11"/>
      <c r="E445" s="11"/>
      <c r="F445" s="11"/>
      <c r="G445" s="11"/>
      <c r="H445" s="11"/>
      <c r="I445" s="11"/>
      <c r="J445" s="11"/>
      <c r="K445" s="11"/>
      <c r="L445" s="11"/>
      <c r="M445" s="11"/>
      <c r="N445" s="11"/>
      <c r="O445" s="11"/>
      <c r="P445" s="11"/>
      <c r="Q445" s="11"/>
      <c r="R445" s="11"/>
      <c r="S445" s="11"/>
      <c r="T445" s="11"/>
      <c r="U445" s="11"/>
      <c r="V445" s="11"/>
    </row>
    <row r="446" spans="1:22">
      <c r="A446" s="11"/>
      <c r="B446" s="11"/>
      <c r="C446" s="11"/>
      <c r="D446" s="11"/>
      <c r="E446" s="11"/>
      <c r="F446" s="11"/>
      <c r="G446" s="11"/>
      <c r="H446" s="11"/>
      <c r="I446" s="11"/>
      <c r="J446" s="11"/>
      <c r="K446" s="11"/>
      <c r="L446" s="11"/>
      <c r="M446" s="11"/>
      <c r="N446" s="11"/>
      <c r="O446" s="11"/>
      <c r="P446" s="11"/>
      <c r="Q446" s="11"/>
      <c r="R446" s="11"/>
      <c r="S446" s="11"/>
      <c r="T446" s="11"/>
      <c r="U446" s="11"/>
      <c r="V446" s="11"/>
    </row>
    <row r="447" spans="1:22">
      <c r="A447" s="11"/>
      <c r="B447" s="11"/>
      <c r="C447" s="11"/>
      <c r="D447" s="11"/>
      <c r="E447" s="11"/>
      <c r="F447" s="11"/>
      <c r="G447" s="11"/>
      <c r="H447" s="11"/>
      <c r="I447" s="11"/>
      <c r="J447" s="11"/>
      <c r="K447" s="11"/>
      <c r="L447" s="11"/>
      <c r="M447" s="11"/>
      <c r="N447" s="11"/>
      <c r="O447" s="11"/>
      <c r="P447" s="11"/>
      <c r="Q447" s="11"/>
      <c r="R447" s="11"/>
      <c r="S447" s="11"/>
      <c r="T447" s="11"/>
      <c r="U447" s="11"/>
      <c r="V447" s="11"/>
    </row>
    <row r="448" spans="1:22">
      <c r="A448" s="11"/>
      <c r="B448" s="11"/>
      <c r="C448" s="11"/>
      <c r="D448" s="11"/>
      <c r="E448" s="11"/>
      <c r="F448" s="11"/>
      <c r="G448" s="11"/>
      <c r="H448" s="11"/>
      <c r="I448" s="11"/>
      <c r="J448" s="11"/>
      <c r="K448" s="11"/>
      <c r="L448" s="11"/>
      <c r="M448" s="11"/>
      <c r="N448" s="11"/>
      <c r="O448" s="11"/>
      <c r="P448" s="11"/>
      <c r="Q448" s="11"/>
      <c r="R448" s="11"/>
      <c r="S448" s="11"/>
      <c r="T448" s="11"/>
      <c r="U448" s="11"/>
      <c r="V448" s="11"/>
    </row>
    <row r="449" spans="1:22">
      <c r="A449" s="11"/>
      <c r="B449" s="11"/>
      <c r="C449" s="11"/>
      <c r="D449" s="11"/>
      <c r="E449" s="11"/>
      <c r="F449" s="11"/>
      <c r="G449" s="11"/>
      <c r="H449" s="11"/>
      <c r="I449" s="11"/>
      <c r="J449" s="11"/>
      <c r="K449" s="11"/>
      <c r="L449" s="11"/>
      <c r="M449" s="11"/>
      <c r="N449" s="11"/>
      <c r="O449" s="11"/>
      <c r="P449" s="11"/>
      <c r="Q449" s="11"/>
      <c r="R449" s="11"/>
      <c r="S449" s="11"/>
      <c r="T449" s="11"/>
      <c r="U449" s="11"/>
      <c r="V449" s="11"/>
    </row>
    <row r="450" spans="1:22">
      <c r="A450" s="11"/>
      <c r="B450" s="11"/>
      <c r="C450" s="11"/>
      <c r="D450" s="11"/>
      <c r="E450" s="11"/>
      <c r="F450" s="11"/>
      <c r="G450" s="11"/>
      <c r="H450" s="11"/>
      <c r="I450" s="11"/>
      <c r="J450" s="11"/>
      <c r="K450" s="11"/>
      <c r="L450" s="11"/>
      <c r="M450" s="11"/>
      <c r="N450" s="11"/>
      <c r="O450" s="11"/>
      <c r="P450" s="11"/>
      <c r="Q450" s="11"/>
      <c r="R450" s="11"/>
      <c r="S450" s="11"/>
      <c r="T450" s="11"/>
      <c r="U450" s="11"/>
      <c r="V450" s="11"/>
    </row>
    <row r="451" spans="1:22">
      <c r="A451" s="11"/>
      <c r="B451" s="11"/>
      <c r="C451" s="11"/>
      <c r="D451" s="11"/>
      <c r="E451" s="11"/>
      <c r="F451" s="11"/>
      <c r="G451" s="11"/>
      <c r="H451" s="11"/>
      <c r="I451" s="11"/>
      <c r="J451" s="11"/>
      <c r="K451" s="11"/>
      <c r="L451" s="11"/>
      <c r="M451" s="11"/>
      <c r="N451" s="11"/>
      <c r="O451" s="11"/>
      <c r="P451" s="11"/>
      <c r="Q451" s="11"/>
      <c r="R451" s="11"/>
      <c r="S451" s="11"/>
      <c r="T451" s="11"/>
      <c r="U451" s="11"/>
      <c r="V451" s="11"/>
    </row>
    <row r="452" spans="1:22">
      <c r="A452" s="11"/>
      <c r="B452" s="11"/>
      <c r="C452" s="11"/>
      <c r="D452" s="11"/>
      <c r="E452" s="11"/>
      <c r="F452" s="11"/>
      <c r="G452" s="11"/>
      <c r="H452" s="11"/>
      <c r="I452" s="11"/>
      <c r="J452" s="11"/>
      <c r="K452" s="11"/>
      <c r="L452" s="11"/>
      <c r="M452" s="11"/>
      <c r="N452" s="11"/>
      <c r="O452" s="11"/>
      <c r="P452" s="11"/>
      <c r="Q452" s="11"/>
      <c r="R452" s="11"/>
      <c r="S452" s="11"/>
      <c r="T452" s="11"/>
      <c r="U452" s="11"/>
      <c r="V452" s="11"/>
    </row>
    <row r="453" spans="1:22">
      <c r="A453" s="11"/>
      <c r="B453" s="11"/>
      <c r="C453" s="11"/>
      <c r="D453" s="11"/>
      <c r="E453" s="11"/>
      <c r="F453" s="11"/>
      <c r="G453" s="11"/>
      <c r="H453" s="11"/>
      <c r="I453" s="11"/>
      <c r="J453" s="11"/>
      <c r="K453" s="11"/>
      <c r="L453" s="11"/>
      <c r="M453" s="11"/>
      <c r="N453" s="11"/>
      <c r="O453" s="11"/>
      <c r="P453" s="11"/>
      <c r="Q453" s="11"/>
      <c r="R453" s="11"/>
      <c r="S453" s="11"/>
      <c r="T453" s="11"/>
      <c r="U453" s="11"/>
      <c r="V453" s="11"/>
    </row>
    <row r="454" spans="1:22">
      <c r="A454" s="11"/>
      <c r="B454" s="11"/>
      <c r="C454" s="11"/>
      <c r="D454" s="11"/>
      <c r="E454" s="11"/>
      <c r="F454" s="11"/>
      <c r="G454" s="11"/>
      <c r="H454" s="11"/>
      <c r="I454" s="11"/>
      <c r="J454" s="11"/>
      <c r="K454" s="11"/>
      <c r="L454" s="11"/>
      <c r="M454" s="11"/>
      <c r="N454" s="11"/>
      <c r="O454" s="11"/>
      <c r="P454" s="11"/>
      <c r="Q454" s="11"/>
      <c r="R454" s="11"/>
      <c r="S454" s="11"/>
      <c r="T454" s="11"/>
      <c r="U454" s="11"/>
      <c r="V454" s="11"/>
    </row>
    <row r="455" spans="1:22">
      <c r="A455" s="11"/>
      <c r="B455" s="11"/>
      <c r="C455" s="11"/>
      <c r="D455" s="11"/>
      <c r="E455" s="11"/>
      <c r="F455" s="11"/>
      <c r="G455" s="11"/>
      <c r="H455" s="11"/>
      <c r="I455" s="11"/>
      <c r="J455" s="11"/>
      <c r="K455" s="11"/>
      <c r="L455" s="11"/>
      <c r="M455" s="11"/>
      <c r="N455" s="11"/>
      <c r="O455" s="11"/>
      <c r="P455" s="11"/>
      <c r="Q455" s="11"/>
      <c r="R455" s="11"/>
      <c r="S455" s="11"/>
      <c r="T455" s="11"/>
      <c r="U455" s="11"/>
      <c r="V455" s="11"/>
    </row>
    <row r="456" spans="1:22">
      <c r="A456" s="11"/>
      <c r="B456" s="11"/>
      <c r="C456" s="11"/>
      <c r="D456" s="11"/>
      <c r="E456" s="11"/>
      <c r="F456" s="11"/>
      <c r="G456" s="11"/>
      <c r="H456" s="11"/>
      <c r="I456" s="11"/>
      <c r="J456" s="11"/>
      <c r="K456" s="11"/>
      <c r="L456" s="11"/>
      <c r="M456" s="11"/>
      <c r="N456" s="11"/>
      <c r="O456" s="11"/>
      <c r="P456" s="11"/>
      <c r="Q456" s="11"/>
      <c r="R456" s="11"/>
      <c r="S456" s="11"/>
      <c r="T456" s="11"/>
      <c r="U456" s="11"/>
      <c r="V456" s="11"/>
    </row>
    <row r="457" spans="1:22">
      <c r="A457" s="11"/>
      <c r="B457" s="11"/>
      <c r="C457" s="11"/>
      <c r="D457" s="11"/>
      <c r="E457" s="11"/>
      <c r="F457" s="11"/>
      <c r="G457" s="11"/>
      <c r="H457" s="11"/>
      <c r="I457" s="11"/>
      <c r="J457" s="11"/>
      <c r="K457" s="11"/>
      <c r="L457" s="11"/>
      <c r="M457" s="11"/>
      <c r="N457" s="11"/>
      <c r="O457" s="11"/>
      <c r="P457" s="11"/>
      <c r="Q457" s="11"/>
      <c r="R457" s="11"/>
      <c r="S457" s="11"/>
      <c r="T457" s="11"/>
      <c r="U457" s="11"/>
      <c r="V457" s="11"/>
    </row>
    <row r="458" spans="1:22">
      <c r="A458" s="11"/>
      <c r="B458" s="11"/>
      <c r="C458" s="11"/>
      <c r="D458" s="11"/>
      <c r="E458" s="11"/>
      <c r="F458" s="11"/>
      <c r="G458" s="11"/>
      <c r="H458" s="11"/>
      <c r="I458" s="11"/>
      <c r="J458" s="11"/>
      <c r="K458" s="11"/>
      <c r="L458" s="11"/>
      <c r="M458" s="11"/>
      <c r="N458" s="11"/>
      <c r="O458" s="11"/>
      <c r="P458" s="11"/>
      <c r="Q458" s="11"/>
      <c r="R458" s="11"/>
      <c r="S458" s="11"/>
      <c r="T458" s="11"/>
      <c r="U458" s="11"/>
      <c r="V458" s="11"/>
    </row>
    <row r="459" spans="1:22">
      <c r="A459" s="11"/>
      <c r="B459" s="11"/>
      <c r="C459" s="11"/>
      <c r="D459" s="11"/>
      <c r="E459" s="11"/>
      <c r="F459" s="11"/>
      <c r="G459" s="11"/>
      <c r="H459" s="11"/>
      <c r="I459" s="11"/>
      <c r="J459" s="11"/>
      <c r="K459" s="11"/>
      <c r="L459" s="11"/>
      <c r="M459" s="11"/>
      <c r="N459" s="11"/>
      <c r="O459" s="11"/>
      <c r="P459" s="11"/>
      <c r="Q459" s="11"/>
      <c r="R459" s="11"/>
      <c r="S459" s="11"/>
      <c r="T459" s="11"/>
      <c r="U459" s="11"/>
      <c r="V459" s="11"/>
    </row>
    <row r="460" spans="1:22">
      <c r="A460" s="11"/>
      <c r="B460" s="11"/>
      <c r="C460" s="11"/>
      <c r="D460" s="11"/>
      <c r="E460" s="11"/>
      <c r="F460" s="11"/>
      <c r="G460" s="11"/>
      <c r="H460" s="11"/>
      <c r="I460" s="11"/>
      <c r="J460" s="11"/>
      <c r="K460" s="11"/>
      <c r="L460" s="11"/>
      <c r="M460" s="11"/>
      <c r="N460" s="11"/>
      <c r="O460" s="11"/>
      <c r="P460" s="11"/>
      <c r="Q460" s="11"/>
      <c r="R460" s="11"/>
      <c r="S460" s="11"/>
      <c r="T460" s="11"/>
      <c r="U460" s="11"/>
      <c r="V460" s="11"/>
    </row>
    <row r="461" spans="1:22">
      <c r="A461" s="11"/>
      <c r="B461" s="11"/>
      <c r="C461" s="11"/>
      <c r="D461" s="11"/>
      <c r="E461" s="11"/>
      <c r="F461" s="11"/>
      <c r="G461" s="11"/>
      <c r="H461" s="11"/>
      <c r="I461" s="11"/>
      <c r="J461" s="11"/>
      <c r="K461" s="11"/>
      <c r="L461" s="11"/>
      <c r="M461" s="11"/>
      <c r="N461" s="11"/>
      <c r="O461" s="11"/>
      <c r="P461" s="11"/>
      <c r="Q461" s="11"/>
      <c r="R461" s="11"/>
      <c r="S461" s="11"/>
      <c r="T461" s="11"/>
      <c r="U461" s="11"/>
      <c r="V461" s="11"/>
    </row>
    <row r="462" spans="1:22">
      <c r="A462" s="11"/>
      <c r="B462" s="11"/>
      <c r="C462" s="11"/>
      <c r="D462" s="11"/>
      <c r="E462" s="11"/>
      <c r="F462" s="11"/>
      <c r="G462" s="11"/>
      <c r="H462" s="11"/>
      <c r="I462" s="11"/>
      <c r="J462" s="11"/>
      <c r="K462" s="11"/>
      <c r="L462" s="11"/>
      <c r="M462" s="11"/>
      <c r="N462" s="11"/>
      <c r="O462" s="11"/>
      <c r="P462" s="11"/>
      <c r="Q462" s="11"/>
      <c r="R462" s="11"/>
      <c r="S462" s="11"/>
      <c r="T462" s="11"/>
      <c r="U462" s="11"/>
      <c r="V462" s="11"/>
    </row>
    <row r="463" spans="1:22">
      <c r="A463" s="11"/>
      <c r="B463" s="11"/>
      <c r="C463" s="11"/>
      <c r="D463" s="11"/>
      <c r="E463" s="11"/>
      <c r="F463" s="11"/>
      <c r="G463" s="11"/>
      <c r="H463" s="11"/>
      <c r="I463" s="11"/>
      <c r="J463" s="11"/>
      <c r="K463" s="11"/>
      <c r="L463" s="11"/>
      <c r="M463" s="11"/>
      <c r="N463" s="11"/>
      <c r="O463" s="11"/>
      <c r="P463" s="11"/>
      <c r="Q463" s="11"/>
      <c r="R463" s="11"/>
      <c r="S463" s="11"/>
      <c r="T463" s="11"/>
      <c r="U463" s="11"/>
      <c r="V463" s="11"/>
    </row>
    <row r="464" spans="1:22">
      <c r="A464" s="11"/>
      <c r="B464" s="11"/>
      <c r="C464" s="11"/>
      <c r="D464" s="11"/>
      <c r="E464" s="11"/>
      <c r="F464" s="11"/>
      <c r="G464" s="11"/>
      <c r="H464" s="11"/>
      <c r="I464" s="11"/>
      <c r="J464" s="11"/>
      <c r="K464" s="11"/>
      <c r="L464" s="11"/>
      <c r="M464" s="11"/>
      <c r="N464" s="11"/>
      <c r="O464" s="11"/>
      <c r="P464" s="11"/>
      <c r="Q464" s="11"/>
      <c r="R464" s="11"/>
      <c r="S464" s="11"/>
      <c r="T464" s="11"/>
      <c r="U464" s="11"/>
      <c r="V464" s="11"/>
    </row>
    <row r="465" spans="1:22">
      <c r="A465" s="11"/>
      <c r="B465" s="11"/>
      <c r="C465" s="11"/>
      <c r="D465" s="11"/>
      <c r="E465" s="11"/>
      <c r="F465" s="11"/>
      <c r="G465" s="11"/>
      <c r="H465" s="11"/>
      <c r="I465" s="11"/>
      <c r="J465" s="11"/>
      <c r="K465" s="11"/>
      <c r="L465" s="11"/>
      <c r="M465" s="11"/>
      <c r="N465" s="11"/>
      <c r="O465" s="11"/>
      <c r="P465" s="11"/>
      <c r="Q465" s="11"/>
      <c r="R465" s="11"/>
      <c r="S465" s="11"/>
      <c r="T465" s="11"/>
      <c r="U465" s="11"/>
      <c r="V465" s="11"/>
    </row>
    <row r="466" spans="1:22">
      <c r="A466" s="11"/>
      <c r="B466" s="11"/>
      <c r="C466" s="11"/>
      <c r="D466" s="11"/>
      <c r="E466" s="11"/>
      <c r="F466" s="11"/>
      <c r="G466" s="11"/>
      <c r="H466" s="11"/>
      <c r="I466" s="11"/>
      <c r="J466" s="11"/>
      <c r="K466" s="11"/>
      <c r="L466" s="11"/>
      <c r="M466" s="11"/>
      <c r="N466" s="11"/>
      <c r="O466" s="11"/>
      <c r="P466" s="11"/>
      <c r="Q466" s="11"/>
      <c r="R466" s="11"/>
      <c r="S466" s="11"/>
      <c r="T466" s="11"/>
      <c r="U466" s="11"/>
      <c r="V466" s="11"/>
    </row>
    <row r="467" spans="1:22">
      <c r="A467" s="11"/>
      <c r="B467" s="11"/>
      <c r="C467" s="11"/>
      <c r="D467" s="11"/>
      <c r="E467" s="11"/>
      <c r="F467" s="11"/>
      <c r="G467" s="11"/>
      <c r="H467" s="11"/>
      <c r="I467" s="11"/>
      <c r="J467" s="11"/>
      <c r="K467" s="11"/>
      <c r="L467" s="11"/>
      <c r="M467" s="11"/>
      <c r="N467" s="11"/>
      <c r="O467" s="11"/>
      <c r="P467" s="11"/>
      <c r="Q467" s="11"/>
      <c r="R467" s="11"/>
      <c r="S467" s="11"/>
      <c r="T467" s="11"/>
      <c r="U467" s="11"/>
      <c r="V467" s="11"/>
    </row>
    <row r="468" spans="1:22">
      <c r="A468" s="11"/>
      <c r="B468" s="11"/>
      <c r="C468" s="11"/>
      <c r="D468" s="11"/>
      <c r="E468" s="11"/>
      <c r="F468" s="11"/>
      <c r="G468" s="11"/>
      <c r="H468" s="11"/>
      <c r="I468" s="11"/>
      <c r="J468" s="11"/>
      <c r="K468" s="11"/>
      <c r="L468" s="11"/>
      <c r="M468" s="11"/>
      <c r="N468" s="11"/>
      <c r="O468" s="11"/>
      <c r="P468" s="11"/>
      <c r="Q468" s="11"/>
      <c r="R468" s="11"/>
      <c r="S468" s="11"/>
      <c r="T468" s="11"/>
      <c r="U468" s="11"/>
      <c r="V468" s="11"/>
    </row>
    <row r="469" spans="1:22">
      <c r="A469" s="11"/>
      <c r="B469" s="11"/>
      <c r="C469" s="11"/>
      <c r="D469" s="11"/>
      <c r="E469" s="11"/>
      <c r="F469" s="11"/>
      <c r="G469" s="11"/>
      <c r="H469" s="11"/>
      <c r="I469" s="11"/>
      <c r="J469" s="11"/>
      <c r="K469" s="11"/>
      <c r="L469" s="11"/>
      <c r="M469" s="11"/>
      <c r="N469" s="11"/>
      <c r="O469" s="11"/>
      <c r="P469" s="11"/>
      <c r="Q469" s="11"/>
      <c r="R469" s="11"/>
      <c r="S469" s="11"/>
      <c r="T469" s="11"/>
      <c r="U469" s="11"/>
      <c r="V469" s="11"/>
    </row>
    <row r="470" spans="1:22">
      <c r="A470" s="11"/>
      <c r="B470" s="11"/>
      <c r="C470" s="11"/>
      <c r="D470" s="11"/>
      <c r="E470" s="11"/>
      <c r="F470" s="11"/>
      <c r="G470" s="11"/>
      <c r="H470" s="11"/>
      <c r="I470" s="11"/>
      <c r="J470" s="11"/>
      <c r="K470" s="11"/>
      <c r="L470" s="11"/>
      <c r="M470" s="11"/>
      <c r="N470" s="11"/>
      <c r="O470" s="11"/>
      <c r="P470" s="11"/>
      <c r="Q470" s="11"/>
      <c r="R470" s="11"/>
      <c r="S470" s="11"/>
      <c r="T470" s="11"/>
      <c r="U470" s="11"/>
      <c r="V470" s="11"/>
    </row>
    <row r="471" spans="1:22">
      <c r="A471" s="11"/>
      <c r="B471" s="11"/>
      <c r="C471" s="11"/>
      <c r="D471" s="11"/>
      <c r="E471" s="11"/>
      <c r="F471" s="11"/>
      <c r="G471" s="11"/>
      <c r="H471" s="11"/>
      <c r="I471" s="11"/>
      <c r="J471" s="11"/>
      <c r="K471" s="11"/>
      <c r="L471" s="11"/>
      <c r="M471" s="11"/>
      <c r="N471" s="11"/>
      <c r="O471" s="11"/>
      <c r="P471" s="11"/>
      <c r="Q471" s="11"/>
      <c r="R471" s="11"/>
      <c r="S471" s="11"/>
      <c r="T471" s="11"/>
      <c r="U471" s="11"/>
      <c r="V471" s="11"/>
    </row>
    <row r="472" spans="1:22">
      <c r="A472" s="11"/>
      <c r="B472" s="11"/>
      <c r="C472" s="11"/>
      <c r="D472" s="11"/>
      <c r="E472" s="11"/>
      <c r="F472" s="11"/>
      <c r="G472" s="11"/>
      <c r="H472" s="11"/>
      <c r="I472" s="11"/>
      <c r="J472" s="11"/>
      <c r="K472" s="11"/>
      <c r="L472" s="11"/>
      <c r="M472" s="11"/>
      <c r="N472" s="11"/>
      <c r="O472" s="11"/>
      <c r="P472" s="11"/>
      <c r="Q472" s="11"/>
      <c r="R472" s="11"/>
      <c r="S472" s="11"/>
      <c r="T472" s="11"/>
      <c r="U472" s="11"/>
      <c r="V472" s="11"/>
    </row>
    <row r="473" spans="1:22">
      <c r="A473" s="11"/>
      <c r="B473" s="11"/>
      <c r="C473" s="11"/>
      <c r="D473" s="11"/>
      <c r="E473" s="11"/>
      <c r="F473" s="11"/>
      <c r="G473" s="11"/>
      <c r="H473" s="11"/>
      <c r="I473" s="11"/>
      <c r="J473" s="11"/>
      <c r="K473" s="11"/>
      <c r="L473" s="11"/>
      <c r="M473" s="11"/>
      <c r="N473" s="11"/>
      <c r="O473" s="11"/>
      <c r="P473" s="11"/>
      <c r="Q473" s="11"/>
      <c r="R473" s="11"/>
      <c r="S473" s="11"/>
      <c r="T473" s="11"/>
      <c r="U473" s="11"/>
      <c r="V473" s="11"/>
    </row>
    <row r="474" spans="1:22">
      <c r="A474" s="11"/>
      <c r="B474" s="11"/>
      <c r="C474" s="11"/>
      <c r="D474" s="11"/>
      <c r="E474" s="11"/>
      <c r="F474" s="11"/>
      <c r="G474" s="11"/>
      <c r="H474" s="11"/>
      <c r="I474" s="11"/>
      <c r="J474" s="11"/>
      <c r="K474" s="11"/>
      <c r="L474" s="11"/>
      <c r="M474" s="11"/>
      <c r="N474" s="11"/>
      <c r="O474" s="11"/>
      <c r="P474" s="11"/>
      <c r="Q474" s="11"/>
      <c r="R474" s="11"/>
      <c r="S474" s="11"/>
      <c r="T474" s="11"/>
      <c r="U474" s="11"/>
      <c r="V474" s="11"/>
    </row>
    <row r="475" spans="1:22">
      <c r="A475" s="11"/>
      <c r="B475" s="11"/>
      <c r="C475" s="11"/>
      <c r="D475" s="11"/>
      <c r="E475" s="11"/>
      <c r="F475" s="11"/>
      <c r="G475" s="11"/>
      <c r="H475" s="11"/>
      <c r="I475" s="11"/>
      <c r="J475" s="11"/>
      <c r="K475" s="11"/>
      <c r="L475" s="11"/>
      <c r="M475" s="11"/>
      <c r="N475" s="11"/>
      <c r="O475" s="11"/>
      <c r="P475" s="11"/>
      <c r="Q475" s="11"/>
      <c r="R475" s="11"/>
      <c r="S475" s="11"/>
      <c r="T475" s="11"/>
      <c r="U475" s="11"/>
      <c r="V475" s="11"/>
    </row>
    <row r="476" spans="1:22">
      <c r="A476" s="11"/>
      <c r="B476" s="11"/>
      <c r="C476" s="11"/>
      <c r="D476" s="11"/>
      <c r="E476" s="11"/>
      <c r="F476" s="11"/>
      <c r="G476" s="11"/>
      <c r="H476" s="11"/>
      <c r="I476" s="11"/>
      <c r="J476" s="11"/>
      <c r="K476" s="11"/>
      <c r="L476" s="11"/>
      <c r="M476" s="11"/>
      <c r="N476" s="11"/>
      <c r="O476" s="11"/>
      <c r="P476" s="11"/>
      <c r="Q476" s="11"/>
      <c r="R476" s="11"/>
      <c r="S476" s="11"/>
      <c r="T476" s="11"/>
      <c r="U476" s="11"/>
      <c r="V476" s="11"/>
    </row>
    <row r="477" spans="1:22">
      <c r="A477" s="11"/>
      <c r="B477" s="11"/>
      <c r="C477" s="11"/>
      <c r="D477" s="11"/>
      <c r="E477" s="11"/>
      <c r="F477" s="11"/>
      <c r="G477" s="11"/>
      <c r="H477" s="11"/>
      <c r="I477" s="11"/>
      <c r="J477" s="11"/>
      <c r="K477" s="11"/>
      <c r="L477" s="11"/>
      <c r="M477" s="11"/>
      <c r="N477" s="11"/>
      <c r="O477" s="11"/>
      <c r="P477" s="11"/>
      <c r="Q477" s="11"/>
      <c r="R477" s="11"/>
      <c r="S477" s="11"/>
      <c r="T477" s="11"/>
      <c r="U477" s="11"/>
      <c r="V477" s="11"/>
    </row>
    <row r="478" spans="1:22">
      <c r="A478" s="11"/>
      <c r="B478" s="11"/>
      <c r="C478" s="11"/>
      <c r="D478" s="11"/>
      <c r="E478" s="11"/>
      <c r="F478" s="11"/>
      <c r="G478" s="11"/>
      <c r="H478" s="11"/>
      <c r="I478" s="11"/>
      <c r="J478" s="11"/>
      <c r="K478" s="11"/>
      <c r="L478" s="11"/>
      <c r="M478" s="11"/>
      <c r="N478" s="11"/>
      <c r="O478" s="11"/>
      <c r="P478" s="11"/>
      <c r="Q478" s="11"/>
      <c r="R478" s="11"/>
      <c r="S478" s="11"/>
      <c r="T478" s="11"/>
      <c r="U478" s="11"/>
      <c r="V478" s="11"/>
    </row>
    <row r="479" spans="1:22">
      <c r="A479" s="11"/>
      <c r="B479" s="11"/>
      <c r="C479" s="11"/>
      <c r="D479" s="11"/>
      <c r="E479" s="11"/>
      <c r="F479" s="11"/>
      <c r="G479" s="11"/>
      <c r="H479" s="11"/>
      <c r="I479" s="11"/>
      <c r="J479" s="11"/>
      <c r="K479" s="11"/>
      <c r="L479" s="11"/>
      <c r="M479" s="11"/>
      <c r="N479" s="11"/>
      <c r="O479" s="11"/>
      <c r="P479" s="11"/>
      <c r="Q479" s="11"/>
      <c r="R479" s="11"/>
      <c r="S479" s="11"/>
      <c r="T479" s="11"/>
      <c r="U479" s="11"/>
      <c r="V479" s="11"/>
    </row>
    <row r="480" spans="1:22">
      <c r="A480" s="11"/>
      <c r="B480" s="11"/>
      <c r="C480" s="11"/>
      <c r="D480" s="11"/>
      <c r="E480" s="11"/>
      <c r="F480" s="11"/>
      <c r="G480" s="11"/>
      <c r="H480" s="11"/>
      <c r="I480" s="11"/>
      <c r="J480" s="11"/>
      <c r="K480" s="11"/>
      <c r="L480" s="11"/>
      <c r="M480" s="11"/>
      <c r="N480" s="11"/>
      <c r="O480" s="11"/>
      <c r="P480" s="11"/>
      <c r="Q480" s="11"/>
      <c r="R480" s="11"/>
      <c r="S480" s="11"/>
      <c r="T480" s="11"/>
      <c r="U480" s="11"/>
      <c r="V480" s="11"/>
    </row>
    <row r="481" spans="1:22">
      <c r="A481" s="11"/>
      <c r="B481" s="11"/>
      <c r="C481" s="11"/>
      <c r="D481" s="11"/>
      <c r="E481" s="11"/>
      <c r="F481" s="11"/>
      <c r="G481" s="11"/>
      <c r="H481" s="11"/>
      <c r="I481" s="11"/>
      <c r="J481" s="11"/>
      <c r="K481" s="11"/>
      <c r="L481" s="11"/>
      <c r="M481" s="11"/>
      <c r="N481" s="11"/>
      <c r="O481" s="11"/>
      <c r="P481" s="11"/>
      <c r="Q481" s="11"/>
      <c r="R481" s="11"/>
      <c r="S481" s="11"/>
      <c r="T481" s="11"/>
      <c r="U481" s="11"/>
      <c r="V481" s="11"/>
    </row>
    <row r="482" spans="1:22">
      <c r="A482" s="11"/>
      <c r="B482" s="11"/>
      <c r="C482" s="11"/>
      <c r="D482" s="11"/>
      <c r="E482" s="11"/>
      <c r="F482" s="11"/>
      <c r="G482" s="11"/>
      <c r="H482" s="11"/>
      <c r="I482" s="11"/>
      <c r="J482" s="11"/>
      <c r="K482" s="11"/>
      <c r="L482" s="11"/>
      <c r="M482" s="11"/>
      <c r="N482" s="11"/>
      <c r="O482" s="11"/>
      <c r="P482" s="11"/>
      <c r="Q482" s="11"/>
      <c r="R482" s="11"/>
      <c r="S482" s="11"/>
      <c r="T482" s="11"/>
      <c r="U482" s="11"/>
      <c r="V482" s="11"/>
    </row>
    <row r="483" spans="1:22">
      <c r="A483" s="11"/>
      <c r="B483" s="11"/>
      <c r="C483" s="11"/>
      <c r="D483" s="11"/>
      <c r="E483" s="11"/>
      <c r="F483" s="11"/>
      <c r="G483" s="11"/>
      <c r="H483" s="11"/>
      <c r="I483" s="11"/>
      <c r="J483" s="11"/>
      <c r="K483" s="11"/>
      <c r="L483" s="11"/>
      <c r="M483" s="11"/>
      <c r="N483" s="11"/>
      <c r="O483" s="11"/>
      <c r="P483" s="11"/>
      <c r="Q483" s="11"/>
      <c r="R483" s="11"/>
      <c r="S483" s="11"/>
      <c r="T483" s="11"/>
      <c r="U483" s="11"/>
      <c r="V483" s="11"/>
    </row>
    <row r="484" spans="1:22">
      <c r="A484" s="11"/>
      <c r="B484" s="11"/>
      <c r="C484" s="11"/>
      <c r="D484" s="11"/>
      <c r="E484" s="11"/>
      <c r="F484" s="11"/>
      <c r="G484" s="11"/>
      <c r="H484" s="11"/>
      <c r="I484" s="11"/>
      <c r="J484" s="11"/>
      <c r="K484" s="11"/>
      <c r="L484" s="11"/>
      <c r="M484" s="11"/>
      <c r="N484" s="11"/>
      <c r="O484" s="11"/>
      <c r="P484" s="11"/>
      <c r="Q484" s="11"/>
      <c r="R484" s="11"/>
      <c r="S484" s="11"/>
      <c r="T484" s="11"/>
      <c r="U484" s="11"/>
      <c r="V484" s="11"/>
    </row>
    <row r="485" spans="1:22">
      <c r="A485" s="11"/>
      <c r="B485" s="11"/>
      <c r="C485" s="11"/>
      <c r="D485" s="11"/>
      <c r="E485" s="11"/>
      <c r="F485" s="11"/>
      <c r="G485" s="11"/>
      <c r="H485" s="11"/>
      <c r="I485" s="11"/>
      <c r="J485" s="11"/>
      <c r="K485" s="11"/>
      <c r="L485" s="11"/>
      <c r="M485" s="11"/>
      <c r="N485" s="11"/>
      <c r="O485" s="11"/>
      <c r="P485" s="11"/>
      <c r="Q485" s="11"/>
      <c r="R485" s="11"/>
      <c r="S485" s="11"/>
      <c r="T485" s="11"/>
      <c r="U485" s="11"/>
      <c r="V485" s="11"/>
    </row>
    <row r="486" spans="1:22">
      <c r="A486" s="11"/>
      <c r="B486" s="11"/>
      <c r="C486" s="11"/>
      <c r="D486" s="11"/>
      <c r="E486" s="11"/>
      <c r="F486" s="11"/>
      <c r="G486" s="11"/>
      <c r="H486" s="11"/>
      <c r="I486" s="11"/>
      <c r="J486" s="11"/>
      <c r="K486" s="11"/>
      <c r="L486" s="11"/>
      <c r="M486" s="11"/>
      <c r="N486" s="11"/>
      <c r="O486" s="11"/>
      <c r="P486" s="11"/>
      <c r="Q486" s="11"/>
      <c r="R486" s="11"/>
      <c r="S486" s="11"/>
      <c r="T486" s="11"/>
      <c r="U486" s="11"/>
      <c r="V486" s="11"/>
    </row>
    <row r="487" spans="1:22">
      <c r="A487" s="11"/>
      <c r="B487" s="11"/>
      <c r="C487" s="11"/>
      <c r="D487" s="11"/>
      <c r="E487" s="11"/>
      <c r="F487" s="11"/>
      <c r="G487" s="11"/>
      <c r="H487" s="11"/>
      <c r="I487" s="11"/>
      <c r="J487" s="11"/>
      <c r="K487" s="11"/>
      <c r="L487" s="11"/>
      <c r="M487" s="11"/>
      <c r="N487" s="11"/>
      <c r="O487" s="11"/>
      <c r="P487" s="11"/>
      <c r="Q487" s="11"/>
      <c r="R487" s="11"/>
      <c r="S487" s="11"/>
      <c r="T487" s="11"/>
      <c r="U487" s="11"/>
      <c r="V487" s="11"/>
    </row>
    <row r="488" spans="1:22">
      <c r="A488" s="11"/>
      <c r="B488" s="11"/>
      <c r="C488" s="11"/>
      <c r="D488" s="11"/>
      <c r="E488" s="11"/>
      <c r="F488" s="11"/>
      <c r="G488" s="11"/>
      <c r="H488" s="11"/>
      <c r="I488" s="11"/>
      <c r="J488" s="11"/>
      <c r="K488" s="11"/>
      <c r="L488" s="11"/>
      <c r="M488" s="11"/>
      <c r="N488" s="11"/>
      <c r="O488" s="11"/>
      <c r="P488" s="11"/>
      <c r="Q488" s="11"/>
      <c r="R488" s="11"/>
      <c r="S488" s="11"/>
      <c r="T488" s="11"/>
      <c r="U488" s="11"/>
      <c r="V488" s="11"/>
    </row>
    <row r="489" spans="1:22">
      <c r="A489" s="11"/>
      <c r="B489" s="11"/>
      <c r="C489" s="11"/>
      <c r="D489" s="11"/>
      <c r="E489" s="11"/>
      <c r="F489" s="11"/>
      <c r="G489" s="11"/>
      <c r="H489" s="11"/>
      <c r="I489" s="11"/>
      <c r="J489" s="11"/>
      <c r="K489" s="11"/>
      <c r="L489" s="11"/>
      <c r="M489" s="11"/>
      <c r="N489" s="11"/>
      <c r="O489" s="11"/>
      <c r="P489" s="11"/>
      <c r="Q489" s="11"/>
      <c r="R489" s="11"/>
      <c r="S489" s="11"/>
      <c r="T489" s="11"/>
      <c r="U489" s="11"/>
      <c r="V489" s="11"/>
    </row>
    <row r="490" spans="1:22">
      <c r="A490" s="11"/>
      <c r="B490" s="11"/>
      <c r="C490" s="11"/>
      <c r="D490" s="11"/>
      <c r="E490" s="11"/>
      <c r="F490" s="11"/>
      <c r="G490" s="11"/>
      <c r="H490" s="11"/>
      <c r="I490" s="11"/>
      <c r="J490" s="11"/>
      <c r="K490" s="11"/>
      <c r="L490" s="11"/>
      <c r="M490" s="11"/>
      <c r="N490" s="11"/>
      <c r="O490" s="11"/>
      <c r="P490" s="11"/>
      <c r="Q490" s="11"/>
      <c r="R490" s="11"/>
      <c r="S490" s="11"/>
      <c r="T490" s="11"/>
      <c r="U490" s="11"/>
      <c r="V490" s="11"/>
    </row>
    <row r="491" spans="1:22">
      <c r="A491" s="11"/>
      <c r="B491" s="11"/>
      <c r="C491" s="11"/>
      <c r="D491" s="11"/>
      <c r="E491" s="11"/>
      <c r="F491" s="11"/>
      <c r="G491" s="11"/>
      <c r="H491" s="11"/>
      <c r="I491" s="11"/>
      <c r="J491" s="11"/>
      <c r="K491" s="11"/>
      <c r="L491" s="11"/>
      <c r="M491" s="11"/>
      <c r="N491" s="11"/>
      <c r="O491" s="11"/>
      <c r="P491" s="11"/>
      <c r="Q491" s="11"/>
      <c r="R491" s="11"/>
      <c r="S491" s="11"/>
      <c r="T491" s="11"/>
      <c r="U491" s="11"/>
      <c r="V491" s="11"/>
    </row>
    <row r="492" spans="1:22">
      <c r="A492" s="11"/>
      <c r="B492" s="11"/>
      <c r="C492" s="11"/>
      <c r="D492" s="11"/>
      <c r="E492" s="11"/>
      <c r="F492" s="11"/>
      <c r="G492" s="11"/>
      <c r="H492" s="11"/>
      <c r="I492" s="11"/>
      <c r="J492" s="11"/>
      <c r="K492" s="11"/>
      <c r="L492" s="11"/>
      <c r="M492" s="11"/>
      <c r="N492" s="11"/>
      <c r="O492" s="11"/>
      <c r="P492" s="11"/>
      <c r="Q492" s="11"/>
      <c r="R492" s="11"/>
      <c r="S492" s="11"/>
      <c r="T492" s="11"/>
      <c r="U492" s="11"/>
      <c r="V492" s="11"/>
    </row>
    <row r="493" spans="1:22">
      <c r="A493" s="11"/>
      <c r="B493" s="11"/>
      <c r="C493" s="11"/>
      <c r="D493" s="11"/>
      <c r="E493" s="11"/>
      <c r="F493" s="11"/>
      <c r="G493" s="11"/>
      <c r="H493" s="11"/>
      <c r="I493" s="11"/>
      <c r="J493" s="11"/>
      <c r="K493" s="11"/>
      <c r="L493" s="11"/>
      <c r="M493" s="11"/>
      <c r="N493" s="11"/>
      <c r="O493" s="11"/>
      <c r="P493" s="11"/>
      <c r="Q493" s="11"/>
      <c r="R493" s="11"/>
      <c r="S493" s="11"/>
      <c r="T493" s="11"/>
      <c r="U493" s="11"/>
      <c r="V493" s="11"/>
    </row>
    <row r="494" spans="1:22">
      <c r="A494" s="11"/>
      <c r="B494" s="11"/>
      <c r="C494" s="11"/>
      <c r="D494" s="11"/>
      <c r="E494" s="11"/>
      <c r="F494" s="11"/>
      <c r="G494" s="11"/>
      <c r="H494" s="11"/>
      <c r="I494" s="11"/>
      <c r="J494" s="11"/>
      <c r="K494" s="11"/>
      <c r="L494" s="11"/>
      <c r="M494" s="11"/>
      <c r="N494" s="11"/>
      <c r="O494" s="11"/>
      <c r="P494" s="11"/>
      <c r="Q494" s="11"/>
      <c r="R494" s="11"/>
      <c r="S494" s="11"/>
      <c r="T494" s="11"/>
      <c r="U494" s="11"/>
      <c r="V494" s="11"/>
    </row>
    <row r="495" spans="1:22">
      <c r="A495" s="11"/>
      <c r="B495" s="11"/>
      <c r="C495" s="11"/>
      <c r="D495" s="11"/>
      <c r="E495" s="11"/>
      <c r="F495" s="11"/>
      <c r="G495" s="11"/>
      <c r="H495" s="11"/>
      <c r="I495" s="11"/>
      <c r="J495" s="11"/>
      <c r="K495" s="11"/>
      <c r="L495" s="11"/>
      <c r="M495" s="11"/>
      <c r="N495" s="11"/>
      <c r="O495" s="11"/>
      <c r="P495" s="11"/>
      <c r="Q495" s="11"/>
      <c r="R495" s="11"/>
      <c r="S495" s="11"/>
      <c r="T495" s="11"/>
      <c r="U495" s="11"/>
      <c r="V495" s="11"/>
    </row>
    <row r="496" spans="1:22">
      <c r="A496" s="11"/>
      <c r="B496" s="11"/>
      <c r="C496" s="11"/>
      <c r="D496" s="11"/>
      <c r="E496" s="11"/>
      <c r="F496" s="11"/>
      <c r="G496" s="11"/>
      <c r="H496" s="11"/>
      <c r="I496" s="11"/>
      <c r="J496" s="11"/>
      <c r="K496" s="11"/>
      <c r="L496" s="11"/>
      <c r="M496" s="11"/>
      <c r="N496" s="11"/>
      <c r="O496" s="11"/>
      <c r="P496" s="11"/>
      <c r="Q496" s="11"/>
      <c r="R496" s="11"/>
      <c r="S496" s="11"/>
      <c r="T496" s="11"/>
      <c r="U496" s="11"/>
      <c r="V496" s="11"/>
    </row>
    <row r="497" spans="1:22">
      <c r="A497" s="11"/>
      <c r="B497" s="11"/>
      <c r="C497" s="11"/>
      <c r="D497" s="11"/>
      <c r="E497" s="11"/>
      <c r="F497" s="11"/>
      <c r="G497" s="11"/>
      <c r="H497" s="11"/>
      <c r="I497" s="11"/>
      <c r="J497" s="11"/>
      <c r="K497" s="11"/>
      <c r="L497" s="11"/>
      <c r="M497" s="11"/>
      <c r="N497" s="11"/>
      <c r="O497" s="11"/>
      <c r="P497" s="11"/>
      <c r="Q497" s="11"/>
      <c r="R497" s="11"/>
      <c r="S497" s="11"/>
      <c r="T497" s="11"/>
      <c r="U497" s="11"/>
      <c r="V497" s="11"/>
    </row>
    <row r="498" spans="1:22">
      <c r="A498" s="11"/>
      <c r="B498" s="11"/>
      <c r="C498" s="11"/>
      <c r="D498" s="11"/>
      <c r="E498" s="11"/>
      <c r="F498" s="11"/>
      <c r="G498" s="11"/>
      <c r="H498" s="11"/>
      <c r="I498" s="11"/>
      <c r="J498" s="11"/>
      <c r="K498" s="11"/>
      <c r="L498" s="11"/>
      <c r="M498" s="11"/>
      <c r="N498" s="11"/>
      <c r="O498" s="11"/>
      <c r="P498" s="11"/>
      <c r="Q498" s="11"/>
      <c r="R498" s="11"/>
      <c r="S498" s="11"/>
      <c r="T498" s="11"/>
      <c r="U498" s="11"/>
      <c r="V498" s="11"/>
    </row>
    <row r="499" spans="1:22">
      <c r="A499" s="11"/>
      <c r="B499" s="11"/>
      <c r="C499" s="11"/>
      <c r="D499" s="11"/>
      <c r="E499" s="11"/>
      <c r="F499" s="11"/>
      <c r="G499" s="11"/>
      <c r="H499" s="11"/>
      <c r="I499" s="11"/>
      <c r="J499" s="11"/>
      <c r="K499" s="11"/>
      <c r="L499" s="11"/>
      <c r="M499" s="11"/>
      <c r="N499" s="11"/>
      <c r="O499" s="11"/>
      <c r="P499" s="11"/>
      <c r="Q499" s="11"/>
      <c r="R499" s="11"/>
      <c r="S499" s="11"/>
      <c r="T499" s="11"/>
      <c r="U499" s="11"/>
      <c r="V499" s="11"/>
    </row>
    <row r="500" spans="1:22">
      <c r="A500" s="11"/>
      <c r="B500" s="11"/>
      <c r="C500" s="11"/>
      <c r="D500" s="11"/>
      <c r="E500" s="11"/>
      <c r="F500" s="11"/>
      <c r="G500" s="11"/>
      <c r="H500" s="11"/>
      <c r="I500" s="11"/>
      <c r="J500" s="11"/>
      <c r="K500" s="11"/>
      <c r="L500" s="11"/>
      <c r="M500" s="11"/>
      <c r="N500" s="11"/>
      <c r="O500" s="11"/>
      <c r="P500" s="11"/>
      <c r="Q500" s="11"/>
      <c r="R500" s="11"/>
      <c r="S500" s="11"/>
      <c r="T500" s="11"/>
      <c r="U500" s="11"/>
      <c r="V500" s="11"/>
    </row>
    <row r="501" spans="1:22">
      <c r="A501" s="11"/>
      <c r="B501" s="11"/>
      <c r="C501" s="11"/>
      <c r="D501" s="11"/>
      <c r="E501" s="11"/>
      <c r="F501" s="11"/>
      <c r="G501" s="11"/>
      <c r="H501" s="11"/>
      <c r="I501" s="11"/>
      <c r="J501" s="11"/>
      <c r="K501" s="11"/>
      <c r="L501" s="11"/>
      <c r="M501" s="11"/>
      <c r="N501" s="11"/>
      <c r="O501" s="11"/>
      <c r="P501" s="11"/>
      <c r="Q501" s="11"/>
      <c r="R501" s="11"/>
      <c r="S501" s="11"/>
      <c r="T501" s="11"/>
      <c r="U501" s="11"/>
      <c r="V501" s="11"/>
    </row>
    <row r="502" spans="1:22">
      <c r="A502" s="11"/>
      <c r="B502" s="11"/>
      <c r="C502" s="11"/>
      <c r="D502" s="11"/>
      <c r="E502" s="11"/>
      <c r="F502" s="11"/>
      <c r="G502" s="11"/>
      <c r="H502" s="11"/>
      <c r="I502" s="11"/>
      <c r="J502" s="11"/>
      <c r="K502" s="11"/>
      <c r="L502" s="11"/>
      <c r="M502" s="11"/>
      <c r="N502" s="11"/>
      <c r="O502" s="11"/>
      <c r="P502" s="11"/>
      <c r="Q502" s="11"/>
      <c r="R502" s="11"/>
      <c r="S502" s="11"/>
      <c r="T502" s="11"/>
      <c r="U502" s="11"/>
      <c r="V502" s="11"/>
    </row>
    <row r="503" spans="1:22">
      <c r="A503" s="11"/>
      <c r="B503" s="11"/>
      <c r="C503" s="11"/>
      <c r="D503" s="11"/>
      <c r="E503" s="11"/>
      <c r="F503" s="11"/>
      <c r="G503" s="11"/>
      <c r="H503" s="11"/>
      <c r="I503" s="11"/>
      <c r="J503" s="11"/>
      <c r="K503" s="11"/>
      <c r="L503" s="11"/>
      <c r="M503" s="11"/>
      <c r="N503" s="11"/>
      <c r="O503" s="11"/>
      <c r="P503" s="11"/>
      <c r="Q503" s="11"/>
      <c r="R503" s="11"/>
      <c r="S503" s="11"/>
      <c r="T503" s="11"/>
      <c r="U503" s="11"/>
      <c r="V503" s="11"/>
    </row>
    <row r="504" spans="1:22">
      <c r="A504" s="11"/>
      <c r="B504" s="11"/>
      <c r="C504" s="11"/>
      <c r="D504" s="11"/>
      <c r="E504" s="11"/>
      <c r="F504" s="11"/>
      <c r="G504" s="11"/>
      <c r="H504" s="11"/>
      <c r="I504" s="11"/>
      <c r="J504" s="11"/>
      <c r="K504" s="11"/>
      <c r="L504" s="11"/>
      <c r="M504" s="11"/>
      <c r="N504" s="11"/>
      <c r="O504" s="11"/>
      <c r="P504" s="11"/>
      <c r="Q504" s="11"/>
      <c r="R504" s="11"/>
      <c r="S504" s="11"/>
      <c r="T504" s="11"/>
      <c r="U504" s="11"/>
      <c r="V504" s="11"/>
    </row>
    <row r="505" spans="1:22">
      <c r="A505" s="11"/>
      <c r="B505" s="11"/>
      <c r="C505" s="11"/>
      <c r="D505" s="11"/>
      <c r="E505" s="11"/>
      <c r="F505" s="11"/>
      <c r="G505" s="11"/>
      <c r="H505" s="11"/>
      <c r="I505" s="11"/>
      <c r="J505" s="11"/>
      <c r="K505" s="11"/>
      <c r="L505" s="11"/>
      <c r="M505" s="11"/>
      <c r="N505" s="11"/>
      <c r="O505" s="11"/>
      <c r="P505" s="11"/>
      <c r="Q505" s="11"/>
      <c r="R505" s="11"/>
      <c r="S505" s="11"/>
      <c r="T505" s="11"/>
      <c r="U505" s="11"/>
      <c r="V505" s="11"/>
    </row>
  </sheetData>
  <autoFilter ref="A4:V505" xr:uid="{00000000-0009-0000-0000-000024000000}"/>
  <mergeCells count="2">
    <mergeCell ref="A2:V2"/>
    <mergeCell ref="A1:V1"/>
  </mergeCells>
  <dataValidations count="3">
    <dataValidation type="list" allowBlank="1" showInputMessage="1" showErrorMessage="1" errorTitle="Valeur non reconnue" error="Choisir une valeur du référentiel." promptTitle="Saisie ToTAL" prompt="Sélectionner une valeur contrôlée." sqref="C6:C505" xr:uid="{00000000-0002-0000-2400-000000000000}">
      <formula1>Liste_06</formula1>
    </dataValidation>
    <dataValidation type="list" allowBlank="1" showInputMessage="1" showErrorMessage="1" errorTitle="Valeur non reconnue" error="Choisir une valeur du référentiel." promptTitle="Saisie ToTAL" prompt="Sélectionner une valeur contrôlée." sqref="K6:K505" xr:uid="{00000000-0002-0000-2400-000001000000}">
      <formula1>Liste_07</formula1>
    </dataValidation>
    <dataValidation type="list" allowBlank="1" showInputMessage="1" showErrorMessage="1" errorTitle="Valeur non reconnue" error="Choisir une valeur du référentiel." promptTitle="Saisie ToTAL" prompt="Sélectionner une valeur contrôlée." sqref="U6:U505" xr:uid="{00000000-0002-0000-2400-000002000000}">
      <formula1>Liste_09</formula1>
    </dataValidation>
  </dataValidation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505"/>
  <sheetViews>
    <sheetView showGridLines="0" workbookViewId="0">
      <pane ySplit="4" topLeftCell="A5" activePane="bottomLeft" state="frozen"/>
      <selection pane="bottomLeft"/>
    </sheetView>
  </sheetViews>
  <sheetFormatPr defaultRowHeight="15"/>
  <cols>
    <col min="1" max="1" width="12" customWidth="1"/>
    <col min="2" max="2" width="18" customWidth="1"/>
    <col min="3" max="3" width="32" customWidth="1"/>
    <col min="4" max="4" width="30" customWidth="1"/>
    <col min="5" max="5" width="34" customWidth="1"/>
    <col min="6" max="7" width="30" customWidth="1"/>
    <col min="8" max="8" width="28" customWidth="1"/>
    <col min="9" max="9" width="32" customWidth="1"/>
    <col min="10" max="10" width="30" customWidth="1"/>
    <col min="11" max="11" width="28" customWidth="1"/>
    <col min="12" max="12" width="30" customWidth="1"/>
    <col min="13" max="13" width="24" customWidth="1"/>
    <col min="14" max="14" width="32" customWidth="1"/>
    <col min="15" max="15" width="26" customWidth="1"/>
    <col min="16" max="16" width="30" customWidth="1"/>
  </cols>
  <sheetData>
    <row r="1" spans="1:16" ht="26.1" customHeight="1">
      <c r="A1" s="52" t="s">
        <v>4384</v>
      </c>
      <c r="B1" s="30"/>
      <c r="C1" s="30"/>
      <c r="D1" s="30"/>
      <c r="E1" s="30"/>
      <c r="F1" s="30"/>
      <c r="G1" s="30"/>
      <c r="H1" s="30"/>
      <c r="I1" s="30"/>
      <c r="J1" s="30"/>
      <c r="K1" s="30"/>
      <c r="L1" s="30"/>
      <c r="M1" s="30"/>
      <c r="N1" s="30"/>
      <c r="O1" s="30"/>
      <c r="P1" s="30"/>
    </row>
    <row r="2" spans="1:16" ht="35.1" customHeight="1">
      <c r="A2" s="28" t="s">
        <v>4536</v>
      </c>
      <c r="B2" s="30"/>
      <c r="C2" s="30"/>
      <c r="D2" s="30"/>
      <c r="E2" s="30"/>
      <c r="F2" s="30"/>
      <c r="G2" s="30"/>
      <c r="H2" s="30"/>
      <c r="I2" s="30"/>
      <c r="J2" s="30"/>
      <c r="K2" s="30"/>
      <c r="L2" s="30"/>
      <c r="M2" s="30"/>
      <c r="N2" s="30"/>
      <c r="O2" s="30"/>
      <c r="P2" s="30"/>
    </row>
    <row r="4" spans="1:16">
      <c r="A4" s="58" t="s">
        <v>188</v>
      </c>
      <c r="B4" s="58" t="s">
        <v>3033</v>
      </c>
      <c r="C4" s="58" t="s">
        <v>4537</v>
      </c>
      <c r="D4" s="58" t="s">
        <v>4538</v>
      </c>
      <c r="E4" s="58" t="s">
        <v>4539</v>
      </c>
      <c r="F4" s="58" t="s">
        <v>4540</v>
      </c>
      <c r="G4" s="58" t="s">
        <v>4541</v>
      </c>
      <c r="H4" s="58" t="s">
        <v>4542</v>
      </c>
      <c r="I4" s="58" t="s">
        <v>4543</v>
      </c>
      <c r="J4" s="58" t="s">
        <v>4544</v>
      </c>
      <c r="K4" s="58" t="s">
        <v>4545</v>
      </c>
      <c r="L4" s="58" t="s">
        <v>4481</v>
      </c>
      <c r="M4" s="58" t="s">
        <v>4546</v>
      </c>
      <c r="N4" s="58" t="s">
        <v>4547</v>
      </c>
      <c r="O4" s="58" t="s">
        <v>4548</v>
      </c>
      <c r="P4" s="58" t="s">
        <v>4549</v>
      </c>
    </row>
    <row r="5" spans="1:16" ht="62.1" customHeight="1">
      <c r="A5" s="8" t="s">
        <v>4416</v>
      </c>
      <c r="B5" s="8" t="s">
        <v>4550</v>
      </c>
      <c r="C5" s="8" t="s">
        <v>4551</v>
      </c>
      <c r="D5" s="8" t="s">
        <v>4552</v>
      </c>
      <c r="E5" s="8" t="s">
        <v>4553</v>
      </c>
      <c r="F5" s="8" t="s">
        <v>4554</v>
      </c>
      <c r="G5" s="8" t="s">
        <v>4555</v>
      </c>
      <c r="H5" s="8" t="s">
        <v>4556</v>
      </c>
      <c r="I5" s="8" t="s">
        <v>4557</v>
      </c>
      <c r="J5" s="8" t="s">
        <v>4558</v>
      </c>
      <c r="K5" s="8" t="s">
        <v>4559</v>
      </c>
      <c r="L5" s="8" t="s">
        <v>4560</v>
      </c>
      <c r="M5" s="8" t="s">
        <v>4561</v>
      </c>
      <c r="N5" s="8" t="s">
        <v>4562</v>
      </c>
      <c r="O5" s="8" t="s">
        <v>4563</v>
      </c>
      <c r="P5" s="8" t="s">
        <v>4564</v>
      </c>
    </row>
    <row r="6" spans="1:16">
      <c r="A6" s="11"/>
      <c r="B6" s="11"/>
      <c r="C6" s="11"/>
      <c r="D6" s="11"/>
      <c r="E6" s="11"/>
      <c r="F6" s="11"/>
      <c r="G6" s="11"/>
      <c r="H6" s="11"/>
      <c r="I6" s="11"/>
      <c r="J6" s="11"/>
      <c r="K6" s="11"/>
      <c r="L6" s="11"/>
      <c r="M6" s="11"/>
      <c r="N6" s="11"/>
      <c r="O6" s="11"/>
      <c r="P6" s="11"/>
    </row>
    <row r="7" spans="1:16">
      <c r="A7" s="11"/>
      <c r="B7" s="11"/>
      <c r="C7" s="11"/>
      <c r="D7" s="11"/>
      <c r="E7" s="11"/>
      <c r="F7" s="11"/>
      <c r="G7" s="11"/>
      <c r="H7" s="11"/>
      <c r="I7" s="11"/>
      <c r="J7" s="11"/>
      <c r="K7" s="11"/>
      <c r="L7" s="11"/>
      <c r="M7" s="11"/>
      <c r="N7" s="11"/>
      <c r="O7" s="11"/>
      <c r="P7" s="11"/>
    </row>
    <row r="8" spans="1:16">
      <c r="A8" s="11"/>
      <c r="B8" s="11"/>
      <c r="C8" s="11"/>
      <c r="D8" s="11"/>
      <c r="E8" s="11"/>
      <c r="F8" s="11"/>
      <c r="G8" s="11"/>
      <c r="H8" s="11"/>
      <c r="I8" s="11"/>
      <c r="J8" s="11"/>
      <c r="K8" s="11"/>
      <c r="L8" s="11"/>
      <c r="M8" s="11"/>
      <c r="N8" s="11"/>
      <c r="O8" s="11"/>
      <c r="P8" s="11"/>
    </row>
    <row r="9" spans="1:16">
      <c r="A9" s="11"/>
      <c r="B9" s="11"/>
      <c r="C9" s="11"/>
      <c r="D9" s="11"/>
      <c r="E9" s="11"/>
      <c r="F9" s="11"/>
      <c r="G9" s="11"/>
      <c r="H9" s="11"/>
      <c r="I9" s="11"/>
      <c r="J9" s="11"/>
      <c r="K9" s="11"/>
      <c r="L9" s="11"/>
      <c r="M9" s="11"/>
      <c r="N9" s="11"/>
      <c r="O9" s="11"/>
      <c r="P9" s="11"/>
    </row>
    <row r="10" spans="1:16">
      <c r="A10" s="11"/>
      <c r="B10" s="11"/>
      <c r="C10" s="11"/>
      <c r="D10" s="11"/>
      <c r="E10" s="11"/>
      <c r="F10" s="11"/>
      <c r="G10" s="11"/>
      <c r="H10" s="11"/>
      <c r="I10" s="11"/>
      <c r="J10" s="11"/>
      <c r="K10" s="11"/>
      <c r="L10" s="11"/>
      <c r="M10" s="11"/>
      <c r="N10" s="11"/>
      <c r="O10" s="11"/>
      <c r="P10" s="11"/>
    </row>
    <row r="11" spans="1:16">
      <c r="A11" s="11"/>
      <c r="B11" s="11"/>
      <c r="C11" s="11"/>
      <c r="D11" s="11"/>
      <c r="E11" s="11"/>
      <c r="F11" s="11"/>
      <c r="G11" s="11"/>
      <c r="H11" s="11"/>
      <c r="I11" s="11"/>
      <c r="J11" s="11"/>
      <c r="K11" s="11"/>
      <c r="L11" s="11"/>
      <c r="M11" s="11"/>
      <c r="N11" s="11"/>
      <c r="O11" s="11"/>
      <c r="P11" s="11"/>
    </row>
    <row r="12" spans="1:16">
      <c r="A12" s="11"/>
      <c r="B12" s="11"/>
      <c r="C12" s="11"/>
      <c r="D12" s="11"/>
      <c r="E12" s="11"/>
      <c r="F12" s="11"/>
      <c r="G12" s="11"/>
      <c r="H12" s="11"/>
      <c r="I12" s="11"/>
      <c r="J12" s="11"/>
      <c r="K12" s="11"/>
      <c r="L12" s="11"/>
      <c r="M12" s="11"/>
      <c r="N12" s="11"/>
      <c r="O12" s="11"/>
      <c r="P12" s="11"/>
    </row>
    <row r="13" spans="1:16">
      <c r="A13" s="11"/>
      <c r="B13" s="11"/>
      <c r="C13" s="11"/>
      <c r="D13" s="11"/>
      <c r="E13" s="11"/>
      <c r="F13" s="11"/>
      <c r="G13" s="11"/>
      <c r="H13" s="11"/>
      <c r="I13" s="11"/>
      <c r="J13" s="11"/>
      <c r="K13" s="11"/>
      <c r="L13" s="11"/>
      <c r="M13" s="11"/>
      <c r="N13" s="11"/>
      <c r="O13" s="11"/>
      <c r="P13" s="11"/>
    </row>
    <row r="14" spans="1:16">
      <c r="A14" s="11"/>
      <c r="B14" s="11"/>
      <c r="C14" s="11"/>
      <c r="D14" s="11"/>
      <c r="E14" s="11"/>
      <c r="F14" s="11"/>
      <c r="G14" s="11"/>
      <c r="H14" s="11"/>
      <c r="I14" s="11"/>
      <c r="J14" s="11"/>
      <c r="K14" s="11"/>
      <c r="L14" s="11"/>
      <c r="M14" s="11"/>
      <c r="N14" s="11"/>
      <c r="O14" s="11"/>
      <c r="P14" s="11"/>
    </row>
    <row r="15" spans="1:16">
      <c r="A15" s="11"/>
      <c r="B15" s="11"/>
      <c r="C15" s="11"/>
      <c r="D15" s="11"/>
      <c r="E15" s="11"/>
      <c r="F15" s="11"/>
      <c r="G15" s="11"/>
      <c r="H15" s="11"/>
      <c r="I15" s="11"/>
      <c r="J15" s="11"/>
      <c r="K15" s="11"/>
      <c r="L15" s="11"/>
      <c r="M15" s="11"/>
      <c r="N15" s="11"/>
      <c r="O15" s="11"/>
      <c r="P15" s="11"/>
    </row>
    <row r="16" spans="1:16">
      <c r="A16" s="11"/>
      <c r="B16" s="11"/>
      <c r="C16" s="11"/>
      <c r="D16" s="11"/>
      <c r="E16" s="11"/>
      <c r="F16" s="11"/>
      <c r="G16" s="11"/>
      <c r="H16" s="11"/>
      <c r="I16" s="11"/>
      <c r="J16" s="11"/>
      <c r="K16" s="11"/>
      <c r="L16" s="11"/>
      <c r="M16" s="11"/>
      <c r="N16" s="11"/>
      <c r="O16" s="11"/>
      <c r="P16" s="11"/>
    </row>
    <row r="17" spans="1:16">
      <c r="A17" s="11"/>
      <c r="B17" s="11"/>
      <c r="C17" s="11"/>
      <c r="D17" s="11"/>
      <c r="E17" s="11"/>
      <c r="F17" s="11"/>
      <c r="G17" s="11"/>
      <c r="H17" s="11"/>
      <c r="I17" s="11"/>
      <c r="J17" s="11"/>
      <c r="K17" s="11"/>
      <c r="L17" s="11"/>
      <c r="M17" s="11"/>
      <c r="N17" s="11"/>
      <c r="O17" s="11"/>
      <c r="P17" s="11"/>
    </row>
    <row r="18" spans="1:16">
      <c r="A18" s="11"/>
      <c r="B18" s="11"/>
      <c r="C18" s="11"/>
      <c r="D18" s="11"/>
      <c r="E18" s="11"/>
      <c r="F18" s="11"/>
      <c r="G18" s="11"/>
      <c r="H18" s="11"/>
      <c r="I18" s="11"/>
      <c r="J18" s="11"/>
      <c r="K18" s="11"/>
      <c r="L18" s="11"/>
      <c r="M18" s="11"/>
      <c r="N18" s="11"/>
      <c r="O18" s="11"/>
      <c r="P18" s="11"/>
    </row>
    <row r="19" spans="1:16">
      <c r="A19" s="11"/>
      <c r="B19" s="11"/>
      <c r="C19" s="11"/>
      <c r="D19" s="11"/>
      <c r="E19" s="11"/>
      <c r="F19" s="11"/>
      <c r="G19" s="11"/>
      <c r="H19" s="11"/>
      <c r="I19" s="11"/>
      <c r="J19" s="11"/>
      <c r="K19" s="11"/>
      <c r="L19" s="11"/>
      <c r="M19" s="11"/>
      <c r="N19" s="11"/>
      <c r="O19" s="11"/>
      <c r="P19" s="11"/>
    </row>
    <row r="20" spans="1:16">
      <c r="A20" s="11"/>
      <c r="B20" s="11"/>
      <c r="C20" s="11"/>
      <c r="D20" s="11"/>
      <c r="E20" s="11"/>
      <c r="F20" s="11"/>
      <c r="G20" s="11"/>
      <c r="H20" s="11"/>
      <c r="I20" s="11"/>
      <c r="J20" s="11"/>
      <c r="K20" s="11"/>
      <c r="L20" s="11"/>
      <c r="M20" s="11"/>
      <c r="N20" s="11"/>
      <c r="O20" s="11"/>
      <c r="P20" s="11"/>
    </row>
    <row r="21" spans="1:16">
      <c r="A21" s="11"/>
      <c r="B21" s="11"/>
      <c r="C21" s="11"/>
      <c r="D21" s="11"/>
      <c r="E21" s="11"/>
      <c r="F21" s="11"/>
      <c r="G21" s="11"/>
      <c r="H21" s="11"/>
      <c r="I21" s="11"/>
      <c r="J21" s="11"/>
      <c r="K21" s="11"/>
      <c r="L21" s="11"/>
      <c r="M21" s="11"/>
      <c r="N21" s="11"/>
      <c r="O21" s="11"/>
      <c r="P21" s="11"/>
    </row>
    <row r="22" spans="1:16">
      <c r="A22" s="11"/>
      <c r="B22" s="11"/>
      <c r="C22" s="11"/>
      <c r="D22" s="11"/>
      <c r="E22" s="11"/>
      <c r="F22" s="11"/>
      <c r="G22" s="11"/>
      <c r="H22" s="11"/>
      <c r="I22" s="11"/>
      <c r="J22" s="11"/>
      <c r="K22" s="11"/>
      <c r="L22" s="11"/>
      <c r="M22" s="11"/>
      <c r="N22" s="11"/>
      <c r="O22" s="11"/>
      <c r="P22" s="11"/>
    </row>
    <row r="23" spans="1:16">
      <c r="A23" s="11"/>
      <c r="B23" s="11"/>
      <c r="C23" s="11"/>
      <c r="D23" s="11"/>
      <c r="E23" s="11"/>
      <c r="F23" s="11"/>
      <c r="G23" s="11"/>
      <c r="H23" s="11"/>
      <c r="I23" s="11"/>
      <c r="J23" s="11"/>
      <c r="K23" s="11"/>
      <c r="L23" s="11"/>
      <c r="M23" s="11"/>
      <c r="N23" s="11"/>
      <c r="O23" s="11"/>
      <c r="P23" s="11"/>
    </row>
    <row r="24" spans="1:16">
      <c r="A24" s="11"/>
      <c r="B24" s="11"/>
      <c r="C24" s="11"/>
      <c r="D24" s="11"/>
      <c r="E24" s="11"/>
      <c r="F24" s="11"/>
      <c r="G24" s="11"/>
      <c r="H24" s="11"/>
      <c r="I24" s="11"/>
      <c r="J24" s="11"/>
      <c r="K24" s="11"/>
      <c r="L24" s="11"/>
      <c r="M24" s="11"/>
      <c r="N24" s="11"/>
      <c r="O24" s="11"/>
      <c r="P24" s="11"/>
    </row>
    <row r="25" spans="1:16">
      <c r="A25" s="11"/>
      <c r="B25" s="11"/>
      <c r="C25" s="11"/>
      <c r="D25" s="11"/>
      <c r="E25" s="11"/>
      <c r="F25" s="11"/>
      <c r="G25" s="11"/>
      <c r="H25" s="11"/>
      <c r="I25" s="11"/>
      <c r="J25" s="11"/>
      <c r="K25" s="11"/>
      <c r="L25" s="11"/>
      <c r="M25" s="11"/>
      <c r="N25" s="11"/>
      <c r="O25" s="11"/>
      <c r="P25" s="11"/>
    </row>
    <row r="26" spans="1:16">
      <c r="A26" s="11"/>
      <c r="B26" s="11"/>
      <c r="C26" s="11"/>
      <c r="D26" s="11"/>
      <c r="E26" s="11"/>
      <c r="F26" s="11"/>
      <c r="G26" s="11"/>
      <c r="H26" s="11"/>
      <c r="I26" s="11"/>
      <c r="J26" s="11"/>
      <c r="K26" s="11"/>
      <c r="L26" s="11"/>
      <c r="M26" s="11"/>
      <c r="N26" s="11"/>
      <c r="O26" s="11"/>
      <c r="P26" s="11"/>
    </row>
    <row r="27" spans="1:16">
      <c r="A27" s="11"/>
      <c r="B27" s="11"/>
      <c r="C27" s="11"/>
      <c r="D27" s="11"/>
      <c r="E27" s="11"/>
      <c r="F27" s="11"/>
      <c r="G27" s="11"/>
      <c r="H27" s="11"/>
      <c r="I27" s="11"/>
      <c r="J27" s="11"/>
      <c r="K27" s="11"/>
      <c r="L27" s="11"/>
      <c r="M27" s="11"/>
      <c r="N27" s="11"/>
      <c r="O27" s="11"/>
      <c r="P27" s="11"/>
    </row>
    <row r="28" spans="1:16">
      <c r="A28" s="11"/>
      <c r="B28" s="11"/>
      <c r="C28" s="11"/>
      <c r="D28" s="11"/>
      <c r="E28" s="11"/>
      <c r="F28" s="11"/>
      <c r="G28" s="11"/>
      <c r="H28" s="11"/>
      <c r="I28" s="11"/>
      <c r="J28" s="11"/>
      <c r="K28" s="11"/>
      <c r="L28" s="11"/>
      <c r="M28" s="11"/>
      <c r="N28" s="11"/>
      <c r="O28" s="11"/>
      <c r="P28" s="11"/>
    </row>
    <row r="29" spans="1:16">
      <c r="A29" s="11"/>
      <c r="B29" s="11"/>
      <c r="C29" s="11"/>
      <c r="D29" s="11"/>
      <c r="E29" s="11"/>
      <c r="F29" s="11"/>
      <c r="G29" s="11"/>
      <c r="H29" s="11"/>
      <c r="I29" s="11"/>
      <c r="J29" s="11"/>
      <c r="K29" s="11"/>
      <c r="L29" s="11"/>
      <c r="M29" s="11"/>
      <c r="N29" s="11"/>
      <c r="O29" s="11"/>
      <c r="P29" s="11"/>
    </row>
    <row r="30" spans="1:16">
      <c r="A30" s="11"/>
      <c r="B30" s="11"/>
      <c r="C30" s="11"/>
      <c r="D30" s="11"/>
      <c r="E30" s="11"/>
      <c r="F30" s="11"/>
      <c r="G30" s="11"/>
      <c r="H30" s="11"/>
      <c r="I30" s="11"/>
      <c r="J30" s="11"/>
      <c r="K30" s="11"/>
      <c r="L30" s="11"/>
      <c r="M30" s="11"/>
      <c r="N30" s="11"/>
      <c r="O30" s="11"/>
      <c r="P30" s="11"/>
    </row>
    <row r="31" spans="1:16">
      <c r="A31" s="11"/>
      <c r="B31" s="11"/>
      <c r="C31" s="11"/>
      <c r="D31" s="11"/>
      <c r="E31" s="11"/>
      <c r="F31" s="11"/>
      <c r="G31" s="11"/>
      <c r="H31" s="11"/>
      <c r="I31" s="11"/>
      <c r="J31" s="11"/>
      <c r="K31" s="11"/>
      <c r="L31" s="11"/>
      <c r="M31" s="11"/>
      <c r="N31" s="11"/>
      <c r="O31" s="11"/>
      <c r="P31" s="11"/>
    </row>
    <row r="32" spans="1:16">
      <c r="A32" s="11"/>
      <c r="B32" s="11"/>
      <c r="C32" s="11"/>
      <c r="D32" s="11"/>
      <c r="E32" s="11"/>
      <c r="F32" s="11"/>
      <c r="G32" s="11"/>
      <c r="H32" s="11"/>
      <c r="I32" s="11"/>
      <c r="J32" s="11"/>
      <c r="K32" s="11"/>
      <c r="L32" s="11"/>
      <c r="M32" s="11"/>
      <c r="N32" s="11"/>
      <c r="O32" s="11"/>
      <c r="P32" s="11"/>
    </row>
    <row r="33" spans="1:16">
      <c r="A33" s="11"/>
      <c r="B33" s="11"/>
      <c r="C33" s="11"/>
      <c r="D33" s="11"/>
      <c r="E33" s="11"/>
      <c r="F33" s="11"/>
      <c r="G33" s="11"/>
      <c r="H33" s="11"/>
      <c r="I33" s="11"/>
      <c r="J33" s="11"/>
      <c r="K33" s="11"/>
      <c r="L33" s="11"/>
      <c r="M33" s="11"/>
      <c r="N33" s="11"/>
      <c r="O33" s="11"/>
      <c r="P33" s="11"/>
    </row>
    <row r="34" spans="1:16">
      <c r="A34" s="11"/>
      <c r="B34" s="11"/>
      <c r="C34" s="11"/>
      <c r="D34" s="11"/>
      <c r="E34" s="11"/>
      <c r="F34" s="11"/>
      <c r="G34" s="11"/>
      <c r="H34" s="11"/>
      <c r="I34" s="11"/>
      <c r="J34" s="11"/>
      <c r="K34" s="11"/>
      <c r="L34" s="11"/>
      <c r="M34" s="11"/>
      <c r="N34" s="11"/>
      <c r="O34" s="11"/>
      <c r="P34" s="11"/>
    </row>
    <row r="35" spans="1:16">
      <c r="A35" s="11"/>
      <c r="B35" s="11"/>
      <c r="C35" s="11"/>
      <c r="D35" s="11"/>
      <c r="E35" s="11"/>
      <c r="F35" s="11"/>
      <c r="G35" s="11"/>
      <c r="H35" s="11"/>
      <c r="I35" s="11"/>
      <c r="J35" s="11"/>
      <c r="K35" s="11"/>
      <c r="L35" s="11"/>
      <c r="M35" s="11"/>
      <c r="N35" s="11"/>
      <c r="O35" s="11"/>
      <c r="P35" s="11"/>
    </row>
    <row r="36" spans="1:16">
      <c r="A36" s="11"/>
      <c r="B36" s="11"/>
      <c r="C36" s="11"/>
      <c r="D36" s="11"/>
      <c r="E36" s="11"/>
      <c r="F36" s="11"/>
      <c r="G36" s="11"/>
      <c r="H36" s="11"/>
      <c r="I36" s="11"/>
      <c r="J36" s="11"/>
      <c r="K36" s="11"/>
      <c r="L36" s="11"/>
      <c r="M36" s="11"/>
      <c r="N36" s="11"/>
      <c r="O36" s="11"/>
      <c r="P36" s="11"/>
    </row>
    <row r="37" spans="1:16">
      <c r="A37" s="11"/>
      <c r="B37" s="11"/>
      <c r="C37" s="11"/>
      <c r="D37" s="11"/>
      <c r="E37" s="11"/>
      <c r="F37" s="11"/>
      <c r="G37" s="11"/>
      <c r="H37" s="11"/>
      <c r="I37" s="11"/>
      <c r="J37" s="11"/>
      <c r="K37" s="11"/>
      <c r="L37" s="11"/>
      <c r="M37" s="11"/>
      <c r="N37" s="11"/>
      <c r="O37" s="11"/>
      <c r="P37" s="11"/>
    </row>
    <row r="38" spans="1:16">
      <c r="A38" s="11"/>
      <c r="B38" s="11"/>
      <c r="C38" s="11"/>
      <c r="D38" s="11"/>
      <c r="E38" s="11"/>
      <c r="F38" s="11"/>
      <c r="G38" s="11"/>
      <c r="H38" s="11"/>
      <c r="I38" s="11"/>
      <c r="J38" s="11"/>
      <c r="K38" s="11"/>
      <c r="L38" s="11"/>
      <c r="M38" s="11"/>
      <c r="N38" s="11"/>
      <c r="O38" s="11"/>
      <c r="P38" s="11"/>
    </row>
    <row r="39" spans="1:16">
      <c r="A39" s="11"/>
      <c r="B39" s="11"/>
      <c r="C39" s="11"/>
      <c r="D39" s="11"/>
      <c r="E39" s="11"/>
      <c r="F39" s="11"/>
      <c r="G39" s="11"/>
      <c r="H39" s="11"/>
      <c r="I39" s="11"/>
      <c r="J39" s="11"/>
      <c r="K39" s="11"/>
      <c r="L39" s="11"/>
      <c r="M39" s="11"/>
      <c r="N39" s="11"/>
      <c r="O39" s="11"/>
      <c r="P39" s="11"/>
    </row>
    <row r="40" spans="1:16">
      <c r="A40" s="11"/>
      <c r="B40" s="11"/>
      <c r="C40" s="11"/>
      <c r="D40" s="11"/>
      <c r="E40" s="11"/>
      <c r="F40" s="11"/>
      <c r="G40" s="11"/>
      <c r="H40" s="11"/>
      <c r="I40" s="11"/>
      <c r="J40" s="11"/>
      <c r="K40" s="11"/>
      <c r="L40" s="11"/>
      <c r="M40" s="11"/>
      <c r="N40" s="11"/>
      <c r="O40" s="11"/>
      <c r="P40" s="11"/>
    </row>
    <row r="41" spans="1:16">
      <c r="A41" s="11"/>
      <c r="B41" s="11"/>
      <c r="C41" s="11"/>
      <c r="D41" s="11"/>
      <c r="E41" s="11"/>
      <c r="F41" s="11"/>
      <c r="G41" s="11"/>
      <c r="H41" s="11"/>
      <c r="I41" s="11"/>
      <c r="J41" s="11"/>
      <c r="K41" s="11"/>
      <c r="L41" s="11"/>
      <c r="M41" s="11"/>
      <c r="N41" s="11"/>
      <c r="O41" s="11"/>
      <c r="P41" s="11"/>
    </row>
    <row r="42" spans="1:16">
      <c r="A42" s="11"/>
      <c r="B42" s="11"/>
      <c r="C42" s="11"/>
      <c r="D42" s="11"/>
      <c r="E42" s="11"/>
      <c r="F42" s="11"/>
      <c r="G42" s="11"/>
      <c r="H42" s="11"/>
      <c r="I42" s="11"/>
      <c r="J42" s="11"/>
      <c r="K42" s="11"/>
      <c r="L42" s="11"/>
      <c r="M42" s="11"/>
      <c r="N42" s="11"/>
      <c r="O42" s="11"/>
      <c r="P42" s="11"/>
    </row>
    <row r="43" spans="1:16">
      <c r="A43" s="11"/>
      <c r="B43" s="11"/>
      <c r="C43" s="11"/>
      <c r="D43" s="11"/>
      <c r="E43" s="11"/>
      <c r="F43" s="11"/>
      <c r="G43" s="11"/>
      <c r="H43" s="11"/>
      <c r="I43" s="11"/>
      <c r="J43" s="11"/>
      <c r="K43" s="11"/>
      <c r="L43" s="11"/>
      <c r="M43" s="11"/>
      <c r="N43" s="11"/>
      <c r="O43" s="11"/>
      <c r="P43" s="11"/>
    </row>
    <row r="44" spans="1:16">
      <c r="A44" s="11"/>
      <c r="B44" s="11"/>
      <c r="C44" s="11"/>
      <c r="D44" s="11"/>
      <c r="E44" s="11"/>
      <c r="F44" s="11"/>
      <c r="G44" s="11"/>
      <c r="H44" s="11"/>
      <c r="I44" s="11"/>
      <c r="J44" s="11"/>
      <c r="K44" s="11"/>
      <c r="L44" s="11"/>
      <c r="M44" s="11"/>
      <c r="N44" s="11"/>
      <c r="O44" s="11"/>
      <c r="P44" s="11"/>
    </row>
    <row r="45" spans="1:16">
      <c r="A45" s="11"/>
      <c r="B45" s="11"/>
      <c r="C45" s="11"/>
      <c r="D45" s="11"/>
      <c r="E45" s="11"/>
      <c r="F45" s="11"/>
      <c r="G45" s="11"/>
      <c r="H45" s="11"/>
      <c r="I45" s="11"/>
      <c r="J45" s="11"/>
      <c r="K45" s="11"/>
      <c r="L45" s="11"/>
      <c r="M45" s="11"/>
      <c r="N45" s="11"/>
      <c r="O45" s="11"/>
      <c r="P45" s="11"/>
    </row>
    <row r="46" spans="1:16">
      <c r="A46" s="11"/>
      <c r="B46" s="11"/>
      <c r="C46" s="11"/>
      <c r="D46" s="11"/>
      <c r="E46" s="11"/>
      <c r="F46" s="11"/>
      <c r="G46" s="11"/>
      <c r="H46" s="11"/>
      <c r="I46" s="11"/>
      <c r="J46" s="11"/>
      <c r="K46" s="11"/>
      <c r="L46" s="11"/>
      <c r="M46" s="11"/>
      <c r="N46" s="11"/>
      <c r="O46" s="11"/>
      <c r="P46" s="11"/>
    </row>
    <row r="47" spans="1:16">
      <c r="A47" s="11"/>
      <c r="B47" s="11"/>
      <c r="C47" s="11"/>
      <c r="D47" s="11"/>
      <c r="E47" s="11"/>
      <c r="F47" s="11"/>
      <c r="G47" s="11"/>
      <c r="H47" s="11"/>
      <c r="I47" s="11"/>
      <c r="J47" s="11"/>
      <c r="K47" s="11"/>
      <c r="L47" s="11"/>
      <c r="M47" s="11"/>
      <c r="N47" s="11"/>
      <c r="O47" s="11"/>
      <c r="P47" s="11"/>
    </row>
    <row r="48" spans="1:16">
      <c r="A48" s="11"/>
      <c r="B48" s="11"/>
      <c r="C48" s="11"/>
      <c r="D48" s="11"/>
      <c r="E48" s="11"/>
      <c r="F48" s="11"/>
      <c r="G48" s="11"/>
      <c r="H48" s="11"/>
      <c r="I48" s="11"/>
      <c r="J48" s="11"/>
      <c r="K48" s="11"/>
      <c r="L48" s="11"/>
      <c r="M48" s="11"/>
      <c r="N48" s="11"/>
      <c r="O48" s="11"/>
      <c r="P48" s="11"/>
    </row>
    <row r="49" spans="1:16">
      <c r="A49" s="11"/>
      <c r="B49" s="11"/>
      <c r="C49" s="11"/>
      <c r="D49" s="11"/>
      <c r="E49" s="11"/>
      <c r="F49" s="11"/>
      <c r="G49" s="11"/>
      <c r="H49" s="11"/>
      <c r="I49" s="11"/>
      <c r="J49" s="11"/>
      <c r="K49" s="11"/>
      <c r="L49" s="11"/>
      <c r="M49" s="11"/>
      <c r="N49" s="11"/>
      <c r="O49" s="11"/>
      <c r="P49" s="11"/>
    </row>
    <row r="50" spans="1:16">
      <c r="A50" s="11"/>
      <c r="B50" s="11"/>
      <c r="C50" s="11"/>
      <c r="D50" s="11"/>
      <c r="E50" s="11"/>
      <c r="F50" s="11"/>
      <c r="G50" s="11"/>
      <c r="H50" s="11"/>
      <c r="I50" s="11"/>
      <c r="J50" s="11"/>
      <c r="K50" s="11"/>
      <c r="L50" s="11"/>
      <c r="M50" s="11"/>
      <c r="N50" s="11"/>
      <c r="O50" s="11"/>
      <c r="P50" s="11"/>
    </row>
    <row r="51" spans="1:16">
      <c r="A51" s="11"/>
      <c r="B51" s="11"/>
      <c r="C51" s="11"/>
      <c r="D51" s="11"/>
      <c r="E51" s="11"/>
      <c r="F51" s="11"/>
      <c r="G51" s="11"/>
      <c r="H51" s="11"/>
      <c r="I51" s="11"/>
      <c r="J51" s="11"/>
      <c r="K51" s="11"/>
      <c r="L51" s="11"/>
      <c r="M51" s="11"/>
      <c r="N51" s="11"/>
      <c r="O51" s="11"/>
      <c r="P51" s="11"/>
    </row>
    <row r="52" spans="1:16">
      <c r="A52" s="11"/>
      <c r="B52" s="11"/>
      <c r="C52" s="11"/>
      <c r="D52" s="11"/>
      <c r="E52" s="11"/>
      <c r="F52" s="11"/>
      <c r="G52" s="11"/>
      <c r="H52" s="11"/>
      <c r="I52" s="11"/>
      <c r="J52" s="11"/>
      <c r="K52" s="11"/>
      <c r="L52" s="11"/>
      <c r="M52" s="11"/>
      <c r="N52" s="11"/>
      <c r="O52" s="11"/>
      <c r="P52" s="11"/>
    </row>
    <row r="53" spans="1:16">
      <c r="A53" s="11"/>
      <c r="B53" s="11"/>
      <c r="C53" s="11"/>
      <c r="D53" s="11"/>
      <c r="E53" s="11"/>
      <c r="F53" s="11"/>
      <c r="G53" s="11"/>
      <c r="H53" s="11"/>
      <c r="I53" s="11"/>
      <c r="J53" s="11"/>
      <c r="K53" s="11"/>
      <c r="L53" s="11"/>
      <c r="M53" s="11"/>
      <c r="N53" s="11"/>
      <c r="O53" s="11"/>
      <c r="P53" s="11"/>
    </row>
    <row r="54" spans="1:16">
      <c r="A54" s="11"/>
      <c r="B54" s="11"/>
      <c r="C54" s="11"/>
      <c r="D54" s="11"/>
      <c r="E54" s="11"/>
      <c r="F54" s="11"/>
      <c r="G54" s="11"/>
      <c r="H54" s="11"/>
      <c r="I54" s="11"/>
      <c r="J54" s="11"/>
      <c r="K54" s="11"/>
      <c r="L54" s="11"/>
      <c r="M54" s="11"/>
      <c r="N54" s="11"/>
      <c r="O54" s="11"/>
      <c r="P54" s="11"/>
    </row>
    <row r="55" spans="1:16">
      <c r="A55" s="11"/>
      <c r="B55" s="11"/>
      <c r="C55" s="11"/>
      <c r="D55" s="11"/>
      <c r="E55" s="11"/>
      <c r="F55" s="11"/>
      <c r="G55" s="11"/>
      <c r="H55" s="11"/>
      <c r="I55" s="11"/>
      <c r="J55" s="11"/>
      <c r="K55" s="11"/>
      <c r="L55" s="11"/>
      <c r="M55" s="11"/>
      <c r="N55" s="11"/>
      <c r="O55" s="11"/>
      <c r="P55" s="11"/>
    </row>
    <row r="56" spans="1:16">
      <c r="A56" s="11"/>
      <c r="B56" s="11"/>
      <c r="C56" s="11"/>
      <c r="D56" s="11"/>
      <c r="E56" s="11"/>
      <c r="F56" s="11"/>
      <c r="G56" s="11"/>
      <c r="H56" s="11"/>
      <c r="I56" s="11"/>
      <c r="J56" s="11"/>
      <c r="K56" s="11"/>
      <c r="L56" s="11"/>
      <c r="M56" s="11"/>
      <c r="N56" s="11"/>
      <c r="O56" s="11"/>
      <c r="P56" s="11"/>
    </row>
    <row r="57" spans="1:16">
      <c r="A57" s="11"/>
      <c r="B57" s="11"/>
      <c r="C57" s="11"/>
      <c r="D57" s="11"/>
      <c r="E57" s="11"/>
      <c r="F57" s="11"/>
      <c r="G57" s="11"/>
      <c r="H57" s="11"/>
      <c r="I57" s="11"/>
      <c r="J57" s="11"/>
      <c r="K57" s="11"/>
      <c r="L57" s="11"/>
      <c r="M57" s="11"/>
      <c r="N57" s="11"/>
      <c r="O57" s="11"/>
      <c r="P57" s="11"/>
    </row>
    <row r="58" spans="1:16">
      <c r="A58" s="11"/>
      <c r="B58" s="11"/>
      <c r="C58" s="11"/>
      <c r="D58" s="11"/>
      <c r="E58" s="11"/>
      <c r="F58" s="11"/>
      <c r="G58" s="11"/>
      <c r="H58" s="11"/>
      <c r="I58" s="11"/>
      <c r="J58" s="11"/>
      <c r="K58" s="11"/>
      <c r="L58" s="11"/>
      <c r="M58" s="11"/>
      <c r="N58" s="11"/>
      <c r="O58" s="11"/>
      <c r="P58" s="11"/>
    </row>
    <row r="59" spans="1:16">
      <c r="A59" s="11"/>
      <c r="B59" s="11"/>
      <c r="C59" s="11"/>
      <c r="D59" s="11"/>
      <c r="E59" s="11"/>
      <c r="F59" s="11"/>
      <c r="G59" s="11"/>
      <c r="H59" s="11"/>
      <c r="I59" s="11"/>
      <c r="J59" s="11"/>
      <c r="K59" s="11"/>
      <c r="L59" s="11"/>
      <c r="M59" s="11"/>
      <c r="N59" s="11"/>
      <c r="O59" s="11"/>
      <c r="P59" s="11"/>
    </row>
    <row r="60" spans="1:16">
      <c r="A60" s="11"/>
      <c r="B60" s="11"/>
      <c r="C60" s="11"/>
      <c r="D60" s="11"/>
      <c r="E60" s="11"/>
      <c r="F60" s="11"/>
      <c r="G60" s="11"/>
      <c r="H60" s="11"/>
      <c r="I60" s="11"/>
      <c r="J60" s="11"/>
      <c r="K60" s="11"/>
      <c r="L60" s="11"/>
      <c r="M60" s="11"/>
      <c r="N60" s="11"/>
      <c r="O60" s="11"/>
      <c r="P60" s="11"/>
    </row>
    <row r="61" spans="1:16">
      <c r="A61" s="11"/>
      <c r="B61" s="11"/>
      <c r="C61" s="11"/>
      <c r="D61" s="11"/>
      <c r="E61" s="11"/>
      <c r="F61" s="11"/>
      <c r="G61" s="11"/>
      <c r="H61" s="11"/>
      <c r="I61" s="11"/>
      <c r="J61" s="11"/>
      <c r="K61" s="11"/>
      <c r="L61" s="11"/>
      <c r="M61" s="11"/>
      <c r="N61" s="11"/>
      <c r="O61" s="11"/>
      <c r="P61" s="11"/>
    </row>
    <row r="62" spans="1:16">
      <c r="A62" s="11"/>
      <c r="B62" s="11"/>
      <c r="C62" s="11"/>
      <c r="D62" s="11"/>
      <c r="E62" s="11"/>
      <c r="F62" s="11"/>
      <c r="G62" s="11"/>
      <c r="H62" s="11"/>
      <c r="I62" s="11"/>
      <c r="J62" s="11"/>
      <c r="K62" s="11"/>
      <c r="L62" s="11"/>
      <c r="M62" s="11"/>
      <c r="N62" s="11"/>
      <c r="O62" s="11"/>
      <c r="P62" s="11"/>
    </row>
    <row r="63" spans="1:16">
      <c r="A63" s="11"/>
      <c r="B63" s="11"/>
      <c r="C63" s="11"/>
      <c r="D63" s="11"/>
      <c r="E63" s="11"/>
      <c r="F63" s="11"/>
      <c r="G63" s="11"/>
      <c r="H63" s="11"/>
      <c r="I63" s="11"/>
      <c r="J63" s="11"/>
      <c r="K63" s="11"/>
      <c r="L63" s="11"/>
      <c r="M63" s="11"/>
      <c r="N63" s="11"/>
      <c r="O63" s="11"/>
      <c r="P63" s="11"/>
    </row>
    <row r="64" spans="1:16">
      <c r="A64" s="11"/>
      <c r="B64" s="11"/>
      <c r="C64" s="11"/>
      <c r="D64" s="11"/>
      <c r="E64" s="11"/>
      <c r="F64" s="11"/>
      <c r="G64" s="11"/>
      <c r="H64" s="11"/>
      <c r="I64" s="11"/>
      <c r="J64" s="11"/>
      <c r="K64" s="11"/>
      <c r="L64" s="11"/>
      <c r="M64" s="11"/>
      <c r="N64" s="11"/>
      <c r="O64" s="11"/>
      <c r="P64" s="11"/>
    </row>
    <row r="65" spans="1:16">
      <c r="A65" s="11"/>
      <c r="B65" s="11"/>
      <c r="C65" s="11"/>
      <c r="D65" s="11"/>
      <c r="E65" s="11"/>
      <c r="F65" s="11"/>
      <c r="G65" s="11"/>
      <c r="H65" s="11"/>
      <c r="I65" s="11"/>
      <c r="J65" s="11"/>
      <c r="K65" s="11"/>
      <c r="L65" s="11"/>
      <c r="M65" s="11"/>
      <c r="N65" s="11"/>
      <c r="O65" s="11"/>
      <c r="P65" s="11"/>
    </row>
    <row r="66" spans="1:16">
      <c r="A66" s="11"/>
      <c r="B66" s="11"/>
      <c r="C66" s="11"/>
      <c r="D66" s="11"/>
      <c r="E66" s="11"/>
      <c r="F66" s="11"/>
      <c r="G66" s="11"/>
      <c r="H66" s="11"/>
      <c r="I66" s="11"/>
      <c r="J66" s="11"/>
      <c r="K66" s="11"/>
      <c r="L66" s="11"/>
      <c r="M66" s="11"/>
      <c r="N66" s="11"/>
      <c r="O66" s="11"/>
      <c r="P66" s="11"/>
    </row>
    <row r="67" spans="1:16">
      <c r="A67" s="11"/>
      <c r="B67" s="11"/>
      <c r="C67" s="11"/>
      <c r="D67" s="11"/>
      <c r="E67" s="11"/>
      <c r="F67" s="11"/>
      <c r="G67" s="11"/>
      <c r="H67" s="11"/>
      <c r="I67" s="11"/>
      <c r="J67" s="11"/>
      <c r="K67" s="11"/>
      <c r="L67" s="11"/>
      <c r="M67" s="11"/>
      <c r="N67" s="11"/>
      <c r="O67" s="11"/>
      <c r="P67" s="11"/>
    </row>
    <row r="68" spans="1:16">
      <c r="A68" s="11"/>
      <c r="B68" s="11"/>
      <c r="C68" s="11"/>
      <c r="D68" s="11"/>
      <c r="E68" s="11"/>
      <c r="F68" s="11"/>
      <c r="G68" s="11"/>
      <c r="H68" s="11"/>
      <c r="I68" s="11"/>
      <c r="J68" s="11"/>
      <c r="K68" s="11"/>
      <c r="L68" s="11"/>
      <c r="M68" s="11"/>
      <c r="N68" s="11"/>
      <c r="O68" s="11"/>
      <c r="P68" s="11"/>
    </row>
    <row r="69" spans="1:16">
      <c r="A69" s="11"/>
      <c r="B69" s="11"/>
      <c r="C69" s="11"/>
      <c r="D69" s="11"/>
      <c r="E69" s="11"/>
      <c r="F69" s="11"/>
      <c r="G69" s="11"/>
      <c r="H69" s="11"/>
      <c r="I69" s="11"/>
      <c r="J69" s="11"/>
      <c r="K69" s="11"/>
      <c r="L69" s="11"/>
      <c r="M69" s="11"/>
      <c r="N69" s="11"/>
      <c r="O69" s="11"/>
      <c r="P69" s="11"/>
    </row>
    <row r="70" spans="1:16">
      <c r="A70" s="11"/>
      <c r="B70" s="11"/>
      <c r="C70" s="11"/>
      <c r="D70" s="11"/>
      <c r="E70" s="11"/>
      <c r="F70" s="11"/>
      <c r="G70" s="11"/>
      <c r="H70" s="11"/>
      <c r="I70" s="11"/>
      <c r="J70" s="11"/>
      <c r="K70" s="11"/>
      <c r="L70" s="11"/>
      <c r="M70" s="11"/>
      <c r="N70" s="11"/>
      <c r="O70" s="11"/>
      <c r="P70" s="11"/>
    </row>
    <row r="71" spans="1:16">
      <c r="A71" s="11"/>
      <c r="B71" s="11"/>
      <c r="C71" s="11"/>
      <c r="D71" s="11"/>
      <c r="E71" s="11"/>
      <c r="F71" s="11"/>
      <c r="G71" s="11"/>
      <c r="H71" s="11"/>
      <c r="I71" s="11"/>
      <c r="J71" s="11"/>
      <c r="K71" s="11"/>
      <c r="L71" s="11"/>
      <c r="M71" s="11"/>
      <c r="N71" s="11"/>
      <c r="O71" s="11"/>
      <c r="P71" s="11"/>
    </row>
    <row r="72" spans="1:16">
      <c r="A72" s="11"/>
      <c r="B72" s="11"/>
      <c r="C72" s="11"/>
      <c r="D72" s="11"/>
      <c r="E72" s="11"/>
      <c r="F72" s="11"/>
      <c r="G72" s="11"/>
      <c r="H72" s="11"/>
      <c r="I72" s="11"/>
      <c r="J72" s="11"/>
      <c r="K72" s="11"/>
      <c r="L72" s="11"/>
      <c r="M72" s="11"/>
      <c r="N72" s="11"/>
      <c r="O72" s="11"/>
      <c r="P72" s="11"/>
    </row>
    <row r="73" spans="1:16">
      <c r="A73" s="11"/>
      <c r="B73" s="11"/>
      <c r="C73" s="11"/>
      <c r="D73" s="11"/>
      <c r="E73" s="11"/>
      <c r="F73" s="11"/>
      <c r="G73" s="11"/>
      <c r="H73" s="11"/>
      <c r="I73" s="11"/>
      <c r="J73" s="11"/>
      <c r="K73" s="11"/>
      <c r="L73" s="11"/>
      <c r="M73" s="11"/>
      <c r="N73" s="11"/>
      <c r="O73" s="11"/>
      <c r="P73" s="11"/>
    </row>
    <row r="74" spans="1:16">
      <c r="A74" s="11"/>
      <c r="B74" s="11"/>
      <c r="C74" s="11"/>
      <c r="D74" s="11"/>
      <c r="E74" s="11"/>
      <c r="F74" s="11"/>
      <c r="G74" s="11"/>
      <c r="H74" s="11"/>
      <c r="I74" s="11"/>
      <c r="J74" s="11"/>
      <c r="K74" s="11"/>
      <c r="L74" s="11"/>
      <c r="M74" s="11"/>
      <c r="N74" s="11"/>
      <c r="O74" s="11"/>
      <c r="P74" s="11"/>
    </row>
    <row r="75" spans="1:16">
      <c r="A75" s="11"/>
      <c r="B75" s="11"/>
      <c r="C75" s="11"/>
      <c r="D75" s="11"/>
      <c r="E75" s="11"/>
      <c r="F75" s="11"/>
      <c r="G75" s="11"/>
      <c r="H75" s="11"/>
      <c r="I75" s="11"/>
      <c r="J75" s="11"/>
      <c r="K75" s="11"/>
      <c r="L75" s="11"/>
      <c r="M75" s="11"/>
      <c r="N75" s="11"/>
      <c r="O75" s="11"/>
      <c r="P75" s="11"/>
    </row>
    <row r="76" spans="1:16">
      <c r="A76" s="11"/>
      <c r="B76" s="11"/>
      <c r="C76" s="11"/>
      <c r="D76" s="11"/>
      <c r="E76" s="11"/>
      <c r="F76" s="11"/>
      <c r="G76" s="11"/>
      <c r="H76" s="11"/>
      <c r="I76" s="11"/>
      <c r="J76" s="11"/>
      <c r="K76" s="11"/>
      <c r="L76" s="11"/>
      <c r="M76" s="11"/>
      <c r="N76" s="11"/>
      <c r="O76" s="11"/>
      <c r="P76" s="11"/>
    </row>
    <row r="77" spans="1:16">
      <c r="A77" s="11"/>
      <c r="B77" s="11"/>
      <c r="C77" s="11"/>
      <c r="D77" s="11"/>
      <c r="E77" s="11"/>
      <c r="F77" s="11"/>
      <c r="G77" s="11"/>
      <c r="H77" s="11"/>
      <c r="I77" s="11"/>
      <c r="J77" s="11"/>
      <c r="K77" s="11"/>
      <c r="L77" s="11"/>
      <c r="M77" s="11"/>
      <c r="N77" s="11"/>
      <c r="O77" s="11"/>
      <c r="P77" s="11"/>
    </row>
    <row r="78" spans="1:16">
      <c r="A78" s="11"/>
      <c r="B78" s="11"/>
      <c r="C78" s="11"/>
      <c r="D78" s="11"/>
      <c r="E78" s="11"/>
      <c r="F78" s="11"/>
      <c r="G78" s="11"/>
      <c r="H78" s="11"/>
      <c r="I78" s="11"/>
      <c r="J78" s="11"/>
      <c r="K78" s="11"/>
      <c r="L78" s="11"/>
      <c r="M78" s="11"/>
      <c r="N78" s="11"/>
      <c r="O78" s="11"/>
      <c r="P78" s="11"/>
    </row>
    <row r="79" spans="1:16">
      <c r="A79" s="11"/>
      <c r="B79" s="11"/>
      <c r="C79" s="11"/>
      <c r="D79" s="11"/>
      <c r="E79" s="11"/>
      <c r="F79" s="11"/>
      <c r="G79" s="11"/>
      <c r="H79" s="11"/>
      <c r="I79" s="11"/>
      <c r="J79" s="11"/>
      <c r="K79" s="11"/>
      <c r="L79" s="11"/>
      <c r="M79" s="11"/>
      <c r="N79" s="11"/>
      <c r="O79" s="11"/>
      <c r="P79" s="11"/>
    </row>
    <row r="80" spans="1:16">
      <c r="A80" s="11"/>
      <c r="B80" s="11"/>
      <c r="C80" s="11"/>
      <c r="D80" s="11"/>
      <c r="E80" s="11"/>
      <c r="F80" s="11"/>
      <c r="G80" s="11"/>
      <c r="H80" s="11"/>
      <c r="I80" s="11"/>
      <c r="J80" s="11"/>
      <c r="K80" s="11"/>
      <c r="L80" s="11"/>
      <c r="M80" s="11"/>
      <c r="N80" s="11"/>
      <c r="O80" s="11"/>
      <c r="P80" s="11"/>
    </row>
    <row r="81" spans="1:16">
      <c r="A81" s="11"/>
      <c r="B81" s="11"/>
      <c r="C81" s="11"/>
      <c r="D81" s="11"/>
      <c r="E81" s="11"/>
      <c r="F81" s="11"/>
      <c r="G81" s="11"/>
      <c r="H81" s="11"/>
      <c r="I81" s="11"/>
      <c r="J81" s="11"/>
      <c r="K81" s="11"/>
      <c r="L81" s="11"/>
      <c r="M81" s="11"/>
      <c r="N81" s="11"/>
      <c r="O81" s="11"/>
      <c r="P81" s="11"/>
    </row>
    <row r="82" spans="1:16">
      <c r="A82" s="11"/>
      <c r="B82" s="11"/>
      <c r="C82" s="11"/>
      <c r="D82" s="11"/>
      <c r="E82" s="11"/>
      <c r="F82" s="11"/>
      <c r="G82" s="11"/>
      <c r="H82" s="11"/>
      <c r="I82" s="11"/>
      <c r="J82" s="11"/>
      <c r="K82" s="11"/>
      <c r="L82" s="11"/>
      <c r="M82" s="11"/>
      <c r="N82" s="11"/>
      <c r="O82" s="11"/>
      <c r="P82" s="11"/>
    </row>
    <row r="83" spans="1:16">
      <c r="A83" s="11"/>
      <c r="B83" s="11"/>
      <c r="C83" s="11"/>
      <c r="D83" s="11"/>
      <c r="E83" s="11"/>
      <c r="F83" s="11"/>
      <c r="G83" s="11"/>
      <c r="H83" s="11"/>
      <c r="I83" s="11"/>
      <c r="J83" s="11"/>
      <c r="K83" s="11"/>
      <c r="L83" s="11"/>
      <c r="M83" s="11"/>
      <c r="N83" s="11"/>
      <c r="O83" s="11"/>
      <c r="P83" s="11"/>
    </row>
    <row r="84" spans="1:16">
      <c r="A84" s="11"/>
      <c r="B84" s="11"/>
      <c r="C84" s="11"/>
      <c r="D84" s="11"/>
      <c r="E84" s="11"/>
      <c r="F84" s="11"/>
      <c r="G84" s="11"/>
      <c r="H84" s="11"/>
      <c r="I84" s="11"/>
      <c r="J84" s="11"/>
      <c r="K84" s="11"/>
      <c r="L84" s="11"/>
      <c r="M84" s="11"/>
      <c r="N84" s="11"/>
      <c r="O84" s="11"/>
      <c r="P84" s="11"/>
    </row>
    <row r="85" spans="1:16">
      <c r="A85" s="11"/>
      <c r="B85" s="11"/>
      <c r="C85" s="11"/>
      <c r="D85" s="11"/>
      <c r="E85" s="11"/>
      <c r="F85" s="11"/>
      <c r="G85" s="11"/>
      <c r="H85" s="11"/>
      <c r="I85" s="11"/>
      <c r="J85" s="11"/>
      <c r="K85" s="11"/>
      <c r="L85" s="11"/>
      <c r="M85" s="11"/>
      <c r="N85" s="11"/>
      <c r="O85" s="11"/>
      <c r="P85" s="11"/>
    </row>
    <row r="86" spans="1:16">
      <c r="A86" s="11"/>
      <c r="B86" s="11"/>
      <c r="C86" s="11"/>
      <c r="D86" s="11"/>
      <c r="E86" s="11"/>
      <c r="F86" s="11"/>
      <c r="G86" s="11"/>
      <c r="H86" s="11"/>
      <c r="I86" s="11"/>
      <c r="J86" s="11"/>
      <c r="K86" s="11"/>
      <c r="L86" s="11"/>
      <c r="M86" s="11"/>
      <c r="N86" s="11"/>
      <c r="O86" s="11"/>
      <c r="P86" s="11"/>
    </row>
    <row r="87" spans="1:16">
      <c r="A87" s="11"/>
      <c r="B87" s="11"/>
      <c r="C87" s="11"/>
      <c r="D87" s="11"/>
      <c r="E87" s="11"/>
      <c r="F87" s="11"/>
      <c r="G87" s="11"/>
      <c r="H87" s="11"/>
      <c r="I87" s="11"/>
      <c r="J87" s="11"/>
      <c r="K87" s="11"/>
      <c r="L87" s="11"/>
      <c r="M87" s="11"/>
      <c r="N87" s="11"/>
      <c r="O87" s="11"/>
      <c r="P87" s="11"/>
    </row>
    <row r="88" spans="1:16">
      <c r="A88" s="11"/>
      <c r="B88" s="11"/>
      <c r="C88" s="11"/>
      <c r="D88" s="11"/>
      <c r="E88" s="11"/>
      <c r="F88" s="11"/>
      <c r="G88" s="11"/>
      <c r="H88" s="11"/>
      <c r="I88" s="11"/>
      <c r="J88" s="11"/>
      <c r="K88" s="11"/>
      <c r="L88" s="11"/>
      <c r="M88" s="11"/>
      <c r="N88" s="11"/>
      <c r="O88" s="11"/>
      <c r="P88" s="11"/>
    </row>
    <row r="89" spans="1:16">
      <c r="A89" s="11"/>
      <c r="B89" s="11"/>
      <c r="C89" s="11"/>
      <c r="D89" s="11"/>
      <c r="E89" s="11"/>
      <c r="F89" s="11"/>
      <c r="G89" s="11"/>
      <c r="H89" s="11"/>
      <c r="I89" s="11"/>
      <c r="J89" s="11"/>
      <c r="K89" s="11"/>
      <c r="L89" s="11"/>
      <c r="M89" s="11"/>
      <c r="N89" s="11"/>
      <c r="O89" s="11"/>
      <c r="P89" s="11"/>
    </row>
    <row r="90" spans="1:16">
      <c r="A90" s="11"/>
      <c r="B90" s="11"/>
      <c r="C90" s="11"/>
      <c r="D90" s="11"/>
      <c r="E90" s="11"/>
      <c r="F90" s="11"/>
      <c r="G90" s="11"/>
      <c r="H90" s="11"/>
      <c r="I90" s="11"/>
      <c r="J90" s="11"/>
      <c r="K90" s="11"/>
      <c r="L90" s="11"/>
      <c r="M90" s="11"/>
      <c r="N90" s="11"/>
      <c r="O90" s="11"/>
      <c r="P90" s="11"/>
    </row>
    <row r="91" spans="1:16">
      <c r="A91" s="11"/>
      <c r="B91" s="11"/>
      <c r="C91" s="11"/>
      <c r="D91" s="11"/>
      <c r="E91" s="11"/>
      <c r="F91" s="11"/>
      <c r="G91" s="11"/>
      <c r="H91" s="11"/>
      <c r="I91" s="11"/>
      <c r="J91" s="11"/>
      <c r="K91" s="11"/>
      <c r="L91" s="11"/>
      <c r="M91" s="11"/>
      <c r="N91" s="11"/>
      <c r="O91" s="11"/>
      <c r="P91" s="11"/>
    </row>
    <row r="92" spans="1:16">
      <c r="A92" s="11"/>
      <c r="B92" s="11"/>
      <c r="C92" s="11"/>
      <c r="D92" s="11"/>
      <c r="E92" s="11"/>
      <c r="F92" s="11"/>
      <c r="G92" s="11"/>
      <c r="H92" s="11"/>
      <c r="I92" s="11"/>
      <c r="J92" s="11"/>
      <c r="K92" s="11"/>
      <c r="L92" s="11"/>
      <c r="M92" s="11"/>
      <c r="N92" s="11"/>
      <c r="O92" s="11"/>
      <c r="P92" s="11"/>
    </row>
    <row r="93" spans="1:16">
      <c r="A93" s="11"/>
      <c r="B93" s="11"/>
      <c r="C93" s="11"/>
      <c r="D93" s="11"/>
      <c r="E93" s="11"/>
      <c r="F93" s="11"/>
      <c r="G93" s="11"/>
      <c r="H93" s="11"/>
      <c r="I93" s="11"/>
      <c r="J93" s="11"/>
      <c r="K93" s="11"/>
      <c r="L93" s="11"/>
      <c r="M93" s="11"/>
      <c r="N93" s="11"/>
      <c r="O93" s="11"/>
      <c r="P93" s="11"/>
    </row>
    <row r="94" spans="1:16">
      <c r="A94" s="11"/>
      <c r="B94" s="11"/>
      <c r="C94" s="11"/>
      <c r="D94" s="11"/>
      <c r="E94" s="11"/>
      <c r="F94" s="11"/>
      <c r="G94" s="11"/>
      <c r="H94" s="11"/>
      <c r="I94" s="11"/>
      <c r="J94" s="11"/>
      <c r="K94" s="11"/>
      <c r="L94" s="11"/>
      <c r="M94" s="11"/>
      <c r="N94" s="11"/>
      <c r="O94" s="11"/>
      <c r="P94" s="11"/>
    </row>
    <row r="95" spans="1:16">
      <c r="A95" s="11"/>
      <c r="B95" s="11"/>
      <c r="C95" s="11"/>
      <c r="D95" s="11"/>
      <c r="E95" s="11"/>
      <c r="F95" s="11"/>
      <c r="G95" s="11"/>
      <c r="H95" s="11"/>
      <c r="I95" s="11"/>
      <c r="J95" s="11"/>
      <c r="K95" s="11"/>
      <c r="L95" s="11"/>
      <c r="M95" s="11"/>
      <c r="N95" s="11"/>
      <c r="O95" s="11"/>
      <c r="P95" s="11"/>
    </row>
    <row r="96" spans="1:16">
      <c r="A96" s="11"/>
      <c r="B96" s="11"/>
      <c r="C96" s="11"/>
      <c r="D96" s="11"/>
      <c r="E96" s="11"/>
      <c r="F96" s="11"/>
      <c r="G96" s="11"/>
      <c r="H96" s="11"/>
      <c r="I96" s="11"/>
      <c r="J96" s="11"/>
      <c r="K96" s="11"/>
      <c r="L96" s="11"/>
      <c r="M96" s="11"/>
      <c r="N96" s="11"/>
      <c r="O96" s="11"/>
      <c r="P96" s="11"/>
    </row>
    <row r="97" spans="1:16">
      <c r="A97" s="11"/>
      <c r="B97" s="11"/>
      <c r="C97" s="11"/>
      <c r="D97" s="11"/>
      <c r="E97" s="11"/>
      <c r="F97" s="11"/>
      <c r="G97" s="11"/>
      <c r="H97" s="11"/>
      <c r="I97" s="11"/>
      <c r="J97" s="11"/>
      <c r="K97" s="11"/>
      <c r="L97" s="11"/>
      <c r="M97" s="11"/>
      <c r="N97" s="11"/>
      <c r="O97" s="11"/>
      <c r="P97" s="11"/>
    </row>
    <row r="98" spans="1:16">
      <c r="A98" s="11"/>
      <c r="B98" s="11"/>
      <c r="C98" s="11"/>
      <c r="D98" s="11"/>
      <c r="E98" s="11"/>
      <c r="F98" s="11"/>
      <c r="G98" s="11"/>
      <c r="H98" s="11"/>
      <c r="I98" s="11"/>
      <c r="J98" s="11"/>
      <c r="K98" s="11"/>
      <c r="L98" s="11"/>
      <c r="M98" s="11"/>
      <c r="N98" s="11"/>
      <c r="O98" s="11"/>
      <c r="P98" s="11"/>
    </row>
    <row r="99" spans="1:16">
      <c r="A99" s="11"/>
      <c r="B99" s="11"/>
      <c r="C99" s="11"/>
      <c r="D99" s="11"/>
      <c r="E99" s="11"/>
      <c r="F99" s="11"/>
      <c r="G99" s="11"/>
      <c r="H99" s="11"/>
      <c r="I99" s="11"/>
      <c r="J99" s="11"/>
      <c r="K99" s="11"/>
      <c r="L99" s="11"/>
      <c r="M99" s="11"/>
      <c r="N99" s="11"/>
      <c r="O99" s="11"/>
      <c r="P99" s="11"/>
    </row>
    <row r="100" spans="1:16">
      <c r="A100" s="11"/>
      <c r="B100" s="11"/>
      <c r="C100" s="11"/>
      <c r="D100" s="11"/>
      <c r="E100" s="11"/>
      <c r="F100" s="11"/>
      <c r="G100" s="11"/>
      <c r="H100" s="11"/>
      <c r="I100" s="11"/>
      <c r="J100" s="11"/>
      <c r="K100" s="11"/>
      <c r="L100" s="11"/>
      <c r="M100" s="11"/>
      <c r="N100" s="11"/>
      <c r="O100" s="11"/>
      <c r="P100" s="11"/>
    </row>
    <row r="101" spans="1:16">
      <c r="A101" s="11"/>
      <c r="B101" s="11"/>
      <c r="C101" s="11"/>
      <c r="D101" s="11"/>
      <c r="E101" s="11"/>
      <c r="F101" s="11"/>
      <c r="G101" s="11"/>
      <c r="H101" s="11"/>
      <c r="I101" s="11"/>
      <c r="J101" s="11"/>
      <c r="K101" s="11"/>
      <c r="L101" s="11"/>
      <c r="M101" s="11"/>
      <c r="N101" s="11"/>
      <c r="O101" s="11"/>
      <c r="P101" s="11"/>
    </row>
    <row r="102" spans="1:16">
      <c r="A102" s="11"/>
      <c r="B102" s="11"/>
      <c r="C102" s="11"/>
      <c r="D102" s="11"/>
      <c r="E102" s="11"/>
      <c r="F102" s="11"/>
      <c r="G102" s="11"/>
      <c r="H102" s="11"/>
      <c r="I102" s="11"/>
      <c r="J102" s="11"/>
      <c r="K102" s="11"/>
      <c r="L102" s="11"/>
      <c r="M102" s="11"/>
      <c r="N102" s="11"/>
      <c r="O102" s="11"/>
      <c r="P102" s="11"/>
    </row>
    <row r="103" spans="1:16">
      <c r="A103" s="11"/>
      <c r="B103" s="11"/>
      <c r="C103" s="11"/>
      <c r="D103" s="11"/>
      <c r="E103" s="11"/>
      <c r="F103" s="11"/>
      <c r="G103" s="11"/>
      <c r="H103" s="11"/>
      <c r="I103" s="11"/>
      <c r="J103" s="11"/>
      <c r="K103" s="11"/>
      <c r="L103" s="11"/>
      <c r="M103" s="11"/>
      <c r="N103" s="11"/>
      <c r="O103" s="11"/>
      <c r="P103" s="11"/>
    </row>
    <row r="104" spans="1:16">
      <c r="A104" s="11"/>
      <c r="B104" s="11"/>
      <c r="C104" s="11"/>
      <c r="D104" s="11"/>
      <c r="E104" s="11"/>
      <c r="F104" s="11"/>
      <c r="G104" s="11"/>
      <c r="H104" s="11"/>
      <c r="I104" s="11"/>
      <c r="J104" s="11"/>
      <c r="K104" s="11"/>
      <c r="L104" s="11"/>
      <c r="M104" s="11"/>
      <c r="N104" s="11"/>
      <c r="O104" s="11"/>
      <c r="P104" s="11"/>
    </row>
    <row r="105" spans="1:16">
      <c r="A105" s="11"/>
      <c r="B105" s="11"/>
      <c r="C105" s="11"/>
      <c r="D105" s="11"/>
      <c r="E105" s="11"/>
      <c r="F105" s="11"/>
      <c r="G105" s="11"/>
      <c r="H105" s="11"/>
      <c r="I105" s="11"/>
      <c r="J105" s="11"/>
      <c r="K105" s="11"/>
      <c r="L105" s="11"/>
      <c r="M105" s="11"/>
      <c r="N105" s="11"/>
      <c r="O105" s="11"/>
      <c r="P105" s="11"/>
    </row>
    <row r="106" spans="1:16">
      <c r="A106" s="11"/>
      <c r="B106" s="11"/>
      <c r="C106" s="11"/>
      <c r="D106" s="11"/>
      <c r="E106" s="11"/>
      <c r="F106" s="11"/>
      <c r="G106" s="11"/>
      <c r="H106" s="11"/>
      <c r="I106" s="11"/>
      <c r="J106" s="11"/>
      <c r="K106" s="11"/>
      <c r="L106" s="11"/>
      <c r="M106" s="11"/>
      <c r="N106" s="11"/>
      <c r="O106" s="11"/>
      <c r="P106" s="11"/>
    </row>
    <row r="107" spans="1:16">
      <c r="A107" s="11"/>
      <c r="B107" s="11"/>
      <c r="C107" s="11"/>
      <c r="D107" s="11"/>
      <c r="E107" s="11"/>
      <c r="F107" s="11"/>
      <c r="G107" s="11"/>
      <c r="H107" s="11"/>
      <c r="I107" s="11"/>
      <c r="J107" s="11"/>
      <c r="K107" s="11"/>
      <c r="L107" s="11"/>
      <c r="M107" s="11"/>
      <c r="N107" s="11"/>
      <c r="O107" s="11"/>
      <c r="P107" s="11"/>
    </row>
    <row r="108" spans="1:16">
      <c r="A108" s="11"/>
      <c r="B108" s="11"/>
      <c r="C108" s="11"/>
      <c r="D108" s="11"/>
      <c r="E108" s="11"/>
      <c r="F108" s="11"/>
      <c r="G108" s="11"/>
      <c r="H108" s="11"/>
      <c r="I108" s="11"/>
      <c r="J108" s="11"/>
      <c r="K108" s="11"/>
      <c r="L108" s="11"/>
      <c r="M108" s="11"/>
      <c r="N108" s="11"/>
      <c r="O108" s="11"/>
      <c r="P108" s="11"/>
    </row>
    <row r="109" spans="1:16">
      <c r="A109" s="11"/>
      <c r="B109" s="11"/>
      <c r="C109" s="11"/>
      <c r="D109" s="11"/>
      <c r="E109" s="11"/>
      <c r="F109" s="11"/>
      <c r="G109" s="11"/>
      <c r="H109" s="11"/>
      <c r="I109" s="11"/>
      <c r="J109" s="11"/>
      <c r="K109" s="11"/>
      <c r="L109" s="11"/>
      <c r="M109" s="11"/>
      <c r="N109" s="11"/>
      <c r="O109" s="11"/>
      <c r="P109" s="11"/>
    </row>
    <row r="110" spans="1:16">
      <c r="A110" s="11"/>
      <c r="B110" s="11"/>
      <c r="C110" s="11"/>
      <c r="D110" s="11"/>
      <c r="E110" s="11"/>
      <c r="F110" s="11"/>
      <c r="G110" s="11"/>
      <c r="H110" s="11"/>
      <c r="I110" s="11"/>
      <c r="J110" s="11"/>
      <c r="K110" s="11"/>
      <c r="L110" s="11"/>
      <c r="M110" s="11"/>
      <c r="N110" s="11"/>
      <c r="O110" s="11"/>
      <c r="P110" s="11"/>
    </row>
    <row r="111" spans="1:16">
      <c r="A111" s="11"/>
      <c r="B111" s="11"/>
      <c r="C111" s="11"/>
      <c r="D111" s="11"/>
      <c r="E111" s="11"/>
      <c r="F111" s="11"/>
      <c r="G111" s="11"/>
      <c r="H111" s="11"/>
      <c r="I111" s="11"/>
      <c r="J111" s="11"/>
      <c r="K111" s="11"/>
      <c r="L111" s="11"/>
      <c r="M111" s="11"/>
      <c r="N111" s="11"/>
      <c r="O111" s="11"/>
      <c r="P111" s="11"/>
    </row>
    <row r="112" spans="1:16">
      <c r="A112" s="11"/>
      <c r="B112" s="11"/>
      <c r="C112" s="11"/>
      <c r="D112" s="11"/>
      <c r="E112" s="11"/>
      <c r="F112" s="11"/>
      <c r="G112" s="11"/>
      <c r="H112" s="11"/>
      <c r="I112" s="11"/>
      <c r="J112" s="11"/>
      <c r="K112" s="11"/>
      <c r="L112" s="11"/>
      <c r="M112" s="11"/>
      <c r="N112" s="11"/>
      <c r="O112" s="11"/>
      <c r="P112" s="11"/>
    </row>
    <row r="113" spans="1:16">
      <c r="A113" s="11"/>
      <c r="B113" s="11"/>
      <c r="C113" s="11"/>
      <c r="D113" s="11"/>
      <c r="E113" s="11"/>
      <c r="F113" s="11"/>
      <c r="G113" s="11"/>
      <c r="H113" s="11"/>
      <c r="I113" s="11"/>
      <c r="J113" s="11"/>
      <c r="K113" s="11"/>
      <c r="L113" s="11"/>
      <c r="M113" s="11"/>
      <c r="N113" s="11"/>
      <c r="O113" s="11"/>
      <c r="P113" s="11"/>
    </row>
    <row r="114" spans="1:16">
      <c r="A114" s="11"/>
      <c r="B114" s="11"/>
      <c r="C114" s="11"/>
      <c r="D114" s="11"/>
      <c r="E114" s="11"/>
      <c r="F114" s="11"/>
      <c r="G114" s="11"/>
      <c r="H114" s="11"/>
      <c r="I114" s="11"/>
      <c r="J114" s="11"/>
      <c r="K114" s="11"/>
      <c r="L114" s="11"/>
      <c r="M114" s="11"/>
      <c r="N114" s="11"/>
      <c r="O114" s="11"/>
      <c r="P114" s="11"/>
    </row>
    <row r="115" spans="1:16">
      <c r="A115" s="11"/>
      <c r="B115" s="11"/>
      <c r="C115" s="11"/>
      <c r="D115" s="11"/>
      <c r="E115" s="11"/>
      <c r="F115" s="11"/>
      <c r="G115" s="11"/>
      <c r="H115" s="11"/>
      <c r="I115" s="11"/>
      <c r="J115" s="11"/>
      <c r="K115" s="11"/>
      <c r="L115" s="11"/>
      <c r="M115" s="11"/>
      <c r="N115" s="11"/>
      <c r="O115" s="11"/>
      <c r="P115" s="11"/>
    </row>
    <row r="116" spans="1:16">
      <c r="A116" s="11"/>
      <c r="B116" s="11"/>
      <c r="C116" s="11"/>
      <c r="D116" s="11"/>
      <c r="E116" s="11"/>
      <c r="F116" s="11"/>
      <c r="G116" s="11"/>
      <c r="H116" s="11"/>
      <c r="I116" s="11"/>
      <c r="J116" s="11"/>
      <c r="K116" s="11"/>
      <c r="L116" s="11"/>
      <c r="M116" s="11"/>
      <c r="N116" s="11"/>
      <c r="O116" s="11"/>
      <c r="P116" s="11"/>
    </row>
    <row r="117" spans="1:16">
      <c r="A117" s="11"/>
      <c r="B117" s="11"/>
      <c r="C117" s="11"/>
      <c r="D117" s="11"/>
      <c r="E117" s="11"/>
      <c r="F117" s="11"/>
      <c r="G117" s="11"/>
      <c r="H117" s="11"/>
      <c r="I117" s="11"/>
      <c r="J117" s="11"/>
      <c r="K117" s="11"/>
      <c r="L117" s="11"/>
      <c r="M117" s="11"/>
      <c r="N117" s="11"/>
      <c r="O117" s="11"/>
      <c r="P117" s="11"/>
    </row>
    <row r="118" spans="1:16">
      <c r="A118" s="11"/>
      <c r="B118" s="11"/>
      <c r="C118" s="11"/>
      <c r="D118" s="11"/>
      <c r="E118" s="11"/>
      <c r="F118" s="11"/>
      <c r="G118" s="11"/>
      <c r="H118" s="11"/>
      <c r="I118" s="11"/>
      <c r="J118" s="11"/>
      <c r="K118" s="11"/>
      <c r="L118" s="11"/>
      <c r="M118" s="11"/>
      <c r="N118" s="11"/>
      <c r="O118" s="11"/>
      <c r="P118" s="11"/>
    </row>
    <row r="119" spans="1:16">
      <c r="A119" s="11"/>
      <c r="B119" s="11"/>
      <c r="C119" s="11"/>
      <c r="D119" s="11"/>
      <c r="E119" s="11"/>
      <c r="F119" s="11"/>
      <c r="G119" s="11"/>
      <c r="H119" s="11"/>
      <c r="I119" s="11"/>
      <c r="J119" s="11"/>
      <c r="K119" s="11"/>
      <c r="L119" s="11"/>
      <c r="M119" s="11"/>
      <c r="N119" s="11"/>
      <c r="O119" s="11"/>
      <c r="P119" s="11"/>
    </row>
    <row r="120" spans="1:16">
      <c r="A120" s="11"/>
      <c r="B120" s="11"/>
      <c r="C120" s="11"/>
      <c r="D120" s="11"/>
      <c r="E120" s="11"/>
      <c r="F120" s="11"/>
      <c r="G120" s="11"/>
      <c r="H120" s="11"/>
      <c r="I120" s="11"/>
      <c r="J120" s="11"/>
      <c r="K120" s="11"/>
      <c r="L120" s="11"/>
      <c r="M120" s="11"/>
      <c r="N120" s="11"/>
      <c r="O120" s="11"/>
      <c r="P120" s="11"/>
    </row>
    <row r="121" spans="1:16">
      <c r="A121" s="11"/>
      <c r="B121" s="11"/>
      <c r="C121" s="11"/>
      <c r="D121" s="11"/>
      <c r="E121" s="11"/>
      <c r="F121" s="11"/>
      <c r="G121" s="11"/>
      <c r="H121" s="11"/>
      <c r="I121" s="11"/>
      <c r="J121" s="11"/>
      <c r="K121" s="11"/>
      <c r="L121" s="11"/>
      <c r="M121" s="11"/>
      <c r="N121" s="11"/>
      <c r="O121" s="11"/>
      <c r="P121" s="11"/>
    </row>
    <row r="122" spans="1:16">
      <c r="A122" s="11"/>
      <c r="B122" s="11"/>
      <c r="C122" s="11"/>
      <c r="D122" s="11"/>
      <c r="E122" s="11"/>
      <c r="F122" s="11"/>
      <c r="G122" s="11"/>
      <c r="H122" s="11"/>
      <c r="I122" s="11"/>
      <c r="J122" s="11"/>
      <c r="K122" s="11"/>
      <c r="L122" s="11"/>
      <c r="M122" s="11"/>
      <c r="N122" s="11"/>
      <c r="O122" s="11"/>
      <c r="P122" s="11"/>
    </row>
    <row r="123" spans="1:16">
      <c r="A123" s="11"/>
      <c r="B123" s="11"/>
      <c r="C123" s="11"/>
      <c r="D123" s="11"/>
      <c r="E123" s="11"/>
      <c r="F123" s="11"/>
      <c r="G123" s="11"/>
      <c r="H123" s="11"/>
      <c r="I123" s="11"/>
      <c r="J123" s="11"/>
      <c r="K123" s="11"/>
      <c r="L123" s="11"/>
      <c r="M123" s="11"/>
      <c r="N123" s="11"/>
      <c r="O123" s="11"/>
      <c r="P123" s="11"/>
    </row>
    <row r="124" spans="1:16">
      <c r="A124" s="11"/>
      <c r="B124" s="11"/>
      <c r="C124" s="11"/>
      <c r="D124" s="11"/>
      <c r="E124" s="11"/>
      <c r="F124" s="11"/>
      <c r="G124" s="11"/>
      <c r="H124" s="11"/>
      <c r="I124" s="11"/>
      <c r="J124" s="11"/>
      <c r="K124" s="11"/>
      <c r="L124" s="11"/>
      <c r="M124" s="11"/>
      <c r="N124" s="11"/>
      <c r="O124" s="11"/>
      <c r="P124" s="11"/>
    </row>
    <row r="125" spans="1:16">
      <c r="A125" s="11"/>
      <c r="B125" s="11"/>
      <c r="C125" s="11"/>
      <c r="D125" s="11"/>
      <c r="E125" s="11"/>
      <c r="F125" s="11"/>
      <c r="G125" s="11"/>
      <c r="H125" s="11"/>
      <c r="I125" s="11"/>
      <c r="J125" s="11"/>
      <c r="K125" s="11"/>
      <c r="L125" s="11"/>
      <c r="M125" s="11"/>
      <c r="N125" s="11"/>
      <c r="O125" s="11"/>
      <c r="P125" s="11"/>
    </row>
    <row r="126" spans="1:16">
      <c r="A126" s="11"/>
      <c r="B126" s="11"/>
      <c r="C126" s="11"/>
      <c r="D126" s="11"/>
      <c r="E126" s="11"/>
      <c r="F126" s="11"/>
      <c r="G126" s="11"/>
      <c r="H126" s="11"/>
      <c r="I126" s="11"/>
      <c r="J126" s="11"/>
      <c r="K126" s="11"/>
      <c r="L126" s="11"/>
      <c r="M126" s="11"/>
      <c r="N126" s="11"/>
      <c r="O126" s="11"/>
      <c r="P126" s="11"/>
    </row>
    <row r="127" spans="1:16">
      <c r="A127" s="11"/>
      <c r="B127" s="11"/>
      <c r="C127" s="11"/>
      <c r="D127" s="11"/>
      <c r="E127" s="11"/>
      <c r="F127" s="11"/>
      <c r="G127" s="11"/>
      <c r="H127" s="11"/>
      <c r="I127" s="11"/>
      <c r="J127" s="11"/>
      <c r="K127" s="11"/>
      <c r="L127" s="11"/>
      <c r="M127" s="11"/>
      <c r="N127" s="11"/>
      <c r="O127" s="11"/>
      <c r="P127" s="11"/>
    </row>
    <row r="128" spans="1:16">
      <c r="A128" s="11"/>
      <c r="B128" s="11"/>
      <c r="C128" s="11"/>
      <c r="D128" s="11"/>
      <c r="E128" s="11"/>
      <c r="F128" s="11"/>
      <c r="G128" s="11"/>
      <c r="H128" s="11"/>
      <c r="I128" s="11"/>
      <c r="J128" s="11"/>
      <c r="K128" s="11"/>
      <c r="L128" s="11"/>
      <c r="M128" s="11"/>
      <c r="N128" s="11"/>
      <c r="O128" s="11"/>
      <c r="P128" s="11"/>
    </row>
    <row r="129" spans="1:16">
      <c r="A129" s="11"/>
      <c r="B129" s="11"/>
      <c r="C129" s="11"/>
      <c r="D129" s="11"/>
      <c r="E129" s="11"/>
      <c r="F129" s="11"/>
      <c r="G129" s="11"/>
      <c r="H129" s="11"/>
      <c r="I129" s="11"/>
      <c r="J129" s="11"/>
      <c r="K129" s="11"/>
      <c r="L129" s="11"/>
      <c r="M129" s="11"/>
      <c r="N129" s="11"/>
      <c r="O129" s="11"/>
      <c r="P129" s="11"/>
    </row>
    <row r="130" spans="1:16">
      <c r="A130" s="11"/>
      <c r="B130" s="11"/>
      <c r="C130" s="11"/>
      <c r="D130" s="11"/>
      <c r="E130" s="11"/>
      <c r="F130" s="11"/>
      <c r="G130" s="11"/>
      <c r="H130" s="11"/>
      <c r="I130" s="11"/>
      <c r="J130" s="11"/>
      <c r="K130" s="11"/>
      <c r="L130" s="11"/>
      <c r="M130" s="11"/>
      <c r="N130" s="11"/>
      <c r="O130" s="11"/>
      <c r="P130" s="11"/>
    </row>
    <row r="131" spans="1:16">
      <c r="A131" s="11"/>
      <c r="B131" s="11"/>
      <c r="C131" s="11"/>
      <c r="D131" s="11"/>
      <c r="E131" s="11"/>
      <c r="F131" s="11"/>
      <c r="G131" s="11"/>
      <c r="H131" s="11"/>
      <c r="I131" s="11"/>
      <c r="J131" s="11"/>
      <c r="K131" s="11"/>
      <c r="L131" s="11"/>
      <c r="M131" s="11"/>
      <c r="N131" s="11"/>
      <c r="O131" s="11"/>
      <c r="P131" s="11"/>
    </row>
    <row r="132" spans="1:16">
      <c r="A132" s="11"/>
      <c r="B132" s="11"/>
      <c r="C132" s="11"/>
      <c r="D132" s="11"/>
      <c r="E132" s="11"/>
      <c r="F132" s="11"/>
      <c r="G132" s="11"/>
      <c r="H132" s="11"/>
      <c r="I132" s="11"/>
      <c r="J132" s="11"/>
      <c r="K132" s="11"/>
      <c r="L132" s="11"/>
      <c r="M132" s="11"/>
      <c r="N132" s="11"/>
      <c r="O132" s="11"/>
      <c r="P132" s="11"/>
    </row>
    <row r="133" spans="1:16">
      <c r="A133" s="11"/>
      <c r="B133" s="11"/>
      <c r="C133" s="11"/>
      <c r="D133" s="11"/>
      <c r="E133" s="11"/>
      <c r="F133" s="11"/>
      <c r="G133" s="11"/>
      <c r="H133" s="11"/>
      <c r="I133" s="11"/>
      <c r="J133" s="11"/>
      <c r="K133" s="11"/>
      <c r="L133" s="11"/>
      <c r="M133" s="11"/>
      <c r="N133" s="11"/>
      <c r="O133" s="11"/>
      <c r="P133" s="11"/>
    </row>
    <row r="134" spans="1:16">
      <c r="A134" s="11"/>
      <c r="B134" s="11"/>
      <c r="C134" s="11"/>
      <c r="D134" s="11"/>
      <c r="E134" s="11"/>
      <c r="F134" s="11"/>
      <c r="G134" s="11"/>
      <c r="H134" s="11"/>
      <c r="I134" s="11"/>
      <c r="J134" s="11"/>
      <c r="K134" s="11"/>
      <c r="L134" s="11"/>
      <c r="M134" s="11"/>
      <c r="N134" s="11"/>
      <c r="O134" s="11"/>
      <c r="P134" s="11"/>
    </row>
    <row r="135" spans="1:16">
      <c r="A135" s="11"/>
      <c r="B135" s="11"/>
      <c r="C135" s="11"/>
      <c r="D135" s="11"/>
      <c r="E135" s="11"/>
      <c r="F135" s="11"/>
      <c r="G135" s="11"/>
      <c r="H135" s="11"/>
      <c r="I135" s="11"/>
      <c r="J135" s="11"/>
      <c r="K135" s="11"/>
      <c r="L135" s="11"/>
      <c r="M135" s="11"/>
      <c r="N135" s="11"/>
      <c r="O135" s="11"/>
      <c r="P135" s="11"/>
    </row>
    <row r="136" spans="1:16">
      <c r="A136" s="11"/>
      <c r="B136" s="11"/>
      <c r="C136" s="11"/>
      <c r="D136" s="11"/>
      <c r="E136" s="11"/>
      <c r="F136" s="11"/>
      <c r="G136" s="11"/>
      <c r="H136" s="11"/>
      <c r="I136" s="11"/>
      <c r="J136" s="11"/>
      <c r="K136" s="11"/>
      <c r="L136" s="11"/>
      <c r="M136" s="11"/>
      <c r="N136" s="11"/>
      <c r="O136" s="11"/>
      <c r="P136" s="11"/>
    </row>
    <row r="137" spans="1:16">
      <c r="A137" s="11"/>
      <c r="B137" s="11"/>
      <c r="C137" s="11"/>
      <c r="D137" s="11"/>
      <c r="E137" s="11"/>
      <c r="F137" s="11"/>
      <c r="G137" s="11"/>
      <c r="H137" s="11"/>
      <c r="I137" s="11"/>
      <c r="J137" s="11"/>
      <c r="K137" s="11"/>
      <c r="L137" s="11"/>
      <c r="M137" s="11"/>
      <c r="N137" s="11"/>
      <c r="O137" s="11"/>
      <c r="P137" s="11"/>
    </row>
    <row r="138" spans="1:16">
      <c r="A138" s="11"/>
      <c r="B138" s="11"/>
      <c r="C138" s="11"/>
      <c r="D138" s="11"/>
      <c r="E138" s="11"/>
      <c r="F138" s="11"/>
      <c r="G138" s="11"/>
      <c r="H138" s="11"/>
      <c r="I138" s="11"/>
      <c r="J138" s="11"/>
      <c r="K138" s="11"/>
      <c r="L138" s="11"/>
      <c r="M138" s="11"/>
      <c r="N138" s="11"/>
      <c r="O138" s="11"/>
      <c r="P138" s="11"/>
    </row>
    <row r="139" spans="1:16">
      <c r="A139" s="11"/>
      <c r="B139" s="11"/>
      <c r="C139" s="11"/>
      <c r="D139" s="11"/>
      <c r="E139" s="11"/>
      <c r="F139" s="11"/>
      <c r="G139" s="11"/>
      <c r="H139" s="11"/>
      <c r="I139" s="11"/>
      <c r="J139" s="11"/>
      <c r="K139" s="11"/>
      <c r="L139" s="11"/>
      <c r="M139" s="11"/>
      <c r="N139" s="11"/>
      <c r="O139" s="11"/>
      <c r="P139" s="11"/>
    </row>
    <row r="140" spans="1:16">
      <c r="A140" s="11"/>
      <c r="B140" s="11"/>
      <c r="C140" s="11"/>
      <c r="D140" s="11"/>
      <c r="E140" s="11"/>
      <c r="F140" s="11"/>
      <c r="G140" s="11"/>
      <c r="H140" s="11"/>
      <c r="I140" s="11"/>
      <c r="J140" s="11"/>
      <c r="K140" s="11"/>
      <c r="L140" s="11"/>
      <c r="M140" s="11"/>
      <c r="N140" s="11"/>
      <c r="O140" s="11"/>
      <c r="P140" s="11"/>
    </row>
    <row r="141" spans="1:16">
      <c r="A141" s="11"/>
      <c r="B141" s="11"/>
      <c r="C141" s="11"/>
      <c r="D141" s="11"/>
      <c r="E141" s="11"/>
      <c r="F141" s="11"/>
      <c r="G141" s="11"/>
      <c r="H141" s="11"/>
      <c r="I141" s="11"/>
      <c r="J141" s="11"/>
      <c r="K141" s="11"/>
      <c r="L141" s="11"/>
      <c r="M141" s="11"/>
      <c r="N141" s="11"/>
      <c r="O141" s="11"/>
      <c r="P141" s="11"/>
    </row>
    <row r="142" spans="1:16">
      <c r="A142" s="11"/>
      <c r="B142" s="11"/>
      <c r="C142" s="11"/>
      <c r="D142" s="11"/>
      <c r="E142" s="11"/>
      <c r="F142" s="11"/>
      <c r="G142" s="11"/>
      <c r="H142" s="11"/>
      <c r="I142" s="11"/>
      <c r="J142" s="11"/>
      <c r="K142" s="11"/>
      <c r="L142" s="11"/>
      <c r="M142" s="11"/>
      <c r="N142" s="11"/>
      <c r="O142" s="11"/>
      <c r="P142" s="11"/>
    </row>
    <row r="143" spans="1:16">
      <c r="A143" s="11"/>
      <c r="B143" s="11"/>
      <c r="C143" s="11"/>
      <c r="D143" s="11"/>
      <c r="E143" s="11"/>
      <c r="F143" s="11"/>
      <c r="G143" s="11"/>
      <c r="H143" s="11"/>
      <c r="I143" s="11"/>
      <c r="J143" s="11"/>
      <c r="K143" s="11"/>
      <c r="L143" s="11"/>
      <c r="M143" s="11"/>
      <c r="N143" s="11"/>
      <c r="O143" s="11"/>
      <c r="P143" s="11"/>
    </row>
    <row r="144" spans="1:16">
      <c r="A144" s="11"/>
      <c r="B144" s="11"/>
      <c r="C144" s="11"/>
      <c r="D144" s="11"/>
      <c r="E144" s="11"/>
      <c r="F144" s="11"/>
      <c r="G144" s="11"/>
      <c r="H144" s="11"/>
      <c r="I144" s="11"/>
      <c r="J144" s="11"/>
      <c r="K144" s="11"/>
      <c r="L144" s="11"/>
      <c r="M144" s="11"/>
      <c r="N144" s="11"/>
      <c r="O144" s="11"/>
      <c r="P144" s="11"/>
    </row>
    <row r="145" spans="1:16">
      <c r="A145" s="11"/>
      <c r="B145" s="11"/>
      <c r="C145" s="11"/>
      <c r="D145" s="11"/>
      <c r="E145" s="11"/>
      <c r="F145" s="11"/>
      <c r="G145" s="11"/>
      <c r="H145" s="11"/>
      <c r="I145" s="11"/>
      <c r="J145" s="11"/>
      <c r="K145" s="11"/>
      <c r="L145" s="11"/>
      <c r="M145" s="11"/>
      <c r="N145" s="11"/>
      <c r="O145" s="11"/>
      <c r="P145" s="11"/>
    </row>
    <row r="146" spans="1:16">
      <c r="A146" s="11"/>
      <c r="B146" s="11"/>
      <c r="C146" s="11"/>
      <c r="D146" s="11"/>
      <c r="E146" s="11"/>
      <c r="F146" s="11"/>
      <c r="G146" s="11"/>
      <c r="H146" s="11"/>
      <c r="I146" s="11"/>
      <c r="J146" s="11"/>
      <c r="K146" s="11"/>
      <c r="L146" s="11"/>
      <c r="M146" s="11"/>
      <c r="N146" s="11"/>
      <c r="O146" s="11"/>
      <c r="P146" s="11"/>
    </row>
    <row r="147" spans="1:16">
      <c r="A147" s="11"/>
      <c r="B147" s="11"/>
      <c r="C147" s="11"/>
      <c r="D147" s="11"/>
      <c r="E147" s="11"/>
      <c r="F147" s="11"/>
      <c r="G147" s="11"/>
      <c r="H147" s="11"/>
      <c r="I147" s="11"/>
      <c r="J147" s="11"/>
      <c r="K147" s="11"/>
      <c r="L147" s="11"/>
      <c r="M147" s="11"/>
      <c r="N147" s="11"/>
      <c r="O147" s="11"/>
      <c r="P147" s="11"/>
    </row>
    <row r="148" spans="1:16">
      <c r="A148" s="11"/>
      <c r="B148" s="11"/>
      <c r="C148" s="11"/>
      <c r="D148" s="11"/>
      <c r="E148" s="11"/>
      <c r="F148" s="11"/>
      <c r="G148" s="11"/>
      <c r="H148" s="11"/>
      <c r="I148" s="11"/>
      <c r="J148" s="11"/>
      <c r="K148" s="11"/>
      <c r="L148" s="11"/>
      <c r="M148" s="11"/>
      <c r="N148" s="11"/>
      <c r="O148" s="11"/>
      <c r="P148" s="11"/>
    </row>
    <row r="149" spans="1:16">
      <c r="A149" s="11"/>
      <c r="B149" s="11"/>
      <c r="C149" s="11"/>
      <c r="D149" s="11"/>
      <c r="E149" s="11"/>
      <c r="F149" s="11"/>
      <c r="G149" s="11"/>
      <c r="H149" s="11"/>
      <c r="I149" s="11"/>
      <c r="J149" s="11"/>
      <c r="K149" s="11"/>
      <c r="L149" s="11"/>
      <c r="M149" s="11"/>
      <c r="N149" s="11"/>
      <c r="O149" s="11"/>
      <c r="P149" s="11"/>
    </row>
    <row r="150" spans="1:16">
      <c r="A150" s="11"/>
      <c r="B150" s="11"/>
      <c r="C150" s="11"/>
      <c r="D150" s="11"/>
      <c r="E150" s="11"/>
      <c r="F150" s="11"/>
      <c r="G150" s="11"/>
      <c r="H150" s="11"/>
      <c r="I150" s="11"/>
      <c r="J150" s="11"/>
      <c r="K150" s="11"/>
      <c r="L150" s="11"/>
      <c r="M150" s="11"/>
      <c r="N150" s="11"/>
      <c r="O150" s="11"/>
      <c r="P150" s="11"/>
    </row>
    <row r="151" spans="1:16">
      <c r="A151" s="11"/>
      <c r="B151" s="11"/>
      <c r="C151" s="11"/>
      <c r="D151" s="11"/>
      <c r="E151" s="11"/>
      <c r="F151" s="11"/>
      <c r="G151" s="11"/>
      <c r="H151" s="11"/>
      <c r="I151" s="11"/>
      <c r="J151" s="11"/>
      <c r="K151" s="11"/>
      <c r="L151" s="11"/>
      <c r="M151" s="11"/>
      <c r="N151" s="11"/>
      <c r="O151" s="11"/>
      <c r="P151" s="11"/>
    </row>
    <row r="152" spans="1:16">
      <c r="A152" s="11"/>
      <c r="B152" s="11"/>
      <c r="C152" s="11"/>
      <c r="D152" s="11"/>
      <c r="E152" s="11"/>
      <c r="F152" s="11"/>
      <c r="G152" s="11"/>
      <c r="H152" s="11"/>
      <c r="I152" s="11"/>
      <c r="J152" s="11"/>
      <c r="K152" s="11"/>
      <c r="L152" s="11"/>
      <c r="M152" s="11"/>
      <c r="N152" s="11"/>
      <c r="O152" s="11"/>
      <c r="P152" s="11"/>
    </row>
    <row r="153" spans="1:16">
      <c r="A153" s="11"/>
      <c r="B153" s="11"/>
      <c r="C153" s="11"/>
      <c r="D153" s="11"/>
      <c r="E153" s="11"/>
      <c r="F153" s="11"/>
      <c r="G153" s="11"/>
      <c r="H153" s="11"/>
      <c r="I153" s="11"/>
      <c r="J153" s="11"/>
      <c r="K153" s="11"/>
      <c r="L153" s="11"/>
      <c r="M153" s="11"/>
      <c r="N153" s="11"/>
      <c r="O153" s="11"/>
      <c r="P153" s="11"/>
    </row>
    <row r="154" spans="1:16">
      <c r="A154" s="11"/>
      <c r="B154" s="11"/>
      <c r="C154" s="11"/>
      <c r="D154" s="11"/>
      <c r="E154" s="11"/>
      <c r="F154" s="11"/>
      <c r="G154" s="11"/>
      <c r="H154" s="11"/>
      <c r="I154" s="11"/>
      <c r="J154" s="11"/>
      <c r="K154" s="11"/>
      <c r="L154" s="11"/>
      <c r="M154" s="11"/>
      <c r="N154" s="11"/>
      <c r="O154" s="11"/>
      <c r="P154" s="11"/>
    </row>
    <row r="155" spans="1:16">
      <c r="A155" s="11"/>
      <c r="B155" s="11"/>
      <c r="C155" s="11"/>
      <c r="D155" s="11"/>
      <c r="E155" s="11"/>
      <c r="F155" s="11"/>
      <c r="G155" s="11"/>
      <c r="H155" s="11"/>
      <c r="I155" s="11"/>
      <c r="J155" s="11"/>
      <c r="K155" s="11"/>
      <c r="L155" s="11"/>
      <c r="M155" s="11"/>
      <c r="N155" s="11"/>
      <c r="O155" s="11"/>
      <c r="P155" s="11"/>
    </row>
    <row r="156" spans="1:16">
      <c r="A156" s="11"/>
      <c r="B156" s="11"/>
      <c r="C156" s="11"/>
      <c r="D156" s="11"/>
      <c r="E156" s="11"/>
      <c r="F156" s="11"/>
      <c r="G156" s="11"/>
      <c r="H156" s="11"/>
      <c r="I156" s="11"/>
      <c r="J156" s="11"/>
      <c r="K156" s="11"/>
      <c r="L156" s="11"/>
      <c r="M156" s="11"/>
      <c r="N156" s="11"/>
      <c r="O156" s="11"/>
      <c r="P156" s="11"/>
    </row>
    <row r="157" spans="1:16">
      <c r="A157" s="11"/>
      <c r="B157" s="11"/>
      <c r="C157" s="11"/>
      <c r="D157" s="11"/>
      <c r="E157" s="11"/>
      <c r="F157" s="11"/>
      <c r="G157" s="11"/>
      <c r="H157" s="11"/>
      <c r="I157" s="11"/>
      <c r="J157" s="11"/>
      <c r="K157" s="11"/>
      <c r="L157" s="11"/>
      <c r="M157" s="11"/>
      <c r="N157" s="11"/>
      <c r="O157" s="11"/>
      <c r="P157" s="11"/>
    </row>
    <row r="158" spans="1:16">
      <c r="A158" s="11"/>
      <c r="B158" s="11"/>
      <c r="C158" s="11"/>
      <c r="D158" s="11"/>
      <c r="E158" s="11"/>
      <c r="F158" s="11"/>
      <c r="G158" s="11"/>
      <c r="H158" s="11"/>
      <c r="I158" s="11"/>
      <c r="J158" s="11"/>
      <c r="K158" s="11"/>
      <c r="L158" s="11"/>
      <c r="M158" s="11"/>
      <c r="N158" s="11"/>
      <c r="O158" s="11"/>
      <c r="P158" s="11"/>
    </row>
    <row r="159" spans="1:16">
      <c r="A159" s="11"/>
      <c r="B159" s="11"/>
      <c r="C159" s="11"/>
      <c r="D159" s="11"/>
      <c r="E159" s="11"/>
      <c r="F159" s="11"/>
      <c r="G159" s="11"/>
      <c r="H159" s="11"/>
      <c r="I159" s="11"/>
      <c r="J159" s="11"/>
      <c r="K159" s="11"/>
      <c r="L159" s="11"/>
      <c r="M159" s="11"/>
      <c r="N159" s="11"/>
      <c r="O159" s="11"/>
      <c r="P159" s="11"/>
    </row>
    <row r="160" spans="1:16">
      <c r="A160" s="11"/>
      <c r="B160" s="11"/>
      <c r="C160" s="11"/>
      <c r="D160" s="11"/>
      <c r="E160" s="11"/>
      <c r="F160" s="11"/>
      <c r="G160" s="11"/>
      <c r="H160" s="11"/>
      <c r="I160" s="11"/>
      <c r="J160" s="11"/>
      <c r="K160" s="11"/>
      <c r="L160" s="11"/>
      <c r="M160" s="11"/>
      <c r="N160" s="11"/>
      <c r="O160" s="11"/>
      <c r="P160" s="11"/>
    </row>
    <row r="161" spans="1:16">
      <c r="A161" s="11"/>
      <c r="B161" s="11"/>
      <c r="C161" s="11"/>
      <c r="D161" s="11"/>
      <c r="E161" s="11"/>
      <c r="F161" s="11"/>
      <c r="G161" s="11"/>
      <c r="H161" s="11"/>
      <c r="I161" s="11"/>
      <c r="J161" s="11"/>
      <c r="K161" s="11"/>
      <c r="L161" s="11"/>
      <c r="M161" s="11"/>
      <c r="N161" s="11"/>
      <c r="O161" s="11"/>
      <c r="P161" s="11"/>
    </row>
    <row r="162" spans="1:16">
      <c r="A162" s="11"/>
      <c r="B162" s="11"/>
      <c r="C162" s="11"/>
      <c r="D162" s="11"/>
      <c r="E162" s="11"/>
      <c r="F162" s="11"/>
      <c r="G162" s="11"/>
      <c r="H162" s="11"/>
      <c r="I162" s="11"/>
      <c r="J162" s="11"/>
      <c r="K162" s="11"/>
      <c r="L162" s="11"/>
      <c r="M162" s="11"/>
      <c r="N162" s="11"/>
      <c r="O162" s="11"/>
      <c r="P162" s="11"/>
    </row>
    <row r="163" spans="1:16">
      <c r="A163" s="11"/>
      <c r="B163" s="11"/>
      <c r="C163" s="11"/>
      <c r="D163" s="11"/>
      <c r="E163" s="11"/>
      <c r="F163" s="11"/>
      <c r="G163" s="11"/>
      <c r="H163" s="11"/>
      <c r="I163" s="11"/>
      <c r="J163" s="11"/>
      <c r="K163" s="11"/>
      <c r="L163" s="11"/>
      <c r="M163" s="11"/>
      <c r="N163" s="11"/>
      <c r="O163" s="11"/>
      <c r="P163" s="11"/>
    </row>
    <row r="164" spans="1:16">
      <c r="A164" s="11"/>
      <c r="B164" s="11"/>
      <c r="C164" s="11"/>
      <c r="D164" s="11"/>
      <c r="E164" s="11"/>
      <c r="F164" s="11"/>
      <c r="G164" s="11"/>
      <c r="H164" s="11"/>
      <c r="I164" s="11"/>
      <c r="J164" s="11"/>
      <c r="K164" s="11"/>
      <c r="L164" s="11"/>
      <c r="M164" s="11"/>
      <c r="N164" s="11"/>
      <c r="O164" s="11"/>
      <c r="P164" s="11"/>
    </row>
    <row r="165" spans="1:16">
      <c r="A165" s="11"/>
      <c r="B165" s="11"/>
      <c r="C165" s="11"/>
      <c r="D165" s="11"/>
      <c r="E165" s="11"/>
      <c r="F165" s="11"/>
      <c r="G165" s="11"/>
      <c r="H165" s="11"/>
      <c r="I165" s="11"/>
      <c r="J165" s="11"/>
      <c r="K165" s="11"/>
      <c r="L165" s="11"/>
      <c r="M165" s="11"/>
      <c r="N165" s="11"/>
      <c r="O165" s="11"/>
      <c r="P165" s="11"/>
    </row>
    <row r="166" spans="1:16">
      <c r="A166" s="11"/>
      <c r="B166" s="11"/>
      <c r="C166" s="11"/>
      <c r="D166" s="11"/>
      <c r="E166" s="11"/>
      <c r="F166" s="11"/>
      <c r="G166" s="11"/>
      <c r="H166" s="11"/>
      <c r="I166" s="11"/>
      <c r="J166" s="11"/>
      <c r="K166" s="11"/>
      <c r="L166" s="11"/>
      <c r="M166" s="11"/>
      <c r="N166" s="11"/>
      <c r="O166" s="11"/>
      <c r="P166" s="11"/>
    </row>
    <row r="167" spans="1:16">
      <c r="A167" s="11"/>
      <c r="B167" s="11"/>
      <c r="C167" s="11"/>
      <c r="D167" s="11"/>
      <c r="E167" s="11"/>
      <c r="F167" s="11"/>
      <c r="G167" s="11"/>
      <c r="H167" s="11"/>
      <c r="I167" s="11"/>
      <c r="J167" s="11"/>
      <c r="K167" s="11"/>
      <c r="L167" s="11"/>
      <c r="M167" s="11"/>
      <c r="N167" s="11"/>
      <c r="O167" s="11"/>
      <c r="P167" s="11"/>
    </row>
    <row r="168" spans="1:16">
      <c r="A168" s="11"/>
      <c r="B168" s="11"/>
      <c r="C168" s="11"/>
      <c r="D168" s="11"/>
      <c r="E168" s="11"/>
      <c r="F168" s="11"/>
      <c r="G168" s="11"/>
      <c r="H168" s="11"/>
      <c r="I168" s="11"/>
      <c r="J168" s="11"/>
      <c r="K168" s="11"/>
      <c r="L168" s="11"/>
      <c r="M168" s="11"/>
      <c r="N168" s="11"/>
      <c r="O168" s="11"/>
      <c r="P168" s="11"/>
    </row>
    <row r="169" spans="1:16">
      <c r="A169" s="11"/>
      <c r="B169" s="11"/>
      <c r="C169" s="11"/>
      <c r="D169" s="11"/>
      <c r="E169" s="11"/>
      <c r="F169" s="11"/>
      <c r="G169" s="11"/>
      <c r="H169" s="11"/>
      <c r="I169" s="11"/>
      <c r="J169" s="11"/>
      <c r="K169" s="11"/>
      <c r="L169" s="11"/>
      <c r="M169" s="11"/>
      <c r="N169" s="11"/>
      <c r="O169" s="11"/>
      <c r="P169" s="11"/>
    </row>
    <row r="170" spans="1:16">
      <c r="A170" s="11"/>
      <c r="B170" s="11"/>
      <c r="C170" s="11"/>
      <c r="D170" s="11"/>
      <c r="E170" s="11"/>
      <c r="F170" s="11"/>
      <c r="G170" s="11"/>
      <c r="H170" s="11"/>
      <c r="I170" s="11"/>
      <c r="J170" s="11"/>
      <c r="K170" s="11"/>
      <c r="L170" s="11"/>
      <c r="M170" s="11"/>
      <c r="N170" s="11"/>
      <c r="O170" s="11"/>
      <c r="P170" s="11"/>
    </row>
    <row r="171" spans="1:16">
      <c r="A171" s="11"/>
      <c r="B171" s="11"/>
      <c r="C171" s="11"/>
      <c r="D171" s="11"/>
      <c r="E171" s="11"/>
      <c r="F171" s="11"/>
      <c r="G171" s="11"/>
      <c r="H171" s="11"/>
      <c r="I171" s="11"/>
      <c r="J171" s="11"/>
      <c r="K171" s="11"/>
      <c r="L171" s="11"/>
      <c r="M171" s="11"/>
      <c r="N171" s="11"/>
      <c r="O171" s="11"/>
      <c r="P171" s="11"/>
    </row>
    <row r="172" spans="1:16">
      <c r="A172" s="11"/>
      <c r="B172" s="11"/>
      <c r="C172" s="11"/>
      <c r="D172" s="11"/>
      <c r="E172" s="11"/>
      <c r="F172" s="11"/>
      <c r="G172" s="11"/>
      <c r="H172" s="11"/>
      <c r="I172" s="11"/>
      <c r="J172" s="11"/>
      <c r="K172" s="11"/>
      <c r="L172" s="11"/>
      <c r="M172" s="11"/>
      <c r="N172" s="11"/>
      <c r="O172" s="11"/>
      <c r="P172" s="11"/>
    </row>
    <row r="173" spans="1:16">
      <c r="A173" s="11"/>
      <c r="B173" s="11"/>
      <c r="C173" s="11"/>
      <c r="D173" s="11"/>
      <c r="E173" s="11"/>
      <c r="F173" s="11"/>
      <c r="G173" s="11"/>
      <c r="H173" s="11"/>
      <c r="I173" s="11"/>
      <c r="J173" s="11"/>
      <c r="K173" s="11"/>
      <c r="L173" s="11"/>
      <c r="M173" s="11"/>
      <c r="N173" s="11"/>
      <c r="O173" s="11"/>
      <c r="P173" s="11"/>
    </row>
    <row r="174" spans="1:16">
      <c r="A174" s="11"/>
      <c r="B174" s="11"/>
      <c r="C174" s="11"/>
      <c r="D174" s="11"/>
      <c r="E174" s="11"/>
      <c r="F174" s="11"/>
      <c r="G174" s="11"/>
      <c r="H174" s="11"/>
      <c r="I174" s="11"/>
      <c r="J174" s="11"/>
      <c r="K174" s="11"/>
      <c r="L174" s="11"/>
      <c r="M174" s="11"/>
      <c r="N174" s="11"/>
      <c r="O174" s="11"/>
      <c r="P174" s="11"/>
    </row>
    <row r="175" spans="1:16">
      <c r="A175" s="11"/>
      <c r="B175" s="11"/>
      <c r="C175" s="11"/>
      <c r="D175" s="11"/>
      <c r="E175" s="11"/>
      <c r="F175" s="11"/>
      <c r="G175" s="11"/>
      <c r="H175" s="11"/>
      <c r="I175" s="11"/>
      <c r="J175" s="11"/>
      <c r="K175" s="11"/>
      <c r="L175" s="11"/>
      <c r="M175" s="11"/>
      <c r="N175" s="11"/>
      <c r="O175" s="11"/>
      <c r="P175" s="11"/>
    </row>
    <row r="176" spans="1:16">
      <c r="A176" s="11"/>
      <c r="B176" s="11"/>
      <c r="C176" s="11"/>
      <c r="D176" s="11"/>
      <c r="E176" s="11"/>
      <c r="F176" s="11"/>
      <c r="G176" s="11"/>
      <c r="H176" s="11"/>
      <c r="I176" s="11"/>
      <c r="J176" s="11"/>
      <c r="K176" s="11"/>
      <c r="L176" s="11"/>
      <c r="M176" s="11"/>
      <c r="N176" s="11"/>
      <c r="O176" s="11"/>
      <c r="P176" s="11"/>
    </row>
    <row r="177" spans="1:16">
      <c r="A177" s="11"/>
      <c r="B177" s="11"/>
      <c r="C177" s="11"/>
      <c r="D177" s="11"/>
      <c r="E177" s="11"/>
      <c r="F177" s="11"/>
      <c r="G177" s="11"/>
      <c r="H177" s="11"/>
      <c r="I177" s="11"/>
      <c r="J177" s="11"/>
      <c r="K177" s="11"/>
      <c r="L177" s="11"/>
      <c r="M177" s="11"/>
      <c r="N177" s="11"/>
      <c r="O177" s="11"/>
      <c r="P177" s="11"/>
    </row>
    <row r="178" spans="1:16">
      <c r="A178" s="11"/>
      <c r="B178" s="11"/>
      <c r="C178" s="11"/>
      <c r="D178" s="11"/>
      <c r="E178" s="11"/>
      <c r="F178" s="11"/>
      <c r="G178" s="11"/>
      <c r="H178" s="11"/>
      <c r="I178" s="11"/>
      <c r="J178" s="11"/>
      <c r="K178" s="11"/>
      <c r="L178" s="11"/>
      <c r="M178" s="11"/>
      <c r="N178" s="11"/>
      <c r="O178" s="11"/>
      <c r="P178" s="11"/>
    </row>
    <row r="179" spans="1:16">
      <c r="A179" s="11"/>
      <c r="B179" s="11"/>
      <c r="C179" s="11"/>
      <c r="D179" s="11"/>
      <c r="E179" s="11"/>
      <c r="F179" s="11"/>
      <c r="G179" s="11"/>
      <c r="H179" s="11"/>
      <c r="I179" s="11"/>
      <c r="J179" s="11"/>
      <c r="K179" s="11"/>
      <c r="L179" s="11"/>
      <c r="M179" s="11"/>
      <c r="N179" s="11"/>
      <c r="O179" s="11"/>
      <c r="P179" s="11"/>
    </row>
    <row r="180" spans="1:16">
      <c r="A180" s="11"/>
      <c r="B180" s="11"/>
      <c r="C180" s="11"/>
      <c r="D180" s="11"/>
      <c r="E180" s="11"/>
      <c r="F180" s="11"/>
      <c r="G180" s="11"/>
      <c r="H180" s="11"/>
      <c r="I180" s="11"/>
      <c r="J180" s="11"/>
      <c r="K180" s="11"/>
      <c r="L180" s="11"/>
      <c r="M180" s="11"/>
      <c r="N180" s="11"/>
      <c r="O180" s="11"/>
      <c r="P180" s="11"/>
    </row>
    <row r="181" spans="1:16">
      <c r="A181" s="11"/>
      <c r="B181" s="11"/>
      <c r="C181" s="11"/>
      <c r="D181" s="11"/>
      <c r="E181" s="11"/>
      <c r="F181" s="11"/>
      <c r="G181" s="11"/>
      <c r="H181" s="11"/>
      <c r="I181" s="11"/>
      <c r="J181" s="11"/>
      <c r="K181" s="11"/>
      <c r="L181" s="11"/>
      <c r="M181" s="11"/>
      <c r="N181" s="11"/>
      <c r="O181" s="11"/>
      <c r="P181" s="11"/>
    </row>
    <row r="182" spans="1:16">
      <c r="A182" s="11"/>
      <c r="B182" s="11"/>
      <c r="C182" s="11"/>
      <c r="D182" s="11"/>
      <c r="E182" s="11"/>
      <c r="F182" s="11"/>
      <c r="G182" s="11"/>
      <c r="H182" s="11"/>
      <c r="I182" s="11"/>
      <c r="J182" s="11"/>
      <c r="K182" s="11"/>
      <c r="L182" s="11"/>
      <c r="M182" s="11"/>
      <c r="N182" s="11"/>
      <c r="O182" s="11"/>
      <c r="P182" s="11"/>
    </row>
    <row r="183" spans="1:16">
      <c r="A183" s="11"/>
      <c r="B183" s="11"/>
      <c r="C183" s="11"/>
      <c r="D183" s="11"/>
      <c r="E183" s="11"/>
      <c r="F183" s="11"/>
      <c r="G183" s="11"/>
      <c r="H183" s="11"/>
      <c r="I183" s="11"/>
      <c r="J183" s="11"/>
      <c r="K183" s="11"/>
      <c r="L183" s="11"/>
      <c r="M183" s="11"/>
      <c r="N183" s="11"/>
      <c r="O183" s="11"/>
      <c r="P183" s="11"/>
    </row>
    <row r="184" spans="1:16">
      <c r="A184" s="11"/>
      <c r="B184" s="11"/>
      <c r="C184" s="11"/>
      <c r="D184" s="11"/>
      <c r="E184" s="11"/>
      <c r="F184" s="11"/>
      <c r="G184" s="11"/>
      <c r="H184" s="11"/>
      <c r="I184" s="11"/>
      <c r="J184" s="11"/>
      <c r="K184" s="11"/>
      <c r="L184" s="11"/>
      <c r="M184" s="11"/>
      <c r="N184" s="11"/>
      <c r="O184" s="11"/>
      <c r="P184" s="11"/>
    </row>
    <row r="185" spans="1:16">
      <c r="A185" s="11"/>
      <c r="B185" s="11"/>
      <c r="C185" s="11"/>
      <c r="D185" s="11"/>
      <c r="E185" s="11"/>
      <c r="F185" s="11"/>
      <c r="G185" s="11"/>
      <c r="H185" s="11"/>
      <c r="I185" s="11"/>
      <c r="J185" s="11"/>
      <c r="K185" s="11"/>
      <c r="L185" s="11"/>
      <c r="M185" s="11"/>
      <c r="N185" s="11"/>
      <c r="O185" s="11"/>
      <c r="P185" s="11"/>
    </row>
    <row r="186" spans="1:16">
      <c r="A186" s="11"/>
      <c r="B186" s="11"/>
      <c r="C186" s="11"/>
      <c r="D186" s="11"/>
      <c r="E186" s="11"/>
      <c r="F186" s="11"/>
      <c r="G186" s="11"/>
      <c r="H186" s="11"/>
      <c r="I186" s="11"/>
      <c r="J186" s="11"/>
      <c r="K186" s="11"/>
      <c r="L186" s="11"/>
      <c r="M186" s="11"/>
      <c r="N186" s="11"/>
      <c r="O186" s="11"/>
      <c r="P186" s="11"/>
    </row>
    <row r="187" spans="1:16">
      <c r="A187" s="11"/>
      <c r="B187" s="11"/>
      <c r="C187" s="11"/>
      <c r="D187" s="11"/>
      <c r="E187" s="11"/>
      <c r="F187" s="11"/>
      <c r="G187" s="11"/>
      <c r="H187" s="11"/>
      <c r="I187" s="11"/>
      <c r="J187" s="11"/>
      <c r="K187" s="11"/>
      <c r="L187" s="11"/>
      <c r="M187" s="11"/>
      <c r="N187" s="11"/>
      <c r="O187" s="11"/>
      <c r="P187" s="11"/>
    </row>
    <row r="188" spans="1:16">
      <c r="A188" s="11"/>
      <c r="B188" s="11"/>
      <c r="C188" s="11"/>
      <c r="D188" s="11"/>
      <c r="E188" s="11"/>
      <c r="F188" s="11"/>
      <c r="G188" s="11"/>
      <c r="H188" s="11"/>
      <c r="I188" s="11"/>
      <c r="J188" s="11"/>
      <c r="K188" s="11"/>
      <c r="L188" s="11"/>
      <c r="M188" s="11"/>
      <c r="N188" s="11"/>
      <c r="O188" s="11"/>
      <c r="P188" s="11"/>
    </row>
    <row r="189" spans="1:16">
      <c r="A189" s="11"/>
      <c r="B189" s="11"/>
      <c r="C189" s="11"/>
      <c r="D189" s="11"/>
      <c r="E189" s="11"/>
      <c r="F189" s="11"/>
      <c r="G189" s="11"/>
      <c r="H189" s="11"/>
      <c r="I189" s="11"/>
      <c r="J189" s="11"/>
      <c r="K189" s="11"/>
      <c r="L189" s="11"/>
      <c r="M189" s="11"/>
      <c r="N189" s="11"/>
      <c r="O189" s="11"/>
      <c r="P189" s="11"/>
    </row>
    <row r="190" spans="1:16">
      <c r="A190" s="11"/>
      <c r="B190" s="11"/>
      <c r="C190" s="11"/>
      <c r="D190" s="11"/>
      <c r="E190" s="11"/>
      <c r="F190" s="11"/>
      <c r="G190" s="11"/>
      <c r="H190" s="11"/>
      <c r="I190" s="11"/>
      <c r="J190" s="11"/>
      <c r="K190" s="11"/>
      <c r="L190" s="11"/>
      <c r="M190" s="11"/>
      <c r="N190" s="11"/>
      <c r="O190" s="11"/>
      <c r="P190" s="11"/>
    </row>
    <row r="191" spans="1:16">
      <c r="A191" s="11"/>
      <c r="B191" s="11"/>
      <c r="C191" s="11"/>
      <c r="D191" s="11"/>
      <c r="E191" s="11"/>
      <c r="F191" s="11"/>
      <c r="G191" s="11"/>
      <c r="H191" s="11"/>
      <c r="I191" s="11"/>
      <c r="J191" s="11"/>
      <c r="K191" s="11"/>
      <c r="L191" s="11"/>
      <c r="M191" s="11"/>
      <c r="N191" s="11"/>
      <c r="O191" s="11"/>
      <c r="P191" s="11"/>
    </row>
    <row r="192" spans="1:16">
      <c r="A192" s="11"/>
      <c r="B192" s="11"/>
      <c r="C192" s="11"/>
      <c r="D192" s="11"/>
      <c r="E192" s="11"/>
      <c r="F192" s="11"/>
      <c r="G192" s="11"/>
      <c r="H192" s="11"/>
      <c r="I192" s="11"/>
      <c r="J192" s="11"/>
      <c r="K192" s="11"/>
      <c r="L192" s="11"/>
      <c r="M192" s="11"/>
      <c r="N192" s="11"/>
      <c r="O192" s="11"/>
      <c r="P192" s="11"/>
    </row>
    <row r="193" spans="1:16">
      <c r="A193" s="11"/>
      <c r="B193" s="11"/>
      <c r="C193" s="11"/>
      <c r="D193" s="11"/>
      <c r="E193" s="11"/>
      <c r="F193" s="11"/>
      <c r="G193" s="11"/>
      <c r="H193" s="11"/>
      <c r="I193" s="11"/>
      <c r="J193" s="11"/>
      <c r="K193" s="11"/>
      <c r="L193" s="11"/>
      <c r="M193" s="11"/>
      <c r="N193" s="11"/>
      <c r="O193" s="11"/>
      <c r="P193" s="11"/>
    </row>
    <row r="194" spans="1:16">
      <c r="A194" s="11"/>
      <c r="B194" s="11"/>
      <c r="C194" s="11"/>
      <c r="D194" s="11"/>
      <c r="E194" s="11"/>
      <c r="F194" s="11"/>
      <c r="G194" s="11"/>
      <c r="H194" s="11"/>
      <c r="I194" s="11"/>
      <c r="J194" s="11"/>
      <c r="K194" s="11"/>
      <c r="L194" s="11"/>
      <c r="M194" s="11"/>
      <c r="N194" s="11"/>
      <c r="O194" s="11"/>
      <c r="P194" s="11"/>
    </row>
    <row r="195" spans="1:16">
      <c r="A195" s="11"/>
      <c r="B195" s="11"/>
      <c r="C195" s="11"/>
      <c r="D195" s="11"/>
      <c r="E195" s="11"/>
      <c r="F195" s="11"/>
      <c r="G195" s="11"/>
      <c r="H195" s="11"/>
      <c r="I195" s="11"/>
      <c r="J195" s="11"/>
      <c r="K195" s="11"/>
      <c r="L195" s="11"/>
      <c r="M195" s="11"/>
      <c r="N195" s="11"/>
      <c r="O195" s="11"/>
      <c r="P195" s="11"/>
    </row>
    <row r="196" spans="1:16">
      <c r="A196" s="11"/>
      <c r="B196" s="11"/>
      <c r="C196" s="11"/>
      <c r="D196" s="11"/>
      <c r="E196" s="11"/>
      <c r="F196" s="11"/>
      <c r="G196" s="11"/>
      <c r="H196" s="11"/>
      <c r="I196" s="11"/>
      <c r="J196" s="11"/>
      <c r="K196" s="11"/>
      <c r="L196" s="11"/>
      <c r="M196" s="11"/>
      <c r="N196" s="11"/>
      <c r="O196" s="11"/>
      <c r="P196" s="11"/>
    </row>
    <row r="197" spans="1:16">
      <c r="A197" s="11"/>
      <c r="B197" s="11"/>
      <c r="C197" s="11"/>
      <c r="D197" s="11"/>
      <c r="E197" s="11"/>
      <c r="F197" s="11"/>
      <c r="G197" s="11"/>
      <c r="H197" s="11"/>
      <c r="I197" s="11"/>
      <c r="J197" s="11"/>
      <c r="K197" s="11"/>
      <c r="L197" s="11"/>
      <c r="M197" s="11"/>
      <c r="N197" s="11"/>
      <c r="O197" s="11"/>
      <c r="P197" s="11"/>
    </row>
    <row r="198" spans="1:16">
      <c r="A198" s="11"/>
      <c r="B198" s="11"/>
      <c r="C198" s="11"/>
      <c r="D198" s="11"/>
      <c r="E198" s="11"/>
      <c r="F198" s="11"/>
      <c r="G198" s="11"/>
      <c r="H198" s="11"/>
      <c r="I198" s="11"/>
      <c r="J198" s="11"/>
      <c r="K198" s="11"/>
      <c r="L198" s="11"/>
      <c r="M198" s="11"/>
      <c r="N198" s="11"/>
      <c r="O198" s="11"/>
      <c r="P198" s="11"/>
    </row>
    <row r="199" spans="1:16">
      <c r="A199" s="11"/>
      <c r="B199" s="11"/>
      <c r="C199" s="11"/>
      <c r="D199" s="11"/>
      <c r="E199" s="11"/>
      <c r="F199" s="11"/>
      <c r="G199" s="11"/>
      <c r="H199" s="11"/>
      <c r="I199" s="11"/>
      <c r="J199" s="11"/>
      <c r="K199" s="11"/>
      <c r="L199" s="11"/>
      <c r="M199" s="11"/>
      <c r="N199" s="11"/>
      <c r="O199" s="11"/>
      <c r="P199" s="11"/>
    </row>
    <row r="200" spans="1:16">
      <c r="A200" s="11"/>
      <c r="B200" s="11"/>
      <c r="C200" s="11"/>
      <c r="D200" s="11"/>
      <c r="E200" s="11"/>
      <c r="F200" s="11"/>
      <c r="G200" s="11"/>
      <c r="H200" s="11"/>
      <c r="I200" s="11"/>
      <c r="J200" s="11"/>
      <c r="K200" s="11"/>
      <c r="L200" s="11"/>
      <c r="M200" s="11"/>
      <c r="N200" s="11"/>
      <c r="O200" s="11"/>
      <c r="P200" s="11"/>
    </row>
    <row r="201" spans="1:16">
      <c r="A201" s="11"/>
      <c r="B201" s="11"/>
      <c r="C201" s="11"/>
      <c r="D201" s="11"/>
      <c r="E201" s="11"/>
      <c r="F201" s="11"/>
      <c r="G201" s="11"/>
      <c r="H201" s="11"/>
      <c r="I201" s="11"/>
      <c r="J201" s="11"/>
      <c r="K201" s="11"/>
      <c r="L201" s="11"/>
      <c r="M201" s="11"/>
      <c r="N201" s="11"/>
      <c r="O201" s="11"/>
      <c r="P201" s="11"/>
    </row>
    <row r="202" spans="1:16">
      <c r="A202" s="11"/>
      <c r="B202" s="11"/>
      <c r="C202" s="11"/>
      <c r="D202" s="11"/>
      <c r="E202" s="11"/>
      <c r="F202" s="11"/>
      <c r="G202" s="11"/>
      <c r="H202" s="11"/>
      <c r="I202" s="11"/>
      <c r="J202" s="11"/>
      <c r="K202" s="11"/>
      <c r="L202" s="11"/>
      <c r="M202" s="11"/>
      <c r="N202" s="11"/>
      <c r="O202" s="11"/>
      <c r="P202" s="11"/>
    </row>
    <row r="203" spans="1:16">
      <c r="A203" s="11"/>
      <c r="B203" s="11"/>
      <c r="C203" s="11"/>
      <c r="D203" s="11"/>
      <c r="E203" s="11"/>
      <c r="F203" s="11"/>
      <c r="G203" s="11"/>
      <c r="H203" s="11"/>
      <c r="I203" s="11"/>
      <c r="J203" s="11"/>
      <c r="K203" s="11"/>
      <c r="L203" s="11"/>
      <c r="M203" s="11"/>
      <c r="N203" s="11"/>
      <c r="O203" s="11"/>
      <c r="P203" s="11"/>
    </row>
    <row r="204" spans="1:16">
      <c r="A204" s="11"/>
      <c r="B204" s="11"/>
      <c r="C204" s="11"/>
      <c r="D204" s="11"/>
      <c r="E204" s="11"/>
      <c r="F204" s="11"/>
      <c r="G204" s="11"/>
      <c r="H204" s="11"/>
      <c r="I204" s="11"/>
      <c r="J204" s="11"/>
      <c r="K204" s="11"/>
      <c r="L204" s="11"/>
      <c r="M204" s="11"/>
      <c r="N204" s="11"/>
      <c r="O204" s="11"/>
      <c r="P204" s="11"/>
    </row>
    <row r="205" spans="1:16">
      <c r="A205" s="11"/>
      <c r="B205" s="11"/>
      <c r="C205" s="11"/>
      <c r="D205" s="11"/>
      <c r="E205" s="11"/>
      <c r="F205" s="11"/>
      <c r="G205" s="11"/>
      <c r="H205" s="11"/>
      <c r="I205" s="11"/>
      <c r="J205" s="11"/>
      <c r="K205" s="11"/>
      <c r="L205" s="11"/>
      <c r="M205" s="11"/>
      <c r="N205" s="11"/>
      <c r="O205" s="11"/>
      <c r="P205" s="11"/>
    </row>
    <row r="206" spans="1:16">
      <c r="A206" s="11"/>
      <c r="B206" s="11"/>
      <c r="C206" s="11"/>
      <c r="D206" s="11"/>
      <c r="E206" s="11"/>
      <c r="F206" s="11"/>
      <c r="G206" s="11"/>
      <c r="H206" s="11"/>
      <c r="I206" s="11"/>
      <c r="J206" s="11"/>
      <c r="K206" s="11"/>
      <c r="L206" s="11"/>
      <c r="M206" s="11"/>
      <c r="N206" s="11"/>
      <c r="O206" s="11"/>
      <c r="P206" s="11"/>
    </row>
    <row r="207" spans="1:16">
      <c r="A207" s="11"/>
      <c r="B207" s="11"/>
      <c r="C207" s="11"/>
      <c r="D207" s="11"/>
      <c r="E207" s="11"/>
      <c r="F207" s="11"/>
      <c r="G207" s="11"/>
      <c r="H207" s="11"/>
      <c r="I207" s="11"/>
      <c r="J207" s="11"/>
      <c r="K207" s="11"/>
      <c r="L207" s="11"/>
      <c r="M207" s="11"/>
      <c r="N207" s="11"/>
      <c r="O207" s="11"/>
      <c r="P207" s="11"/>
    </row>
    <row r="208" spans="1:16">
      <c r="A208" s="11"/>
      <c r="B208" s="11"/>
      <c r="C208" s="11"/>
      <c r="D208" s="11"/>
      <c r="E208" s="11"/>
      <c r="F208" s="11"/>
      <c r="G208" s="11"/>
      <c r="H208" s="11"/>
      <c r="I208" s="11"/>
      <c r="J208" s="11"/>
      <c r="K208" s="11"/>
      <c r="L208" s="11"/>
      <c r="M208" s="11"/>
      <c r="N208" s="11"/>
      <c r="O208" s="11"/>
      <c r="P208" s="11"/>
    </row>
    <row r="209" spans="1:16">
      <c r="A209" s="11"/>
      <c r="B209" s="11"/>
      <c r="C209" s="11"/>
      <c r="D209" s="11"/>
      <c r="E209" s="11"/>
      <c r="F209" s="11"/>
      <c r="G209" s="11"/>
      <c r="H209" s="11"/>
      <c r="I209" s="11"/>
      <c r="J209" s="11"/>
      <c r="K209" s="11"/>
      <c r="L209" s="11"/>
      <c r="M209" s="11"/>
      <c r="N209" s="11"/>
      <c r="O209" s="11"/>
      <c r="P209" s="11"/>
    </row>
    <row r="210" spans="1:16">
      <c r="A210" s="11"/>
      <c r="B210" s="11"/>
      <c r="C210" s="11"/>
      <c r="D210" s="11"/>
      <c r="E210" s="11"/>
      <c r="F210" s="11"/>
      <c r="G210" s="11"/>
      <c r="H210" s="11"/>
      <c r="I210" s="11"/>
      <c r="J210" s="11"/>
      <c r="K210" s="11"/>
      <c r="L210" s="11"/>
      <c r="M210" s="11"/>
      <c r="N210" s="11"/>
      <c r="O210" s="11"/>
      <c r="P210" s="11"/>
    </row>
    <row r="211" spans="1:16">
      <c r="A211" s="11"/>
      <c r="B211" s="11"/>
      <c r="C211" s="11"/>
      <c r="D211" s="11"/>
      <c r="E211" s="11"/>
      <c r="F211" s="11"/>
      <c r="G211" s="11"/>
      <c r="H211" s="11"/>
      <c r="I211" s="11"/>
      <c r="J211" s="11"/>
      <c r="K211" s="11"/>
      <c r="L211" s="11"/>
      <c r="M211" s="11"/>
      <c r="N211" s="11"/>
      <c r="O211" s="11"/>
      <c r="P211" s="11"/>
    </row>
    <row r="212" spans="1:16">
      <c r="A212" s="11"/>
      <c r="B212" s="11"/>
      <c r="C212" s="11"/>
      <c r="D212" s="11"/>
      <c r="E212" s="11"/>
      <c r="F212" s="11"/>
      <c r="G212" s="11"/>
      <c r="H212" s="11"/>
      <c r="I212" s="11"/>
      <c r="J212" s="11"/>
      <c r="K212" s="11"/>
      <c r="L212" s="11"/>
      <c r="M212" s="11"/>
      <c r="N212" s="11"/>
      <c r="O212" s="11"/>
      <c r="P212" s="11"/>
    </row>
    <row r="213" spans="1:16">
      <c r="A213" s="11"/>
      <c r="B213" s="11"/>
      <c r="C213" s="11"/>
      <c r="D213" s="11"/>
      <c r="E213" s="11"/>
      <c r="F213" s="11"/>
      <c r="G213" s="11"/>
      <c r="H213" s="11"/>
      <c r="I213" s="11"/>
      <c r="J213" s="11"/>
      <c r="K213" s="11"/>
      <c r="L213" s="11"/>
      <c r="M213" s="11"/>
      <c r="N213" s="11"/>
      <c r="O213" s="11"/>
      <c r="P213" s="11"/>
    </row>
    <row r="214" spans="1:16">
      <c r="A214" s="11"/>
      <c r="B214" s="11"/>
      <c r="C214" s="11"/>
      <c r="D214" s="11"/>
      <c r="E214" s="11"/>
      <c r="F214" s="11"/>
      <c r="G214" s="11"/>
      <c r="H214" s="11"/>
      <c r="I214" s="11"/>
      <c r="J214" s="11"/>
      <c r="K214" s="11"/>
      <c r="L214" s="11"/>
      <c r="M214" s="11"/>
      <c r="N214" s="11"/>
      <c r="O214" s="11"/>
      <c r="P214" s="11"/>
    </row>
    <row r="215" spans="1:16">
      <c r="A215" s="11"/>
      <c r="B215" s="11"/>
      <c r="C215" s="11"/>
      <c r="D215" s="11"/>
      <c r="E215" s="11"/>
      <c r="F215" s="11"/>
      <c r="G215" s="11"/>
      <c r="H215" s="11"/>
      <c r="I215" s="11"/>
      <c r="J215" s="11"/>
      <c r="K215" s="11"/>
      <c r="L215" s="11"/>
      <c r="M215" s="11"/>
      <c r="N215" s="11"/>
      <c r="O215" s="11"/>
      <c r="P215" s="11"/>
    </row>
    <row r="216" spans="1:16">
      <c r="A216" s="11"/>
      <c r="B216" s="11"/>
      <c r="C216" s="11"/>
      <c r="D216" s="11"/>
      <c r="E216" s="11"/>
      <c r="F216" s="11"/>
      <c r="G216" s="11"/>
      <c r="H216" s="11"/>
      <c r="I216" s="11"/>
      <c r="J216" s="11"/>
      <c r="K216" s="11"/>
      <c r="L216" s="11"/>
      <c r="M216" s="11"/>
      <c r="N216" s="11"/>
      <c r="O216" s="11"/>
      <c r="P216" s="11"/>
    </row>
    <row r="217" spans="1:16">
      <c r="A217" s="11"/>
      <c r="B217" s="11"/>
      <c r="C217" s="11"/>
      <c r="D217" s="11"/>
      <c r="E217" s="11"/>
      <c r="F217" s="11"/>
      <c r="G217" s="11"/>
      <c r="H217" s="11"/>
      <c r="I217" s="11"/>
      <c r="J217" s="11"/>
      <c r="K217" s="11"/>
      <c r="L217" s="11"/>
      <c r="M217" s="11"/>
      <c r="N217" s="11"/>
      <c r="O217" s="11"/>
      <c r="P217" s="11"/>
    </row>
    <row r="218" spans="1:16">
      <c r="A218" s="11"/>
      <c r="B218" s="11"/>
      <c r="C218" s="11"/>
      <c r="D218" s="11"/>
      <c r="E218" s="11"/>
      <c r="F218" s="11"/>
      <c r="G218" s="11"/>
      <c r="H218" s="11"/>
      <c r="I218" s="11"/>
      <c r="J218" s="11"/>
      <c r="K218" s="11"/>
      <c r="L218" s="11"/>
      <c r="M218" s="11"/>
      <c r="N218" s="11"/>
      <c r="O218" s="11"/>
      <c r="P218" s="11"/>
    </row>
    <row r="219" spans="1:16">
      <c r="A219" s="11"/>
      <c r="B219" s="11"/>
      <c r="C219" s="11"/>
      <c r="D219" s="11"/>
      <c r="E219" s="11"/>
      <c r="F219" s="11"/>
      <c r="G219" s="11"/>
      <c r="H219" s="11"/>
      <c r="I219" s="11"/>
      <c r="J219" s="11"/>
      <c r="K219" s="11"/>
      <c r="L219" s="11"/>
      <c r="M219" s="11"/>
      <c r="N219" s="11"/>
      <c r="O219" s="11"/>
      <c r="P219" s="11"/>
    </row>
    <row r="220" spans="1:16">
      <c r="A220" s="11"/>
      <c r="B220" s="11"/>
      <c r="C220" s="11"/>
      <c r="D220" s="11"/>
      <c r="E220" s="11"/>
      <c r="F220" s="11"/>
      <c r="G220" s="11"/>
      <c r="H220" s="11"/>
      <c r="I220" s="11"/>
      <c r="J220" s="11"/>
      <c r="K220" s="11"/>
      <c r="L220" s="11"/>
      <c r="M220" s="11"/>
      <c r="N220" s="11"/>
      <c r="O220" s="11"/>
      <c r="P220" s="11"/>
    </row>
    <row r="221" spans="1:16">
      <c r="A221" s="11"/>
      <c r="B221" s="11"/>
      <c r="C221" s="11"/>
      <c r="D221" s="11"/>
      <c r="E221" s="11"/>
      <c r="F221" s="11"/>
      <c r="G221" s="11"/>
      <c r="H221" s="11"/>
      <c r="I221" s="11"/>
      <c r="J221" s="11"/>
      <c r="K221" s="11"/>
      <c r="L221" s="11"/>
      <c r="M221" s="11"/>
      <c r="N221" s="11"/>
      <c r="O221" s="11"/>
      <c r="P221" s="11"/>
    </row>
    <row r="222" spans="1:16">
      <c r="A222" s="11"/>
      <c r="B222" s="11"/>
      <c r="C222" s="11"/>
      <c r="D222" s="11"/>
      <c r="E222" s="11"/>
      <c r="F222" s="11"/>
      <c r="G222" s="11"/>
      <c r="H222" s="11"/>
      <c r="I222" s="11"/>
      <c r="J222" s="11"/>
      <c r="K222" s="11"/>
      <c r="L222" s="11"/>
      <c r="M222" s="11"/>
      <c r="N222" s="11"/>
      <c r="O222" s="11"/>
      <c r="P222" s="11"/>
    </row>
    <row r="223" spans="1:16">
      <c r="A223" s="11"/>
      <c r="B223" s="11"/>
      <c r="C223" s="11"/>
      <c r="D223" s="11"/>
      <c r="E223" s="11"/>
      <c r="F223" s="11"/>
      <c r="G223" s="11"/>
      <c r="H223" s="11"/>
      <c r="I223" s="11"/>
      <c r="J223" s="11"/>
      <c r="K223" s="11"/>
      <c r="L223" s="11"/>
      <c r="M223" s="11"/>
      <c r="N223" s="11"/>
      <c r="O223" s="11"/>
      <c r="P223" s="11"/>
    </row>
    <row r="224" spans="1:16">
      <c r="A224" s="11"/>
      <c r="B224" s="11"/>
      <c r="C224" s="11"/>
      <c r="D224" s="11"/>
      <c r="E224" s="11"/>
      <c r="F224" s="11"/>
      <c r="G224" s="11"/>
      <c r="H224" s="11"/>
      <c r="I224" s="11"/>
      <c r="J224" s="11"/>
      <c r="K224" s="11"/>
      <c r="L224" s="11"/>
      <c r="M224" s="11"/>
      <c r="N224" s="11"/>
      <c r="O224" s="11"/>
      <c r="P224" s="11"/>
    </row>
    <row r="225" spans="1:16">
      <c r="A225" s="11"/>
      <c r="B225" s="11"/>
      <c r="C225" s="11"/>
      <c r="D225" s="11"/>
      <c r="E225" s="11"/>
      <c r="F225" s="11"/>
      <c r="G225" s="11"/>
      <c r="H225" s="11"/>
      <c r="I225" s="11"/>
      <c r="J225" s="11"/>
      <c r="K225" s="11"/>
      <c r="L225" s="11"/>
      <c r="M225" s="11"/>
      <c r="N225" s="11"/>
      <c r="O225" s="11"/>
      <c r="P225" s="11"/>
    </row>
    <row r="226" spans="1:16">
      <c r="A226" s="11"/>
      <c r="B226" s="11"/>
      <c r="C226" s="11"/>
      <c r="D226" s="11"/>
      <c r="E226" s="11"/>
      <c r="F226" s="11"/>
      <c r="G226" s="11"/>
      <c r="H226" s="11"/>
      <c r="I226" s="11"/>
      <c r="J226" s="11"/>
      <c r="K226" s="11"/>
      <c r="L226" s="11"/>
      <c r="M226" s="11"/>
      <c r="N226" s="11"/>
      <c r="O226" s="11"/>
      <c r="P226" s="11"/>
    </row>
    <row r="227" spans="1:16">
      <c r="A227" s="11"/>
      <c r="B227" s="11"/>
      <c r="C227" s="11"/>
      <c r="D227" s="11"/>
      <c r="E227" s="11"/>
      <c r="F227" s="11"/>
      <c r="G227" s="11"/>
      <c r="H227" s="11"/>
      <c r="I227" s="11"/>
      <c r="J227" s="11"/>
      <c r="K227" s="11"/>
      <c r="L227" s="11"/>
      <c r="M227" s="11"/>
      <c r="N227" s="11"/>
      <c r="O227" s="11"/>
      <c r="P227" s="11"/>
    </row>
    <row r="228" spans="1:16">
      <c r="A228" s="11"/>
      <c r="B228" s="11"/>
      <c r="C228" s="11"/>
      <c r="D228" s="11"/>
      <c r="E228" s="11"/>
      <c r="F228" s="11"/>
      <c r="G228" s="11"/>
      <c r="H228" s="11"/>
      <c r="I228" s="11"/>
      <c r="J228" s="11"/>
      <c r="K228" s="11"/>
      <c r="L228" s="11"/>
      <c r="M228" s="11"/>
      <c r="N228" s="11"/>
      <c r="O228" s="11"/>
      <c r="P228" s="11"/>
    </row>
    <row r="229" spans="1:16">
      <c r="A229" s="11"/>
      <c r="B229" s="11"/>
      <c r="C229" s="11"/>
      <c r="D229" s="11"/>
      <c r="E229" s="11"/>
      <c r="F229" s="11"/>
      <c r="G229" s="11"/>
      <c r="H229" s="11"/>
      <c r="I229" s="11"/>
      <c r="J229" s="11"/>
      <c r="K229" s="11"/>
      <c r="L229" s="11"/>
      <c r="M229" s="11"/>
      <c r="N229" s="11"/>
      <c r="O229" s="11"/>
      <c r="P229" s="11"/>
    </row>
    <row r="230" spans="1:16">
      <c r="A230" s="11"/>
      <c r="B230" s="11"/>
      <c r="C230" s="11"/>
      <c r="D230" s="11"/>
      <c r="E230" s="11"/>
      <c r="F230" s="11"/>
      <c r="G230" s="11"/>
      <c r="H230" s="11"/>
      <c r="I230" s="11"/>
      <c r="J230" s="11"/>
      <c r="K230" s="11"/>
      <c r="L230" s="11"/>
      <c r="M230" s="11"/>
      <c r="N230" s="11"/>
      <c r="O230" s="11"/>
      <c r="P230" s="11"/>
    </row>
    <row r="231" spans="1:16">
      <c r="A231" s="11"/>
      <c r="B231" s="11"/>
      <c r="C231" s="11"/>
      <c r="D231" s="11"/>
      <c r="E231" s="11"/>
      <c r="F231" s="11"/>
      <c r="G231" s="11"/>
      <c r="H231" s="11"/>
      <c r="I231" s="11"/>
      <c r="J231" s="11"/>
      <c r="K231" s="11"/>
      <c r="L231" s="11"/>
      <c r="M231" s="11"/>
      <c r="N231" s="11"/>
      <c r="O231" s="11"/>
      <c r="P231" s="11"/>
    </row>
    <row r="232" spans="1:16">
      <c r="A232" s="11"/>
      <c r="B232" s="11"/>
      <c r="C232" s="11"/>
      <c r="D232" s="11"/>
      <c r="E232" s="11"/>
      <c r="F232" s="11"/>
      <c r="G232" s="11"/>
      <c r="H232" s="11"/>
      <c r="I232" s="11"/>
      <c r="J232" s="11"/>
      <c r="K232" s="11"/>
      <c r="L232" s="11"/>
      <c r="M232" s="11"/>
      <c r="N232" s="11"/>
      <c r="O232" s="11"/>
      <c r="P232" s="11"/>
    </row>
    <row r="233" spans="1:16">
      <c r="A233" s="11"/>
      <c r="B233" s="11"/>
      <c r="C233" s="11"/>
      <c r="D233" s="11"/>
      <c r="E233" s="11"/>
      <c r="F233" s="11"/>
      <c r="G233" s="11"/>
      <c r="H233" s="11"/>
      <c r="I233" s="11"/>
      <c r="J233" s="11"/>
      <c r="K233" s="11"/>
      <c r="L233" s="11"/>
      <c r="M233" s="11"/>
      <c r="N233" s="11"/>
      <c r="O233" s="11"/>
      <c r="P233" s="11"/>
    </row>
    <row r="234" spans="1:16">
      <c r="A234" s="11"/>
      <c r="B234" s="11"/>
      <c r="C234" s="11"/>
      <c r="D234" s="11"/>
      <c r="E234" s="11"/>
      <c r="F234" s="11"/>
      <c r="G234" s="11"/>
      <c r="H234" s="11"/>
      <c r="I234" s="11"/>
      <c r="J234" s="11"/>
      <c r="K234" s="11"/>
      <c r="L234" s="11"/>
      <c r="M234" s="11"/>
      <c r="N234" s="11"/>
      <c r="O234" s="11"/>
      <c r="P234" s="11"/>
    </row>
    <row r="235" spans="1:16">
      <c r="A235" s="11"/>
      <c r="B235" s="11"/>
      <c r="C235" s="11"/>
      <c r="D235" s="11"/>
      <c r="E235" s="11"/>
      <c r="F235" s="11"/>
      <c r="G235" s="11"/>
      <c r="H235" s="11"/>
      <c r="I235" s="11"/>
      <c r="J235" s="11"/>
      <c r="K235" s="11"/>
      <c r="L235" s="11"/>
      <c r="M235" s="11"/>
      <c r="N235" s="11"/>
      <c r="O235" s="11"/>
      <c r="P235" s="11"/>
    </row>
    <row r="236" spans="1:16">
      <c r="A236" s="11"/>
      <c r="B236" s="11"/>
      <c r="C236" s="11"/>
      <c r="D236" s="11"/>
      <c r="E236" s="11"/>
      <c r="F236" s="11"/>
      <c r="G236" s="11"/>
      <c r="H236" s="11"/>
      <c r="I236" s="11"/>
      <c r="J236" s="11"/>
      <c r="K236" s="11"/>
      <c r="L236" s="11"/>
      <c r="M236" s="11"/>
      <c r="N236" s="11"/>
      <c r="O236" s="11"/>
      <c r="P236" s="11"/>
    </row>
    <row r="237" spans="1:16">
      <c r="A237" s="11"/>
      <c r="B237" s="11"/>
      <c r="C237" s="11"/>
      <c r="D237" s="11"/>
      <c r="E237" s="11"/>
      <c r="F237" s="11"/>
      <c r="G237" s="11"/>
      <c r="H237" s="11"/>
      <c r="I237" s="11"/>
      <c r="J237" s="11"/>
      <c r="K237" s="11"/>
      <c r="L237" s="11"/>
      <c r="M237" s="11"/>
      <c r="N237" s="11"/>
      <c r="O237" s="11"/>
      <c r="P237" s="11"/>
    </row>
    <row r="238" spans="1:16">
      <c r="A238" s="11"/>
      <c r="B238" s="11"/>
      <c r="C238" s="11"/>
      <c r="D238" s="11"/>
      <c r="E238" s="11"/>
      <c r="F238" s="11"/>
      <c r="G238" s="11"/>
      <c r="H238" s="11"/>
      <c r="I238" s="11"/>
      <c r="J238" s="11"/>
      <c r="K238" s="11"/>
      <c r="L238" s="11"/>
      <c r="M238" s="11"/>
      <c r="N238" s="11"/>
      <c r="O238" s="11"/>
      <c r="P238" s="11"/>
    </row>
    <row r="239" spans="1:16">
      <c r="A239" s="11"/>
      <c r="B239" s="11"/>
      <c r="C239" s="11"/>
      <c r="D239" s="11"/>
      <c r="E239" s="11"/>
      <c r="F239" s="11"/>
      <c r="G239" s="11"/>
      <c r="H239" s="11"/>
      <c r="I239" s="11"/>
      <c r="J239" s="11"/>
      <c r="K239" s="11"/>
      <c r="L239" s="11"/>
      <c r="M239" s="11"/>
      <c r="N239" s="11"/>
      <c r="O239" s="11"/>
      <c r="P239" s="11"/>
    </row>
    <row r="240" spans="1:16">
      <c r="A240" s="11"/>
      <c r="B240" s="11"/>
      <c r="C240" s="11"/>
      <c r="D240" s="11"/>
      <c r="E240" s="11"/>
      <c r="F240" s="11"/>
      <c r="G240" s="11"/>
      <c r="H240" s="11"/>
      <c r="I240" s="11"/>
      <c r="J240" s="11"/>
      <c r="K240" s="11"/>
      <c r="L240" s="11"/>
      <c r="M240" s="11"/>
      <c r="N240" s="11"/>
      <c r="O240" s="11"/>
      <c r="P240" s="11"/>
    </row>
    <row r="241" spans="1:16">
      <c r="A241" s="11"/>
      <c r="B241" s="11"/>
      <c r="C241" s="11"/>
      <c r="D241" s="11"/>
      <c r="E241" s="11"/>
      <c r="F241" s="11"/>
      <c r="G241" s="11"/>
      <c r="H241" s="11"/>
      <c r="I241" s="11"/>
      <c r="J241" s="11"/>
      <c r="K241" s="11"/>
      <c r="L241" s="11"/>
      <c r="M241" s="11"/>
      <c r="N241" s="11"/>
      <c r="O241" s="11"/>
      <c r="P241" s="11"/>
    </row>
    <row r="242" spans="1:16">
      <c r="A242" s="11"/>
      <c r="B242" s="11"/>
      <c r="C242" s="11"/>
      <c r="D242" s="11"/>
      <c r="E242" s="11"/>
      <c r="F242" s="11"/>
      <c r="G242" s="11"/>
      <c r="H242" s="11"/>
      <c r="I242" s="11"/>
      <c r="J242" s="11"/>
      <c r="K242" s="11"/>
      <c r="L242" s="11"/>
      <c r="M242" s="11"/>
      <c r="N242" s="11"/>
      <c r="O242" s="11"/>
      <c r="P242" s="11"/>
    </row>
    <row r="243" spans="1:16">
      <c r="A243" s="11"/>
      <c r="B243" s="11"/>
      <c r="C243" s="11"/>
      <c r="D243" s="11"/>
      <c r="E243" s="11"/>
      <c r="F243" s="11"/>
      <c r="G243" s="11"/>
      <c r="H243" s="11"/>
      <c r="I243" s="11"/>
      <c r="J243" s="11"/>
      <c r="K243" s="11"/>
      <c r="L243" s="11"/>
      <c r="M243" s="11"/>
      <c r="N243" s="11"/>
      <c r="O243" s="11"/>
      <c r="P243" s="11"/>
    </row>
    <row r="244" spans="1:16">
      <c r="A244" s="11"/>
      <c r="B244" s="11"/>
      <c r="C244" s="11"/>
      <c r="D244" s="11"/>
      <c r="E244" s="11"/>
      <c r="F244" s="11"/>
      <c r="G244" s="11"/>
      <c r="H244" s="11"/>
      <c r="I244" s="11"/>
      <c r="J244" s="11"/>
      <c r="K244" s="11"/>
      <c r="L244" s="11"/>
      <c r="M244" s="11"/>
      <c r="N244" s="11"/>
      <c r="O244" s="11"/>
      <c r="P244" s="11"/>
    </row>
    <row r="245" spans="1:16">
      <c r="A245" s="11"/>
      <c r="B245" s="11"/>
      <c r="C245" s="11"/>
      <c r="D245" s="11"/>
      <c r="E245" s="11"/>
      <c r="F245" s="11"/>
      <c r="G245" s="11"/>
      <c r="H245" s="11"/>
      <c r="I245" s="11"/>
      <c r="J245" s="11"/>
      <c r="K245" s="11"/>
      <c r="L245" s="11"/>
      <c r="M245" s="11"/>
      <c r="N245" s="11"/>
      <c r="O245" s="11"/>
      <c r="P245" s="11"/>
    </row>
    <row r="246" spans="1:16">
      <c r="A246" s="11"/>
      <c r="B246" s="11"/>
      <c r="C246" s="11"/>
      <c r="D246" s="11"/>
      <c r="E246" s="11"/>
      <c r="F246" s="11"/>
      <c r="G246" s="11"/>
      <c r="H246" s="11"/>
      <c r="I246" s="11"/>
      <c r="J246" s="11"/>
      <c r="K246" s="11"/>
      <c r="L246" s="11"/>
      <c r="M246" s="11"/>
      <c r="N246" s="11"/>
      <c r="O246" s="11"/>
      <c r="P246" s="11"/>
    </row>
    <row r="247" spans="1:16">
      <c r="A247" s="11"/>
      <c r="B247" s="11"/>
      <c r="C247" s="11"/>
      <c r="D247" s="11"/>
      <c r="E247" s="11"/>
      <c r="F247" s="11"/>
      <c r="G247" s="11"/>
      <c r="H247" s="11"/>
      <c r="I247" s="11"/>
      <c r="J247" s="11"/>
      <c r="K247" s="11"/>
      <c r="L247" s="11"/>
      <c r="M247" s="11"/>
      <c r="N247" s="11"/>
      <c r="O247" s="11"/>
      <c r="P247" s="11"/>
    </row>
    <row r="248" spans="1:16">
      <c r="A248" s="11"/>
      <c r="B248" s="11"/>
      <c r="C248" s="11"/>
      <c r="D248" s="11"/>
      <c r="E248" s="11"/>
      <c r="F248" s="11"/>
      <c r="G248" s="11"/>
      <c r="H248" s="11"/>
      <c r="I248" s="11"/>
      <c r="J248" s="11"/>
      <c r="K248" s="11"/>
      <c r="L248" s="11"/>
      <c r="M248" s="11"/>
      <c r="N248" s="11"/>
      <c r="O248" s="11"/>
      <c r="P248" s="11"/>
    </row>
    <row r="249" spans="1:16">
      <c r="A249" s="11"/>
      <c r="B249" s="11"/>
      <c r="C249" s="11"/>
      <c r="D249" s="11"/>
      <c r="E249" s="11"/>
      <c r="F249" s="11"/>
      <c r="G249" s="11"/>
      <c r="H249" s="11"/>
      <c r="I249" s="11"/>
      <c r="J249" s="11"/>
      <c r="K249" s="11"/>
      <c r="L249" s="11"/>
      <c r="M249" s="11"/>
      <c r="N249" s="11"/>
      <c r="O249" s="11"/>
      <c r="P249" s="11"/>
    </row>
    <row r="250" spans="1:16">
      <c r="A250" s="11"/>
      <c r="B250" s="11"/>
      <c r="C250" s="11"/>
      <c r="D250" s="11"/>
      <c r="E250" s="11"/>
      <c r="F250" s="11"/>
      <c r="G250" s="11"/>
      <c r="H250" s="11"/>
      <c r="I250" s="11"/>
      <c r="J250" s="11"/>
      <c r="K250" s="11"/>
      <c r="L250" s="11"/>
      <c r="M250" s="11"/>
      <c r="N250" s="11"/>
      <c r="O250" s="11"/>
      <c r="P250" s="11"/>
    </row>
    <row r="251" spans="1:16">
      <c r="A251" s="11"/>
      <c r="B251" s="11"/>
      <c r="C251" s="11"/>
      <c r="D251" s="11"/>
      <c r="E251" s="11"/>
      <c r="F251" s="11"/>
      <c r="G251" s="11"/>
      <c r="H251" s="11"/>
      <c r="I251" s="11"/>
      <c r="J251" s="11"/>
      <c r="K251" s="11"/>
      <c r="L251" s="11"/>
      <c r="M251" s="11"/>
      <c r="N251" s="11"/>
      <c r="O251" s="11"/>
      <c r="P251" s="11"/>
    </row>
    <row r="252" spans="1:16">
      <c r="A252" s="11"/>
      <c r="B252" s="11"/>
      <c r="C252" s="11"/>
      <c r="D252" s="11"/>
      <c r="E252" s="11"/>
      <c r="F252" s="11"/>
      <c r="G252" s="11"/>
      <c r="H252" s="11"/>
      <c r="I252" s="11"/>
      <c r="J252" s="11"/>
      <c r="K252" s="11"/>
      <c r="L252" s="11"/>
      <c r="M252" s="11"/>
      <c r="N252" s="11"/>
      <c r="O252" s="11"/>
      <c r="P252" s="11"/>
    </row>
    <row r="253" spans="1:16">
      <c r="A253" s="11"/>
      <c r="B253" s="11"/>
      <c r="C253" s="11"/>
      <c r="D253" s="11"/>
      <c r="E253" s="11"/>
      <c r="F253" s="11"/>
      <c r="G253" s="11"/>
      <c r="H253" s="11"/>
      <c r="I253" s="11"/>
      <c r="J253" s="11"/>
      <c r="K253" s="11"/>
      <c r="L253" s="11"/>
      <c r="M253" s="11"/>
      <c r="N253" s="11"/>
      <c r="O253" s="11"/>
      <c r="P253" s="11"/>
    </row>
    <row r="254" spans="1:16">
      <c r="A254" s="11"/>
      <c r="B254" s="11"/>
      <c r="C254" s="11"/>
      <c r="D254" s="11"/>
      <c r="E254" s="11"/>
      <c r="F254" s="11"/>
      <c r="G254" s="11"/>
      <c r="H254" s="11"/>
      <c r="I254" s="11"/>
      <c r="J254" s="11"/>
      <c r="K254" s="11"/>
      <c r="L254" s="11"/>
      <c r="M254" s="11"/>
      <c r="N254" s="11"/>
      <c r="O254" s="11"/>
      <c r="P254" s="11"/>
    </row>
    <row r="255" spans="1:16">
      <c r="A255" s="11"/>
      <c r="B255" s="11"/>
      <c r="C255" s="11"/>
      <c r="D255" s="11"/>
      <c r="E255" s="11"/>
      <c r="F255" s="11"/>
      <c r="G255" s="11"/>
      <c r="H255" s="11"/>
      <c r="I255" s="11"/>
      <c r="J255" s="11"/>
      <c r="K255" s="11"/>
      <c r="L255" s="11"/>
      <c r="M255" s="11"/>
      <c r="N255" s="11"/>
      <c r="O255" s="11"/>
      <c r="P255" s="11"/>
    </row>
    <row r="256" spans="1:16">
      <c r="A256" s="11"/>
      <c r="B256" s="11"/>
      <c r="C256" s="11"/>
      <c r="D256" s="11"/>
      <c r="E256" s="11"/>
      <c r="F256" s="11"/>
      <c r="G256" s="11"/>
      <c r="H256" s="11"/>
      <c r="I256" s="11"/>
      <c r="J256" s="11"/>
      <c r="K256" s="11"/>
      <c r="L256" s="11"/>
      <c r="M256" s="11"/>
      <c r="N256" s="11"/>
      <c r="O256" s="11"/>
      <c r="P256" s="11"/>
    </row>
    <row r="257" spans="1:16">
      <c r="A257" s="11"/>
      <c r="B257" s="11"/>
      <c r="C257" s="11"/>
      <c r="D257" s="11"/>
      <c r="E257" s="11"/>
      <c r="F257" s="11"/>
      <c r="G257" s="11"/>
      <c r="H257" s="11"/>
      <c r="I257" s="11"/>
      <c r="J257" s="11"/>
      <c r="K257" s="11"/>
      <c r="L257" s="11"/>
      <c r="M257" s="11"/>
      <c r="N257" s="11"/>
      <c r="O257" s="11"/>
      <c r="P257" s="11"/>
    </row>
    <row r="258" spans="1:16">
      <c r="A258" s="11"/>
      <c r="B258" s="11"/>
      <c r="C258" s="11"/>
      <c r="D258" s="11"/>
      <c r="E258" s="11"/>
      <c r="F258" s="11"/>
      <c r="G258" s="11"/>
      <c r="H258" s="11"/>
      <c r="I258" s="11"/>
      <c r="J258" s="11"/>
      <c r="K258" s="11"/>
      <c r="L258" s="11"/>
      <c r="M258" s="11"/>
      <c r="N258" s="11"/>
      <c r="O258" s="11"/>
      <c r="P258" s="11"/>
    </row>
    <row r="259" spans="1:16">
      <c r="A259" s="11"/>
      <c r="B259" s="11"/>
      <c r="C259" s="11"/>
      <c r="D259" s="11"/>
      <c r="E259" s="11"/>
      <c r="F259" s="11"/>
      <c r="G259" s="11"/>
      <c r="H259" s="11"/>
      <c r="I259" s="11"/>
      <c r="J259" s="11"/>
      <c r="K259" s="11"/>
      <c r="L259" s="11"/>
      <c r="M259" s="11"/>
      <c r="N259" s="11"/>
      <c r="O259" s="11"/>
      <c r="P259" s="11"/>
    </row>
    <row r="260" spans="1:16">
      <c r="A260" s="11"/>
      <c r="B260" s="11"/>
      <c r="C260" s="11"/>
      <c r="D260" s="11"/>
      <c r="E260" s="11"/>
      <c r="F260" s="11"/>
      <c r="G260" s="11"/>
      <c r="H260" s="11"/>
      <c r="I260" s="11"/>
      <c r="J260" s="11"/>
      <c r="K260" s="11"/>
      <c r="L260" s="11"/>
      <c r="M260" s="11"/>
      <c r="N260" s="11"/>
      <c r="O260" s="11"/>
      <c r="P260" s="11"/>
    </row>
    <row r="261" spans="1:16">
      <c r="A261" s="11"/>
      <c r="B261" s="11"/>
      <c r="C261" s="11"/>
      <c r="D261" s="11"/>
      <c r="E261" s="11"/>
      <c r="F261" s="11"/>
      <c r="G261" s="11"/>
      <c r="H261" s="11"/>
      <c r="I261" s="11"/>
      <c r="J261" s="11"/>
      <c r="K261" s="11"/>
      <c r="L261" s="11"/>
      <c r="M261" s="11"/>
      <c r="N261" s="11"/>
      <c r="O261" s="11"/>
      <c r="P261" s="11"/>
    </row>
    <row r="262" spans="1:16">
      <c r="A262" s="11"/>
      <c r="B262" s="11"/>
      <c r="C262" s="11"/>
      <c r="D262" s="11"/>
      <c r="E262" s="11"/>
      <c r="F262" s="11"/>
      <c r="G262" s="11"/>
      <c r="H262" s="11"/>
      <c r="I262" s="11"/>
      <c r="J262" s="11"/>
      <c r="K262" s="11"/>
      <c r="L262" s="11"/>
      <c r="M262" s="11"/>
      <c r="N262" s="11"/>
      <c r="O262" s="11"/>
      <c r="P262" s="11"/>
    </row>
    <row r="263" spans="1:16">
      <c r="A263" s="11"/>
      <c r="B263" s="11"/>
      <c r="C263" s="11"/>
      <c r="D263" s="11"/>
      <c r="E263" s="11"/>
      <c r="F263" s="11"/>
      <c r="G263" s="11"/>
      <c r="H263" s="11"/>
      <c r="I263" s="11"/>
      <c r="J263" s="11"/>
      <c r="K263" s="11"/>
      <c r="L263" s="11"/>
      <c r="M263" s="11"/>
      <c r="N263" s="11"/>
      <c r="O263" s="11"/>
      <c r="P263" s="11"/>
    </row>
    <row r="264" spans="1:16">
      <c r="A264" s="11"/>
      <c r="B264" s="11"/>
      <c r="C264" s="11"/>
      <c r="D264" s="11"/>
      <c r="E264" s="11"/>
      <c r="F264" s="11"/>
      <c r="G264" s="11"/>
      <c r="H264" s="11"/>
      <c r="I264" s="11"/>
      <c r="J264" s="11"/>
      <c r="K264" s="11"/>
      <c r="L264" s="11"/>
      <c r="M264" s="11"/>
      <c r="N264" s="11"/>
      <c r="O264" s="11"/>
      <c r="P264" s="11"/>
    </row>
    <row r="265" spans="1:16">
      <c r="A265" s="11"/>
      <c r="B265" s="11"/>
      <c r="C265" s="11"/>
      <c r="D265" s="11"/>
      <c r="E265" s="11"/>
      <c r="F265" s="11"/>
      <c r="G265" s="11"/>
      <c r="H265" s="11"/>
      <c r="I265" s="11"/>
      <c r="J265" s="11"/>
      <c r="K265" s="11"/>
      <c r="L265" s="11"/>
      <c r="M265" s="11"/>
      <c r="N265" s="11"/>
      <c r="O265" s="11"/>
      <c r="P265" s="11"/>
    </row>
    <row r="266" spans="1:16">
      <c r="A266" s="11"/>
      <c r="B266" s="11"/>
      <c r="C266" s="11"/>
      <c r="D266" s="11"/>
      <c r="E266" s="11"/>
      <c r="F266" s="11"/>
      <c r="G266" s="11"/>
      <c r="H266" s="11"/>
      <c r="I266" s="11"/>
      <c r="J266" s="11"/>
      <c r="K266" s="11"/>
      <c r="L266" s="11"/>
      <c r="M266" s="11"/>
      <c r="N266" s="11"/>
      <c r="O266" s="11"/>
      <c r="P266" s="11"/>
    </row>
    <row r="267" spans="1:16">
      <c r="A267" s="11"/>
      <c r="B267" s="11"/>
      <c r="C267" s="11"/>
      <c r="D267" s="11"/>
      <c r="E267" s="11"/>
      <c r="F267" s="11"/>
      <c r="G267" s="11"/>
      <c r="H267" s="11"/>
      <c r="I267" s="11"/>
      <c r="J267" s="11"/>
      <c r="K267" s="11"/>
      <c r="L267" s="11"/>
      <c r="M267" s="11"/>
      <c r="N267" s="11"/>
      <c r="O267" s="11"/>
      <c r="P267" s="11"/>
    </row>
    <row r="268" spans="1:16">
      <c r="A268" s="11"/>
      <c r="B268" s="11"/>
      <c r="C268" s="11"/>
      <c r="D268" s="11"/>
      <c r="E268" s="11"/>
      <c r="F268" s="11"/>
      <c r="G268" s="11"/>
      <c r="H268" s="11"/>
      <c r="I268" s="11"/>
      <c r="J268" s="11"/>
      <c r="K268" s="11"/>
      <c r="L268" s="11"/>
      <c r="M268" s="11"/>
      <c r="N268" s="11"/>
      <c r="O268" s="11"/>
      <c r="P268" s="11"/>
    </row>
    <row r="269" spans="1:16">
      <c r="A269" s="11"/>
      <c r="B269" s="11"/>
      <c r="C269" s="11"/>
      <c r="D269" s="11"/>
      <c r="E269" s="11"/>
      <c r="F269" s="11"/>
      <c r="G269" s="11"/>
      <c r="H269" s="11"/>
      <c r="I269" s="11"/>
      <c r="J269" s="11"/>
      <c r="K269" s="11"/>
      <c r="L269" s="11"/>
      <c r="M269" s="11"/>
      <c r="N269" s="11"/>
      <c r="O269" s="11"/>
      <c r="P269" s="11"/>
    </row>
    <row r="270" spans="1:16">
      <c r="A270" s="11"/>
      <c r="B270" s="11"/>
      <c r="C270" s="11"/>
      <c r="D270" s="11"/>
      <c r="E270" s="11"/>
      <c r="F270" s="11"/>
      <c r="G270" s="11"/>
      <c r="H270" s="11"/>
      <c r="I270" s="11"/>
      <c r="J270" s="11"/>
      <c r="K270" s="11"/>
      <c r="L270" s="11"/>
      <c r="M270" s="11"/>
      <c r="N270" s="11"/>
      <c r="O270" s="11"/>
      <c r="P270" s="11"/>
    </row>
    <row r="271" spans="1:16">
      <c r="A271" s="11"/>
      <c r="B271" s="11"/>
      <c r="C271" s="11"/>
      <c r="D271" s="11"/>
      <c r="E271" s="11"/>
      <c r="F271" s="11"/>
      <c r="G271" s="11"/>
      <c r="H271" s="11"/>
      <c r="I271" s="11"/>
      <c r="J271" s="11"/>
      <c r="K271" s="11"/>
      <c r="L271" s="11"/>
      <c r="M271" s="11"/>
      <c r="N271" s="11"/>
      <c r="O271" s="11"/>
      <c r="P271" s="11"/>
    </row>
    <row r="272" spans="1:16">
      <c r="A272" s="11"/>
      <c r="B272" s="11"/>
      <c r="C272" s="11"/>
      <c r="D272" s="11"/>
      <c r="E272" s="11"/>
      <c r="F272" s="11"/>
      <c r="G272" s="11"/>
      <c r="H272" s="11"/>
      <c r="I272" s="11"/>
      <c r="J272" s="11"/>
      <c r="K272" s="11"/>
      <c r="L272" s="11"/>
      <c r="M272" s="11"/>
      <c r="N272" s="11"/>
      <c r="O272" s="11"/>
      <c r="P272" s="11"/>
    </row>
    <row r="273" spans="1:16">
      <c r="A273" s="11"/>
      <c r="B273" s="11"/>
      <c r="C273" s="11"/>
      <c r="D273" s="11"/>
      <c r="E273" s="11"/>
      <c r="F273" s="11"/>
      <c r="G273" s="11"/>
      <c r="H273" s="11"/>
      <c r="I273" s="11"/>
      <c r="J273" s="11"/>
      <c r="K273" s="11"/>
      <c r="L273" s="11"/>
      <c r="M273" s="11"/>
      <c r="N273" s="11"/>
      <c r="O273" s="11"/>
      <c r="P273" s="11"/>
    </row>
    <row r="274" spans="1:16">
      <c r="A274" s="11"/>
      <c r="B274" s="11"/>
      <c r="C274" s="11"/>
      <c r="D274" s="11"/>
      <c r="E274" s="11"/>
      <c r="F274" s="11"/>
      <c r="G274" s="11"/>
      <c r="H274" s="11"/>
      <c r="I274" s="11"/>
      <c r="J274" s="11"/>
      <c r="K274" s="11"/>
      <c r="L274" s="11"/>
      <c r="M274" s="11"/>
      <c r="N274" s="11"/>
      <c r="O274" s="11"/>
      <c r="P274" s="11"/>
    </row>
    <row r="275" spans="1:16">
      <c r="A275" s="11"/>
      <c r="B275" s="11"/>
      <c r="C275" s="11"/>
      <c r="D275" s="11"/>
      <c r="E275" s="11"/>
      <c r="F275" s="11"/>
      <c r="G275" s="11"/>
      <c r="H275" s="11"/>
      <c r="I275" s="11"/>
      <c r="J275" s="11"/>
      <c r="K275" s="11"/>
      <c r="L275" s="11"/>
      <c r="M275" s="11"/>
      <c r="N275" s="11"/>
      <c r="O275" s="11"/>
      <c r="P275" s="11"/>
    </row>
    <row r="276" spans="1:16">
      <c r="A276" s="11"/>
      <c r="B276" s="11"/>
      <c r="C276" s="11"/>
      <c r="D276" s="11"/>
      <c r="E276" s="11"/>
      <c r="F276" s="11"/>
      <c r="G276" s="11"/>
      <c r="H276" s="11"/>
      <c r="I276" s="11"/>
      <c r="J276" s="11"/>
      <c r="K276" s="11"/>
      <c r="L276" s="11"/>
      <c r="M276" s="11"/>
      <c r="N276" s="11"/>
      <c r="O276" s="11"/>
      <c r="P276" s="11"/>
    </row>
    <row r="277" spans="1:16">
      <c r="A277" s="11"/>
      <c r="B277" s="11"/>
      <c r="C277" s="11"/>
      <c r="D277" s="11"/>
      <c r="E277" s="11"/>
      <c r="F277" s="11"/>
      <c r="G277" s="11"/>
      <c r="H277" s="11"/>
      <c r="I277" s="11"/>
      <c r="J277" s="11"/>
      <c r="K277" s="11"/>
      <c r="L277" s="11"/>
      <c r="M277" s="11"/>
      <c r="N277" s="11"/>
      <c r="O277" s="11"/>
      <c r="P277" s="11"/>
    </row>
    <row r="278" spans="1:16">
      <c r="A278" s="11"/>
      <c r="B278" s="11"/>
      <c r="C278" s="11"/>
      <c r="D278" s="11"/>
      <c r="E278" s="11"/>
      <c r="F278" s="11"/>
      <c r="G278" s="11"/>
      <c r="H278" s="11"/>
      <c r="I278" s="11"/>
      <c r="J278" s="11"/>
      <c r="K278" s="11"/>
      <c r="L278" s="11"/>
      <c r="M278" s="11"/>
      <c r="N278" s="11"/>
      <c r="O278" s="11"/>
      <c r="P278" s="11"/>
    </row>
    <row r="279" spans="1:16">
      <c r="A279" s="11"/>
      <c r="B279" s="11"/>
      <c r="C279" s="11"/>
      <c r="D279" s="11"/>
      <c r="E279" s="11"/>
      <c r="F279" s="11"/>
      <c r="G279" s="11"/>
      <c r="H279" s="11"/>
      <c r="I279" s="11"/>
      <c r="J279" s="11"/>
      <c r="K279" s="11"/>
      <c r="L279" s="11"/>
      <c r="M279" s="11"/>
      <c r="N279" s="11"/>
      <c r="O279" s="11"/>
      <c r="P279" s="11"/>
    </row>
    <row r="280" spans="1:16">
      <c r="A280" s="11"/>
      <c r="B280" s="11"/>
      <c r="C280" s="11"/>
      <c r="D280" s="11"/>
      <c r="E280" s="11"/>
      <c r="F280" s="11"/>
      <c r="G280" s="11"/>
      <c r="H280" s="11"/>
      <c r="I280" s="11"/>
      <c r="J280" s="11"/>
      <c r="K280" s="11"/>
      <c r="L280" s="11"/>
      <c r="M280" s="11"/>
      <c r="N280" s="11"/>
      <c r="O280" s="11"/>
      <c r="P280" s="11"/>
    </row>
    <row r="281" spans="1:16">
      <c r="A281" s="11"/>
      <c r="B281" s="11"/>
      <c r="C281" s="11"/>
      <c r="D281" s="11"/>
      <c r="E281" s="11"/>
      <c r="F281" s="11"/>
      <c r="G281" s="11"/>
      <c r="H281" s="11"/>
      <c r="I281" s="11"/>
      <c r="J281" s="11"/>
      <c r="K281" s="11"/>
      <c r="L281" s="11"/>
      <c r="M281" s="11"/>
      <c r="N281" s="11"/>
      <c r="O281" s="11"/>
      <c r="P281" s="11"/>
    </row>
    <row r="282" spans="1:16">
      <c r="A282" s="11"/>
      <c r="B282" s="11"/>
      <c r="C282" s="11"/>
      <c r="D282" s="11"/>
      <c r="E282" s="11"/>
      <c r="F282" s="11"/>
      <c r="G282" s="11"/>
      <c r="H282" s="11"/>
      <c r="I282" s="11"/>
      <c r="J282" s="11"/>
      <c r="K282" s="11"/>
      <c r="L282" s="11"/>
      <c r="M282" s="11"/>
      <c r="N282" s="11"/>
      <c r="O282" s="11"/>
      <c r="P282" s="11"/>
    </row>
    <row r="283" spans="1:16">
      <c r="A283" s="11"/>
      <c r="B283" s="11"/>
      <c r="C283" s="11"/>
      <c r="D283" s="11"/>
      <c r="E283" s="11"/>
      <c r="F283" s="11"/>
      <c r="G283" s="11"/>
      <c r="H283" s="11"/>
      <c r="I283" s="11"/>
      <c r="J283" s="11"/>
      <c r="K283" s="11"/>
      <c r="L283" s="11"/>
      <c r="M283" s="11"/>
      <c r="N283" s="11"/>
      <c r="O283" s="11"/>
      <c r="P283" s="11"/>
    </row>
    <row r="284" spans="1:16">
      <c r="A284" s="11"/>
      <c r="B284" s="11"/>
      <c r="C284" s="11"/>
      <c r="D284" s="11"/>
      <c r="E284" s="11"/>
      <c r="F284" s="11"/>
      <c r="G284" s="11"/>
      <c r="H284" s="11"/>
      <c r="I284" s="11"/>
      <c r="J284" s="11"/>
      <c r="K284" s="11"/>
      <c r="L284" s="11"/>
      <c r="M284" s="11"/>
      <c r="N284" s="11"/>
      <c r="O284" s="11"/>
      <c r="P284" s="11"/>
    </row>
    <row r="285" spans="1:16">
      <c r="A285" s="11"/>
      <c r="B285" s="11"/>
      <c r="C285" s="11"/>
      <c r="D285" s="11"/>
      <c r="E285" s="11"/>
      <c r="F285" s="11"/>
      <c r="G285" s="11"/>
      <c r="H285" s="11"/>
      <c r="I285" s="11"/>
      <c r="J285" s="11"/>
      <c r="K285" s="11"/>
      <c r="L285" s="11"/>
      <c r="M285" s="11"/>
      <c r="N285" s="11"/>
      <c r="O285" s="11"/>
      <c r="P285" s="11"/>
    </row>
    <row r="286" spans="1:16">
      <c r="A286" s="11"/>
      <c r="B286" s="11"/>
      <c r="C286" s="11"/>
      <c r="D286" s="11"/>
      <c r="E286" s="11"/>
      <c r="F286" s="11"/>
      <c r="G286" s="11"/>
      <c r="H286" s="11"/>
      <c r="I286" s="11"/>
      <c r="J286" s="11"/>
      <c r="K286" s="11"/>
      <c r="L286" s="11"/>
      <c r="M286" s="11"/>
      <c r="N286" s="11"/>
      <c r="O286" s="11"/>
      <c r="P286" s="11"/>
    </row>
    <row r="287" spans="1:16">
      <c r="A287" s="11"/>
      <c r="B287" s="11"/>
      <c r="C287" s="11"/>
      <c r="D287" s="11"/>
      <c r="E287" s="11"/>
      <c r="F287" s="11"/>
      <c r="G287" s="11"/>
      <c r="H287" s="11"/>
      <c r="I287" s="11"/>
      <c r="J287" s="11"/>
      <c r="K287" s="11"/>
      <c r="L287" s="11"/>
      <c r="M287" s="11"/>
      <c r="N287" s="11"/>
      <c r="O287" s="11"/>
      <c r="P287" s="11"/>
    </row>
    <row r="288" spans="1:16">
      <c r="A288" s="11"/>
      <c r="B288" s="11"/>
      <c r="C288" s="11"/>
      <c r="D288" s="11"/>
      <c r="E288" s="11"/>
      <c r="F288" s="11"/>
      <c r="G288" s="11"/>
      <c r="H288" s="11"/>
      <c r="I288" s="11"/>
      <c r="J288" s="11"/>
      <c r="K288" s="11"/>
      <c r="L288" s="11"/>
      <c r="M288" s="11"/>
      <c r="N288" s="11"/>
      <c r="O288" s="11"/>
      <c r="P288" s="11"/>
    </row>
    <row r="289" spans="1:16">
      <c r="A289" s="11"/>
      <c r="B289" s="11"/>
      <c r="C289" s="11"/>
      <c r="D289" s="11"/>
      <c r="E289" s="11"/>
      <c r="F289" s="11"/>
      <c r="G289" s="11"/>
      <c r="H289" s="11"/>
      <c r="I289" s="11"/>
      <c r="J289" s="11"/>
      <c r="K289" s="11"/>
      <c r="L289" s="11"/>
      <c r="M289" s="11"/>
      <c r="N289" s="11"/>
      <c r="O289" s="11"/>
      <c r="P289" s="11"/>
    </row>
    <row r="290" spans="1:16">
      <c r="A290" s="11"/>
      <c r="B290" s="11"/>
      <c r="C290" s="11"/>
      <c r="D290" s="11"/>
      <c r="E290" s="11"/>
      <c r="F290" s="11"/>
      <c r="G290" s="11"/>
      <c r="H290" s="11"/>
      <c r="I290" s="11"/>
      <c r="J290" s="11"/>
      <c r="K290" s="11"/>
      <c r="L290" s="11"/>
      <c r="M290" s="11"/>
      <c r="N290" s="11"/>
      <c r="O290" s="11"/>
      <c r="P290" s="11"/>
    </row>
    <row r="291" spans="1:16">
      <c r="A291" s="11"/>
      <c r="B291" s="11"/>
      <c r="C291" s="11"/>
      <c r="D291" s="11"/>
      <c r="E291" s="11"/>
      <c r="F291" s="11"/>
      <c r="G291" s="11"/>
      <c r="H291" s="11"/>
      <c r="I291" s="11"/>
      <c r="J291" s="11"/>
      <c r="K291" s="11"/>
      <c r="L291" s="11"/>
      <c r="M291" s="11"/>
      <c r="N291" s="11"/>
      <c r="O291" s="11"/>
      <c r="P291" s="11"/>
    </row>
    <row r="292" spans="1:16">
      <c r="A292" s="11"/>
      <c r="B292" s="11"/>
      <c r="C292" s="11"/>
      <c r="D292" s="11"/>
      <c r="E292" s="11"/>
      <c r="F292" s="11"/>
      <c r="G292" s="11"/>
      <c r="H292" s="11"/>
      <c r="I292" s="11"/>
      <c r="J292" s="11"/>
      <c r="K292" s="11"/>
      <c r="L292" s="11"/>
      <c r="M292" s="11"/>
      <c r="N292" s="11"/>
      <c r="O292" s="11"/>
      <c r="P292" s="11"/>
    </row>
    <row r="293" spans="1:16">
      <c r="A293" s="11"/>
      <c r="B293" s="11"/>
      <c r="C293" s="11"/>
      <c r="D293" s="11"/>
      <c r="E293" s="11"/>
      <c r="F293" s="11"/>
      <c r="G293" s="11"/>
      <c r="H293" s="11"/>
      <c r="I293" s="11"/>
      <c r="J293" s="11"/>
      <c r="K293" s="11"/>
      <c r="L293" s="11"/>
      <c r="M293" s="11"/>
      <c r="N293" s="11"/>
      <c r="O293" s="11"/>
      <c r="P293" s="11"/>
    </row>
    <row r="294" spans="1:16">
      <c r="A294" s="11"/>
      <c r="B294" s="11"/>
      <c r="C294" s="11"/>
      <c r="D294" s="11"/>
      <c r="E294" s="11"/>
      <c r="F294" s="11"/>
      <c r="G294" s="11"/>
      <c r="H294" s="11"/>
      <c r="I294" s="11"/>
      <c r="J294" s="11"/>
      <c r="K294" s="11"/>
      <c r="L294" s="11"/>
      <c r="M294" s="11"/>
      <c r="N294" s="11"/>
      <c r="O294" s="11"/>
      <c r="P294" s="11"/>
    </row>
    <row r="295" spans="1:16">
      <c r="A295" s="11"/>
      <c r="B295" s="11"/>
      <c r="C295" s="11"/>
      <c r="D295" s="11"/>
      <c r="E295" s="11"/>
      <c r="F295" s="11"/>
      <c r="G295" s="11"/>
      <c r="H295" s="11"/>
      <c r="I295" s="11"/>
      <c r="J295" s="11"/>
      <c r="K295" s="11"/>
      <c r="L295" s="11"/>
      <c r="M295" s="11"/>
      <c r="N295" s="11"/>
      <c r="O295" s="11"/>
      <c r="P295" s="11"/>
    </row>
    <row r="296" spans="1:16">
      <c r="A296" s="11"/>
      <c r="B296" s="11"/>
      <c r="C296" s="11"/>
      <c r="D296" s="11"/>
      <c r="E296" s="11"/>
      <c r="F296" s="11"/>
      <c r="G296" s="11"/>
      <c r="H296" s="11"/>
      <c r="I296" s="11"/>
      <c r="J296" s="11"/>
      <c r="K296" s="11"/>
      <c r="L296" s="11"/>
      <c r="M296" s="11"/>
      <c r="N296" s="11"/>
      <c r="O296" s="11"/>
      <c r="P296" s="11"/>
    </row>
    <row r="297" spans="1:16">
      <c r="A297" s="11"/>
      <c r="B297" s="11"/>
      <c r="C297" s="11"/>
      <c r="D297" s="11"/>
      <c r="E297" s="11"/>
      <c r="F297" s="11"/>
      <c r="G297" s="11"/>
      <c r="H297" s="11"/>
      <c r="I297" s="11"/>
      <c r="J297" s="11"/>
      <c r="K297" s="11"/>
      <c r="L297" s="11"/>
      <c r="M297" s="11"/>
      <c r="N297" s="11"/>
      <c r="O297" s="11"/>
      <c r="P297" s="11"/>
    </row>
    <row r="298" spans="1:16">
      <c r="A298" s="11"/>
      <c r="B298" s="11"/>
      <c r="C298" s="11"/>
      <c r="D298" s="11"/>
      <c r="E298" s="11"/>
      <c r="F298" s="11"/>
      <c r="G298" s="11"/>
      <c r="H298" s="11"/>
      <c r="I298" s="11"/>
      <c r="J298" s="11"/>
      <c r="K298" s="11"/>
      <c r="L298" s="11"/>
      <c r="M298" s="11"/>
      <c r="N298" s="11"/>
      <c r="O298" s="11"/>
      <c r="P298" s="11"/>
    </row>
    <row r="299" spans="1:16">
      <c r="A299" s="11"/>
      <c r="B299" s="11"/>
      <c r="C299" s="11"/>
      <c r="D299" s="11"/>
      <c r="E299" s="11"/>
      <c r="F299" s="11"/>
      <c r="G299" s="11"/>
      <c r="H299" s="11"/>
      <c r="I299" s="11"/>
      <c r="J299" s="11"/>
      <c r="K299" s="11"/>
      <c r="L299" s="11"/>
      <c r="M299" s="11"/>
      <c r="N299" s="11"/>
      <c r="O299" s="11"/>
      <c r="P299" s="11"/>
    </row>
    <row r="300" spans="1:16">
      <c r="A300" s="11"/>
      <c r="B300" s="11"/>
      <c r="C300" s="11"/>
      <c r="D300" s="11"/>
      <c r="E300" s="11"/>
      <c r="F300" s="11"/>
      <c r="G300" s="11"/>
      <c r="H300" s="11"/>
      <c r="I300" s="11"/>
      <c r="J300" s="11"/>
      <c r="K300" s="11"/>
      <c r="L300" s="11"/>
      <c r="M300" s="11"/>
      <c r="N300" s="11"/>
      <c r="O300" s="11"/>
      <c r="P300" s="11"/>
    </row>
    <row r="301" spans="1:16">
      <c r="A301" s="11"/>
      <c r="B301" s="11"/>
      <c r="C301" s="11"/>
      <c r="D301" s="11"/>
      <c r="E301" s="11"/>
      <c r="F301" s="11"/>
      <c r="G301" s="11"/>
      <c r="H301" s="11"/>
      <c r="I301" s="11"/>
      <c r="J301" s="11"/>
      <c r="K301" s="11"/>
      <c r="L301" s="11"/>
      <c r="M301" s="11"/>
      <c r="N301" s="11"/>
      <c r="O301" s="11"/>
      <c r="P301" s="11"/>
    </row>
    <row r="302" spans="1:16">
      <c r="A302" s="11"/>
      <c r="B302" s="11"/>
      <c r="C302" s="11"/>
      <c r="D302" s="11"/>
      <c r="E302" s="11"/>
      <c r="F302" s="11"/>
      <c r="G302" s="11"/>
      <c r="H302" s="11"/>
      <c r="I302" s="11"/>
      <c r="J302" s="11"/>
      <c r="K302" s="11"/>
      <c r="L302" s="11"/>
      <c r="M302" s="11"/>
      <c r="N302" s="11"/>
      <c r="O302" s="11"/>
      <c r="P302" s="11"/>
    </row>
    <row r="303" spans="1:16">
      <c r="A303" s="11"/>
      <c r="B303" s="11"/>
      <c r="C303" s="11"/>
      <c r="D303" s="11"/>
      <c r="E303" s="11"/>
      <c r="F303" s="11"/>
      <c r="G303" s="11"/>
      <c r="H303" s="11"/>
      <c r="I303" s="11"/>
      <c r="J303" s="11"/>
      <c r="K303" s="11"/>
      <c r="L303" s="11"/>
      <c r="M303" s="11"/>
      <c r="N303" s="11"/>
      <c r="O303" s="11"/>
      <c r="P303" s="11"/>
    </row>
    <row r="304" spans="1:16">
      <c r="A304" s="11"/>
      <c r="B304" s="11"/>
      <c r="C304" s="11"/>
      <c r="D304" s="11"/>
      <c r="E304" s="11"/>
      <c r="F304" s="11"/>
      <c r="G304" s="11"/>
      <c r="H304" s="11"/>
      <c r="I304" s="11"/>
      <c r="J304" s="11"/>
      <c r="K304" s="11"/>
      <c r="L304" s="11"/>
      <c r="M304" s="11"/>
      <c r="N304" s="11"/>
      <c r="O304" s="11"/>
      <c r="P304" s="11"/>
    </row>
    <row r="305" spans="1:16">
      <c r="A305" s="11"/>
      <c r="B305" s="11"/>
      <c r="C305" s="11"/>
      <c r="D305" s="11"/>
      <c r="E305" s="11"/>
      <c r="F305" s="11"/>
      <c r="G305" s="11"/>
      <c r="H305" s="11"/>
      <c r="I305" s="11"/>
      <c r="J305" s="11"/>
      <c r="K305" s="11"/>
      <c r="L305" s="11"/>
      <c r="M305" s="11"/>
      <c r="N305" s="11"/>
      <c r="O305" s="11"/>
      <c r="P305" s="11"/>
    </row>
    <row r="306" spans="1:16">
      <c r="A306" s="11"/>
      <c r="B306" s="11"/>
      <c r="C306" s="11"/>
      <c r="D306" s="11"/>
      <c r="E306" s="11"/>
      <c r="F306" s="11"/>
      <c r="G306" s="11"/>
      <c r="H306" s="11"/>
      <c r="I306" s="11"/>
      <c r="J306" s="11"/>
      <c r="K306" s="11"/>
      <c r="L306" s="11"/>
      <c r="M306" s="11"/>
      <c r="N306" s="11"/>
      <c r="O306" s="11"/>
      <c r="P306" s="11"/>
    </row>
    <row r="307" spans="1:16">
      <c r="A307" s="11"/>
      <c r="B307" s="11"/>
      <c r="C307" s="11"/>
      <c r="D307" s="11"/>
      <c r="E307" s="11"/>
      <c r="F307" s="11"/>
      <c r="G307" s="11"/>
      <c r="H307" s="11"/>
      <c r="I307" s="11"/>
      <c r="J307" s="11"/>
      <c r="K307" s="11"/>
      <c r="L307" s="11"/>
      <c r="M307" s="11"/>
      <c r="N307" s="11"/>
      <c r="O307" s="11"/>
      <c r="P307" s="11"/>
    </row>
    <row r="308" spans="1:16">
      <c r="A308" s="11"/>
      <c r="B308" s="11"/>
      <c r="C308" s="11"/>
      <c r="D308" s="11"/>
      <c r="E308" s="11"/>
      <c r="F308" s="11"/>
      <c r="G308" s="11"/>
      <c r="H308" s="11"/>
      <c r="I308" s="11"/>
      <c r="J308" s="11"/>
      <c r="K308" s="11"/>
      <c r="L308" s="11"/>
      <c r="M308" s="11"/>
      <c r="N308" s="11"/>
      <c r="O308" s="11"/>
      <c r="P308" s="11"/>
    </row>
    <row r="309" spans="1:16">
      <c r="A309" s="11"/>
      <c r="B309" s="11"/>
      <c r="C309" s="11"/>
      <c r="D309" s="11"/>
      <c r="E309" s="11"/>
      <c r="F309" s="11"/>
      <c r="G309" s="11"/>
      <c r="H309" s="11"/>
      <c r="I309" s="11"/>
      <c r="J309" s="11"/>
      <c r="K309" s="11"/>
      <c r="L309" s="11"/>
      <c r="M309" s="11"/>
      <c r="N309" s="11"/>
      <c r="O309" s="11"/>
      <c r="P309" s="11"/>
    </row>
    <row r="310" spans="1:16">
      <c r="A310" s="11"/>
      <c r="B310" s="11"/>
      <c r="C310" s="11"/>
      <c r="D310" s="11"/>
      <c r="E310" s="11"/>
      <c r="F310" s="11"/>
      <c r="G310" s="11"/>
      <c r="H310" s="11"/>
      <c r="I310" s="11"/>
      <c r="J310" s="11"/>
      <c r="K310" s="11"/>
      <c r="L310" s="11"/>
      <c r="M310" s="11"/>
      <c r="N310" s="11"/>
      <c r="O310" s="11"/>
      <c r="P310" s="11"/>
    </row>
    <row r="311" spans="1:16">
      <c r="A311" s="11"/>
      <c r="B311" s="11"/>
      <c r="C311" s="11"/>
      <c r="D311" s="11"/>
      <c r="E311" s="11"/>
      <c r="F311" s="11"/>
      <c r="G311" s="11"/>
      <c r="H311" s="11"/>
      <c r="I311" s="11"/>
      <c r="J311" s="11"/>
      <c r="K311" s="11"/>
      <c r="L311" s="11"/>
      <c r="M311" s="11"/>
      <c r="N311" s="11"/>
      <c r="O311" s="11"/>
      <c r="P311" s="11"/>
    </row>
    <row r="312" spans="1:16">
      <c r="A312" s="11"/>
      <c r="B312" s="11"/>
      <c r="C312" s="11"/>
      <c r="D312" s="11"/>
      <c r="E312" s="11"/>
      <c r="F312" s="11"/>
      <c r="G312" s="11"/>
      <c r="H312" s="11"/>
      <c r="I312" s="11"/>
      <c r="J312" s="11"/>
      <c r="K312" s="11"/>
      <c r="L312" s="11"/>
      <c r="M312" s="11"/>
      <c r="N312" s="11"/>
      <c r="O312" s="11"/>
      <c r="P312" s="11"/>
    </row>
    <row r="313" spans="1:16">
      <c r="A313" s="11"/>
      <c r="B313" s="11"/>
      <c r="C313" s="11"/>
      <c r="D313" s="11"/>
      <c r="E313" s="11"/>
      <c r="F313" s="11"/>
      <c r="G313" s="11"/>
      <c r="H313" s="11"/>
      <c r="I313" s="11"/>
      <c r="J313" s="11"/>
      <c r="K313" s="11"/>
      <c r="L313" s="11"/>
      <c r="M313" s="11"/>
      <c r="N313" s="11"/>
      <c r="O313" s="11"/>
      <c r="P313" s="11"/>
    </row>
    <row r="314" spans="1:16">
      <c r="A314" s="11"/>
      <c r="B314" s="11"/>
      <c r="C314" s="11"/>
      <c r="D314" s="11"/>
      <c r="E314" s="11"/>
      <c r="F314" s="11"/>
      <c r="G314" s="11"/>
      <c r="H314" s="11"/>
      <c r="I314" s="11"/>
      <c r="J314" s="11"/>
      <c r="K314" s="11"/>
      <c r="L314" s="11"/>
      <c r="M314" s="11"/>
      <c r="N314" s="11"/>
      <c r="O314" s="11"/>
      <c r="P314" s="11"/>
    </row>
    <row r="315" spans="1:16">
      <c r="A315" s="11"/>
      <c r="B315" s="11"/>
      <c r="C315" s="11"/>
      <c r="D315" s="11"/>
      <c r="E315" s="11"/>
      <c r="F315" s="11"/>
      <c r="G315" s="11"/>
      <c r="H315" s="11"/>
      <c r="I315" s="11"/>
      <c r="J315" s="11"/>
      <c r="K315" s="11"/>
      <c r="L315" s="11"/>
      <c r="M315" s="11"/>
      <c r="N315" s="11"/>
      <c r="O315" s="11"/>
      <c r="P315" s="11"/>
    </row>
    <row r="316" spans="1:16">
      <c r="A316" s="11"/>
      <c r="B316" s="11"/>
      <c r="C316" s="11"/>
      <c r="D316" s="11"/>
      <c r="E316" s="11"/>
      <c r="F316" s="11"/>
      <c r="G316" s="11"/>
      <c r="H316" s="11"/>
      <c r="I316" s="11"/>
      <c r="J316" s="11"/>
      <c r="K316" s="11"/>
      <c r="L316" s="11"/>
      <c r="M316" s="11"/>
      <c r="N316" s="11"/>
      <c r="O316" s="11"/>
      <c r="P316" s="11"/>
    </row>
    <row r="317" spans="1:16">
      <c r="A317" s="11"/>
      <c r="B317" s="11"/>
      <c r="C317" s="11"/>
      <c r="D317" s="11"/>
      <c r="E317" s="11"/>
      <c r="F317" s="11"/>
      <c r="G317" s="11"/>
      <c r="H317" s="11"/>
      <c r="I317" s="11"/>
      <c r="J317" s="11"/>
      <c r="K317" s="11"/>
      <c r="L317" s="11"/>
      <c r="M317" s="11"/>
      <c r="N317" s="11"/>
      <c r="O317" s="11"/>
      <c r="P317" s="11"/>
    </row>
    <row r="318" spans="1:16">
      <c r="A318" s="11"/>
      <c r="B318" s="11"/>
      <c r="C318" s="11"/>
      <c r="D318" s="11"/>
      <c r="E318" s="11"/>
      <c r="F318" s="11"/>
      <c r="G318" s="11"/>
      <c r="H318" s="11"/>
      <c r="I318" s="11"/>
      <c r="J318" s="11"/>
      <c r="K318" s="11"/>
      <c r="L318" s="11"/>
      <c r="M318" s="11"/>
      <c r="N318" s="11"/>
      <c r="O318" s="11"/>
      <c r="P318" s="11"/>
    </row>
    <row r="319" spans="1:16">
      <c r="A319" s="11"/>
      <c r="B319" s="11"/>
      <c r="C319" s="11"/>
      <c r="D319" s="11"/>
      <c r="E319" s="11"/>
      <c r="F319" s="11"/>
      <c r="G319" s="11"/>
      <c r="H319" s="11"/>
      <c r="I319" s="11"/>
      <c r="J319" s="11"/>
      <c r="K319" s="11"/>
      <c r="L319" s="11"/>
      <c r="M319" s="11"/>
      <c r="N319" s="11"/>
      <c r="O319" s="11"/>
      <c r="P319" s="11"/>
    </row>
    <row r="320" spans="1:16">
      <c r="A320" s="11"/>
      <c r="B320" s="11"/>
      <c r="C320" s="11"/>
      <c r="D320" s="11"/>
      <c r="E320" s="11"/>
      <c r="F320" s="11"/>
      <c r="G320" s="11"/>
      <c r="H320" s="11"/>
      <c r="I320" s="11"/>
      <c r="J320" s="11"/>
      <c r="K320" s="11"/>
      <c r="L320" s="11"/>
      <c r="M320" s="11"/>
      <c r="N320" s="11"/>
      <c r="O320" s="11"/>
      <c r="P320" s="11"/>
    </row>
    <row r="321" spans="1:16">
      <c r="A321" s="11"/>
      <c r="B321" s="11"/>
      <c r="C321" s="11"/>
      <c r="D321" s="11"/>
      <c r="E321" s="11"/>
      <c r="F321" s="11"/>
      <c r="G321" s="11"/>
      <c r="H321" s="11"/>
      <c r="I321" s="11"/>
      <c r="J321" s="11"/>
      <c r="K321" s="11"/>
      <c r="L321" s="11"/>
      <c r="M321" s="11"/>
      <c r="N321" s="11"/>
      <c r="O321" s="11"/>
      <c r="P321" s="11"/>
    </row>
    <row r="322" spans="1:16">
      <c r="A322" s="11"/>
      <c r="B322" s="11"/>
      <c r="C322" s="11"/>
      <c r="D322" s="11"/>
      <c r="E322" s="11"/>
      <c r="F322" s="11"/>
      <c r="G322" s="11"/>
      <c r="H322" s="11"/>
      <c r="I322" s="11"/>
      <c r="J322" s="11"/>
      <c r="K322" s="11"/>
      <c r="L322" s="11"/>
      <c r="M322" s="11"/>
      <c r="N322" s="11"/>
      <c r="O322" s="11"/>
      <c r="P322" s="11"/>
    </row>
    <row r="323" spans="1:16">
      <c r="A323" s="11"/>
      <c r="B323" s="11"/>
      <c r="C323" s="11"/>
      <c r="D323" s="11"/>
      <c r="E323" s="11"/>
      <c r="F323" s="11"/>
      <c r="G323" s="11"/>
      <c r="H323" s="11"/>
      <c r="I323" s="11"/>
      <c r="J323" s="11"/>
      <c r="K323" s="11"/>
      <c r="L323" s="11"/>
      <c r="M323" s="11"/>
      <c r="N323" s="11"/>
      <c r="O323" s="11"/>
      <c r="P323" s="11"/>
    </row>
    <row r="324" spans="1:16">
      <c r="A324" s="11"/>
      <c r="B324" s="11"/>
      <c r="C324" s="11"/>
      <c r="D324" s="11"/>
      <c r="E324" s="11"/>
      <c r="F324" s="11"/>
      <c r="G324" s="11"/>
      <c r="H324" s="11"/>
      <c r="I324" s="11"/>
      <c r="J324" s="11"/>
      <c r="K324" s="11"/>
      <c r="L324" s="11"/>
      <c r="M324" s="11"/>
      <c r="N324" s="11"/>
      <c r="O324" s="11"/>
      <c r="P324" s="11"/>
    </row>
    <row r="325" spans="1:16">
      <c r="A325" s="11"/>
      <c r="B325" s="11"/>
      <c r="C325" s="11"/>
      <c r="D325" s="11"/>
      <c r="E325" s="11"/>
      <c r="F325" s="11"/>
      <c r="G325" s="11"/>
      <c r="H325" s="11"/>
      <c r="I325" s="11"/>
      <c r="J325" s="11"/>
      <c r="K325" s="11"/>
      <c r="L325" s="11"/>
      <c r="M325" s="11"/>
      <c r="N325" s="11"/>
      <c r="O325" s="11"/>
      <c r="P325" s="11"/>
    </row>
    <row r="326" spans="1:16">
      <c r="A326" s="11"/>
      <c r="B326" s="11"/>
      <c r="C326" s="11"/>
      <c r="D326" s="11"/>
      <c r="E326" s="11"/>
      <c r="F326" s="11"/>
      <c r="G326" s="11"/>
      <c r="H326" s="11"/>
      <c r="I326" s="11"/>
      <c r="J326" s="11"/>
      <c r="K326" s="11"/>
      <c r="L326" s="11"/>
      <c r="M326" s="11"/>
      <c r="N326" s="11"/>
      <c r="O326" s="11"/>
      <c r="P326" s="11"/>
    </row>
    <row r="327" spans="1:16">
      <c r="A327" s="11"/>
      <c r="B327" s="11"/>
      <c r="C327" s="11"/>
      <c r="D327" s="11"/>
      <c r="E327" s="11"/>
      <c r="F327" s="11"/>
      <c r="G327" s="11"/>
      <c r="H327" s="11"/>
      <c r="I327" s="11"/>
      <c r="J327" s="11"/>
      <c r="K327" s="11"/>
      <c r="L327" s="11"/>
      <c r="M327" s="11"/>
      <c r="N327" s="11"/>
      <c r="O327" s="11"/>
      <c r="P327" s="11"/>
    </row>
    <row r="328" spans="1:16">
      <c r="A328" s="11"/>
      <c r="B328" s="11"/>
      <c r="C328" s="11"/>
      <c r="D328" s="11"/>
      <c r="E328" s="11"/>
      <c r="F328" s="11"/>
      <c r="G328" s="11"/>
      <c r="H328" s="11"/>
      <c r="I328" s="11"/>
      <c r="J328" s="11"/>
      <c r="K328" s="11"/>
      <c r="L328" s="11"/>
      <c r="M328" s="11"/>
      <c r="N328" s="11"/>
      <c r="O328" s="11"/>
      <c r="P328" s="11"/>
    </row>
    <row r="329" spans="1:16">
      <c r="A329" s="11"/>
      <c r="B329" s="11"/>
      <c r="C329" s="11"/>
      <c r="D329" s="11"/>
      <c r="E329" s="11"/>
      <c r="F329" s="11"/>
      <c r="G329" s="11"/>
      <c r="H329" s="11"/>
      <c r="I329" s="11"/>
      <c r="J329" s="11"/>
      <c r="K329" s="11"/>
      <c r="L329" s="11"/>
      <c r="M329" s="11"/>
      <c r="N329" s="11"/>
      <c r="O329" s="11"/>
      <c r="P329" s="11"/>
    </row>
    <row r="330" spans="1:16">
      <c r="A330" s="11"/>
      <c r="B330" s="11"/>
      <c r="C330" s="11"/>
      <c r="D330" s="11"/>
      <c r="E330" s="11"/>
      <c r="F330" s="11"/>
      <c r="G330" s="11"/>
      <c r="H330" s="11"/>
      <c r="I330" s="11"/>
      <c r="J330" s="11"/>
      <c r="K330" s="11"/>
      <c r="L330" s="11"/>
      <c r="M330" s="11"/>
      <c r="N330" s="11"/>
      <c r="O330" s="11"/>
      <c r="P330" s="11"/>
    </row>
    <row r="331" spans="1:16">
      <c r="A331" s="11"/>
      <c r="B331" s="11"/>
      <c r="C331" s="11"/>
      <c r="D331" s="11"/>
      <c r="E331" s="11"/>
      <c r="F331" s="11"/>
      <c r="G331" s="11"/>
      <c r="H331" s="11"/>
      <c r="I331" s="11"/>
      <c r="J331" s="11"/>
      <c r="K331" s="11"/>
      <c r="L331" s="11"/>
      <c r="M331" s="11"/>
      <c r="N331" s="11"/>
      <c r="O331" s="11"/>
      <c r="P331" s="11"/>
    </row>
    <row r="332" spans="1:16">
      <c r="A332" s="11"/>
      <c r="B332" s="11"/>
      <c r="C332" s="11"/>
      <c r="D332" s="11"/>
      <c r="E332" s="11"/>
      <c r="F332" s="11"/>
      <c r="G332" s="11"/>
      <c r="H332" s="11"/>
      <c r="I332" s="11"/>
      <c r="J332" s="11"/>
      <c r="K332" s="11"/>
      <c r="L332" s="11"/>
      <c r="M332" s="11"/>
      <c r="N332" s="11"/>
      <c r="O332" s="11"/>
      <c r="P332" s="11"/>
    </row>
    <row r="333" spans="1:16">
      <c r="A333" s="11"/>
      <c r="B333" s="11"/>
      <c r="C333" s="11"/>
      <c r="D333" s="11"/>
      <c r="E333" s="11"/>
      <c r="F333" s="11"/>
      <c r="G333" s="11"/>
      <c r="H333" s="11"/>
      <c r="I333" s="11"/>
      <c r="J333" s="11"/>
      <c r="K333" s="11"/>
      <c r="L333" s="11"/>
      <c r="M333" s="11"/>
      <c r="N333" s="11"/>
      <c r="O333" s="11"/>
      <c r="P333" s="11"/>
    </row>
    <row r="334" spans="1:16">
      <c r="A334" s="11"/>
      <c r="B334" s="11"/>
      <c r="C334" s="11"/>
      <c r="D334" s="11"/>
      <c r="E334" s="11"/>
      <c r="F334" s="11"/>
      <c r="G334" s="11"/>
      <c r="H334" s="11"/>
      <c r="I334" s="11"/>
      <c r="J334" s="11"/>
      <c r="K334" s="11"/>
      <c r="L334" s="11"/>
      <c r="M334" s="11"/>
      <c r="N334" s="11"/>
      <c r="O334" s="11"/>
      <c r="P334" s="11"/>
    </row>
    <row r="335" spans="1:16">
      <c r="A335" s="11"/>
      <c r="B335" s="11"/>
      <c r="C335" s="11"/>
      <c r="D335" s="11"/>
      <c r="E335" s="11"/>
      <c r="F335" s="11"/>
      <c r="G335" s="11"/>
      <c r="H335" s="11"/>
      <c r="I335" s="11"/>
      <c r="J335" s="11"/>
      <c r="K335" s="11"/>
      <c r="L335" s="11"/>
      <c r="M335" s="11"/>
      <c r="N335" s="11"/>
      <c r="O335" s="11"/>
      <c r="P335" s="11"/>
    </row>
    <row r="336" spans="1:16">
      <c r="A336" s="11"/>
      <c r="B336" s="11"/>
      <c r="C336" s="11"/>
      <c r="D336" s="11"/>
      <c r="E336" s="11"/>
      <c r="F336" s="11"/>
      <c r="G336" s="11"/>
      <c r="H336" s="11"/>
      <c r="I336" s="11"/>
      <c r="J336" s="11"/>
      <c r="K336" s="11"/>
      <c r="L336" s="11"/>
      <c r="M336" s="11"/>
      <c r="N336" s="11"/>
      <c r="O336" s="11"/>
      <c r="P336" s="11"/>
    </row>
    <row r="337" spans="1:16">
      <c r="A337" s="11"/>
      <c r="B337" s="11"/>
      <c r="C337" s="11"/>
      <c r="D337" s="11"/>
      <c r="E337" s="11"/>
      <c r="F337" s="11"/>
      <c r="G337" s="11"/>
      <c r="H337" s="11"/>
      <c r="I337" s="11"/>
      <c r="J337" s="11"/>
      <c r="K337" s="11"/>
      <c r="L337" s="11"/>
      <c r="M337" s="11"/>
      <c r="N337" s="11"/>
      <c r="O337" s="11"/>
      <c r="P337" s="11"/>
    </row>
    <row r="338" spans="1:16">
      <c r="A338" s="11"/>
      <c r="B338" s="11"/>
      <c r="C338" s="11"/>
      <c r="D338" s="11"/>
      <c r="E338" s="11"/>
      <c r="F338" s="11"/>
      <c r="G338" s="11"/>
      <c r="H338" s="11"/>
      <c r="I338" s="11"/>
      <c r="J338" s="11"/>
      <c r="K338" s="11"/>
      <c r="L338" s="11"/>
      <c r="M338" s="11"/>
      <c r="N338" s="11"/>
      <c r="O338" s="11"/>
      <c r="P338" s="11"/>
    </row>
    <row r="339" spans="1:16">
      <c r="A339" s="11"/>
      <c r="B339" s="11"/>
      <c r="C339" s="11"/>
      <c r="D339" s="11"/>
      <c r="E339" s="11"/>
      <c r="F339" s="11"/>
      <c r="G339" s="11"/>
      <c r="H339" s="11"/>
      <c r="I339" s="11"/>
      <c r="J339" s="11"/>
      <c r="K339" s="11"/>
      <c r="L339" s="11"/>
      <c r="M339" s="11"/>
      <c r="N339" s="11"/>
      <c r="O339" s="11"/>
      <c r="P339" s="11"/>
    </row>
    <row r="340" spans="1:16">
      <c r="A340" s="11"/>
      <c r="B340" s="11"/>
      <c r="C340" s="11"/>
      <c r="D340" s="11"/>
      <c r="E340" s="11"/>
      <c r="F340" s="11"/>
      <c r="G340" s="11"/>
      <c r="H340" s="11"/>
      <c r="I340" s="11"/>
      <c r="J340" s="11"/>
      <c r="K340" s="11"/>
      <c r="L340" s="11"/>
      <c r="M340" s="11"/>
      <c r="N340" s="11"/>
      <c r="O340" s="11"/>
      <c r="P340" s="11"/>
    </row>
    <row r="341" spans="1:16">
      <c r="A341" s="11"/>
      <c r="B341" s="11"/>
      <c r="C341" s="11"/>
      <c r="D341" s="11"/>
      <c r="E341" s="11"/>
      <c r="F341" s="11"/>
      <c r="G341" s="11"/>
      <c r="H341" s="11"/>
      <c r="I341" s="11"/>
      <c r="J341" s="11"/>
      <c r="K341" s="11"/>
      <c r="L341" s="11"/>
      <c r="M341" s="11"/>
      <c r="N341" s="11"/>
      <c r="O341" s="11"/>
      <c r="P341" s="11"/>
    </row>
    <row r="342" spans="1:16">
      <c r="A342" s="11"/>
      <c r="B342" s="11"/>
      <c r="C342" s="11"/>
      <c r="D342" s="11"/>
      <c r="E342" s="11"/>
      <c r="F342" s="11"/>
      <c r="G342" s="11"/>
      <c r="H342" s="11"/>
      <c r="I342" s="11"/>
      <c r="J342" s="11"/>
      <c r="K342" s="11"/>
      <c r="L342" s="11"/>
      <c r="M342" s="11"/>
      <c r="N342" s="11"/>
      <c r="O342" s="11"/>
      <c r="P342" s="11"/>
    </row>
    <row r="343" spans="1:16">
      <c r="A343" s="11"/>
      <c r="B343" s="11"/>
      <c r="C343" s="11"/>
      <c r="D343" s="11"/>
      <c r="E343" s="11"/>
      <c r="F343" s="11"/>
      <c r="G343" s="11"/>
      <c r="H343" s="11"/>
      <c r="I343" s="11"/>
      <c r="J343" s="11"/>
      <c r="K343" s="11"/>
      <c r="L343" s="11"/>
      <c r="M343" s="11"/>
      <c r="N343" s="11"/>
      <c r="O343" s="11"/>
      <c r="P343" s="11"/>
    </row>
    <row r="344" spans="1:16">
      <c r="A344" s="11"/>
      <c r="B344" s="11"/>
      <c r="C344" s="11"/>
      <c r="D344" s="11"/>
      <c r="E344" s="11"/>
      <c r="F344" s="11"/>
      <c r="G344" s="11"/>
      <c r="H344" s="11"/>
      <c r="I344" s="11"/>
      <c r="J344" s="11"/>
      <c r="K344" s="11"/>
      <c r="L344" s="11"/>
      <c r="M344" s="11"/>
      <c r="N344" s="11"/>
      <c r="O344" s="11"/>
      <c r="P344" s="11"/>
    </row>
    <row r="345" spans="1:16">
      <c r="A345" s="11"/>
      <c r="B345" s="11"/>
      <c r="C345" s="11"/>
      <c r="D345" s="11"/>
      <c r="E345" s="11"/>
      <c r="F345" s="11"/>
      <c r="G345" s="11"/>
      <c r="H345" s="11"/>
      <c r="I345" s="11"/>
      <c r="J345" s="11"/>
      <c r="K345" s="11"/>
      <c r="L345" s="11"/>
      <c r="M345" s="11"/>
      <c r="N345" s="11"/>
      <c r="O345" s="11"/>
      <c r="P345" s="11"/>
    </row>
    <row r="346" spans="1:16">
      <c r="A346" s="11"/>
      <c r="B346" s="11"/>
      <c r="C346" s="11"/>
      <c r="D346" s="11"/>
      <c r="E346" s="11"/>
      <c r="F346" s="11"/>
      <c r="G346" s="11"/>
      <c r="H346" s="11"/>
      <c r="I346" s="11"/>
      <c r="J346" s="11"/>
      <c r="K346" s="11"/>
      <c r="L346" s="11"/>
      <c r="M346" s="11"/>
      <c r="N346" s="11"/>
      <c r="O346" s="11"/>
      <c r="P346" s="11"/>
    </row>
    <row r="347" spans="1:16">
      <c r="A347" s="11"/>
      <c r="B347" s="11"/>
      <c r="C347" s="11"/>
      <c r="D347" s="11"/>
      <c r="E347" s="11"/>
      <c r="F347" s="11"/>
      <c r="G347" s="11"/>
      <c r="H347" s="11"/>
      <c r="I347" s="11"/>
      <c r="J347" s="11"/>
      <c r="K347" s="11"/>
      <c r="L347" s="11"/>
      <c r="M347" s="11"/>
      <c r="N347" s="11"/>
      <c r="O347" s="11"/>
      <c r="P347" s="11"/>
    </row>
    <row r="348" spans="1:16">
      <c r="A348" s="11"/>
      <c r="B348" s="11"/>
      <c r="C348" s="11"/>
      <c r="D348" s="11"/>
      <c r="E348" s="11"/>
      <c r="F348" s="11"/>
      <c r="G348" s="11"/>
      <c r="H348" s="11"/>
      <c r="I348" s="11"/>
      <c r="J348" s="11"/>
      <c r="K348" s="11"/>
      <c r="L348" s="11"/>
      <c r="M348" s="11"/>
      <c r="N348" s="11"/>
      <c r="O348" s="11"/>
      <c r="P348" s="11"/>
    </row>
    <row r="349" spans="1:16">
      <c r="A349" s="11"/>
      <c r="B349" s="11"/>
      <c r="C349" s="11"/>
      <c r="D349" s="11"/>
      <c r="E349" s="11"/>
      <c r="F349" s="11"/>
      <c r="G349" s="11"/>
      <c r="H349" s="11"/>
      <c r="I349" s="11"/>
      <c r="J349" s="11"/>
      <c r="K349" s="11"/>
      <c r="L349" s="11"/>
      <c r="M349" s="11"/>
      <c r="N349" s="11"/>
      <c r="O349" s="11"/>
      <c r="P349" s="11"/>
    </row>
    <row r="350" spans="1:16">
      <c r="A350" s="11"/>
      <c r="B350" s="11"/>
      <c r="C350" s="11"/>
      <c r="D350" s="11"/>
      <c r="E350" s="11"/>
      <c r="F350" s="11"/>
      <c r="G350" s="11"/>
      <c r="H350" s="11"/>
      <c r="I350" s="11"/>
      <c r="J350" s="11"/>
      <c r="K350" s="11"/>
      <c r="L350" s="11"/>
      <c r="M350" s="11"/>
      <c r="N350" s="11"/>
      <c r="O350" s="11"/>
      <c r="P350" s="11"/>
    </row>
    <row r="351" spans="1:16">
      <c r="A351" s="11"/>
      <c r="B351" s="11"/>
      <c r="C351" s="11"/>
      <c r="D351" s="11"/>
      <c r="E351" s="11"/>
      <c r="F351" s="11"/>
      <c r="G351" s="11"/>
      <c r="H351" s="11"/>
      <c r="I351" s="11"/>
      <c r="J351" s="11"/>
      <c r="K351" s="11"/>
      <c r="L351" s="11"/>
      <c r="M351" s="11"/>
      <c r="N351" s="11"/>
      <c r="O351" s="11"/>
      <c r="P351" s="11"/>
    </row>
    <row r="352" spans="1:16">
      <c r="A352" s="11"/>
      <c r="B352" s="11"/>
      <c r="C352" s="11"/>
      <c r="D352" s="11"/>
      <c r="E352" s="11"/>
      <c r="F352" s="11"/>
      <c r="G352" s="11"/>
      <c r="H352" s="11"/>
      <c r="I352" s="11"/>
      <c r="J352" s="11"/>
      <c r="K352" s="11"/>
      <c r="L352" s="11"/>
      <c r="M352" s="11"/>
      <c r="N352" s="11"/>
      <c r="O352" s="11"/>
      <c r="P352" s="11"/>
    </row>
    <row r="353" spans="1:16">
      <c r="A353" s="11"/>
      <c r="B353" s="11"/>
      <c r="C353" s="11"/>
      <c r="D353" s="11"/>
      <c r="E353" s="11"/>
      <c r="F353" s="11"/>
      <c r="G353" s="11"/>
      <c r="H353" s="11"/>
      <c r="I353" s="11"/>
      <c r="J353" s="11"/>
      <c r="K353" s="11"/>
      <c r="L353" s="11"/>
      <c r="M353" s="11"/>
      <c r="N353" s="11"/>
      <c r="O353" s="11"/>
      <c r="P353" s="11"/>
    </row>
    <row r="354" spans="1:16">
      <c r="A354" s="11"/>
      <c r="B354" s="11"/>
      <c r="C354" s="11"/>
      <c r="D354" s="11"/>
      <c r="E354" s="11"/>
      <c r="F354" s="11"/>
      <c r="G354" s="11"/>
      <c r="H354" s="11"/>
      <c r="I354" s="11"/>
      <c r="J354" s="11"/>
      <c r="K354" s="11"/>
      <c r="L354" s="11"/>
      <c r="M354" s="11"/>
      <c r="N354" s="11"/>
      <c r="O354" s="11"/>
      <c r="P354" s="11"/>
    </row>
    <row r="355" spans="1:16">
      <c r="A355" s="11"/>
      <c r="B355" s="11"/>
      <c r="C355" s="11"/>
      <c r="D355" s="11"/>
      <c r="E355" s="11"/>
      <c r="F355" s="11"/>
      <c r="G355" s="11"/>
      <c r="H355" s="11"/>
      <c r="I355" s="11"/>
      <c r="J355" s="11"/>
      <c r="K355" s="11"/>
      <c r="L355" s="11"/>
      <c r="M355" s="11"/>
      <c r="N355" s="11"/>
      <c r="O355" s="11"/>
      <c r="P355" s="11"/>
    </row>
    <row r="356" spans="1:16">
      <c r="A356" s="11"/>
      <c r="B356" s="11"/>
      <c r="C356" s="11"/>
      <c r="D356" s="11"/>
      <c r="E356" s="11"/>
      <c r="F356" s="11"/>
      <c r="G356" s="11"/>
      <c r="H356" s="11"/>
      <c r="I356" s="11"/>
      <c r="J356" s="11"/>
      <c r="K356" s="11"/>
      <c r="L356" s="11"/>
      <c r="M356" s="11"/>
      <c r="N356" s="11"/>
      <c r="O356" s="11"/>
      <c r="P356" s="11"/>
    </row>
    <row r="357" spans="1:16">
      <c r="A357" s="11"/>
      <c r="B357" s="11"/>
      <c r="C357" s="11"/>
      <c r="D357" s="11"/>
      <c r="E357" s="11"/>
      <c r="F357" s="11"/>
      <c r="G357" s="11"/>
      <c r="H357" s="11"/>
      <c r="I357" s="11"/>
      <c r="J357" s="11"/>
      <c r="K357" s="11"/>
      <c r="L357" s="11"/>
      <c r="M357" s="11"/>
      <c r="N357" s="11"/>
      <c r="O357" s="11"/>
      <c r="P357" s="11"/>
    </row>
    <row r="358" spans="1:16">
      <c r="A358" s="11"/>
      <c r="B358" s="11"/>
      <c r="C358" s="11"/>
      <c r="D358" s="11"/>
      <c r="E358" s="11"/>
      <c r="F358" s="11"/>
      <c r="G358" s="11"/>
      <c r="H358" s="11"/>
      <c r="I358" s="11"/>
      <c r="J358" s="11"/>
      <c r="K358" s="11"/>
      <c r="L358" s="11"/>
      <c r="M358" s="11"/>
      <c r="N358" s="11"/>
      <c r="O358" s="11"/>
      <c r="P358" s="11"/>
    </row>
    <row r="359" spans="1:16">
      <c r="A359" s="11"/>
      <c r="B359" s="11"/>
      <c r="C359" s="11"/>
      <c r="D359" s="11"/>
      <c r="E359" s="11"/>
      <c r="F359" s="11"/>
      <c r="G359" s="11"/>
      <c r="H359" s="11"/>
      <c r="I359" s="11"/>
      <c r="J359" s="11"/>
      <c r="K359" s="11"/>
      <c r="L359" s="11"/>
      <c r="M359" s="11"/>
      <c r="N359" s="11"/>
      <c r="O359" s="11"/>
      <c r="P359" s="11"/>
    </row>
    <row r="360" spans="1:16">
      <c r="A360" s="11"/>
      <c r="B360" s="11"/>
      <c r="C360" s="11"/>
      <c r="D360" s="11"/>
      <c r="E360" s="11"/>
      <c r="F360" s="11"/>
      <c r="G360" s="11"/>
      <c r="H360" s="11"/>
      <c r="I360" s="11"/>
      <c r="J360" s="11"/>
      <c r="K360" s="11"/>
      <c r="L360" s="11"/>
      <c r="M360" s="11"/>
      <c r="N360" s="11"/>
      <c r="O360" s="11"/>
      <c r="P360" s="11"/>
    </row>
    <row r="361" spans="1:16">
      <c r="A361" s="11"/>
      <c r="B361" s="11"/>
      <c r="C361" s="11"/>
      <c r="D361" s="11"/>
      <c r="E361" s="11"/>
      <c r="F361" s="11"/>
      <c r="G361" s="11"/>
      <c r="H361" s="11"/>
      <c r="I361" s="11"/>
      <c r="J361" s="11"/>
      <c r="K361" s="11"/>
      <c r="L361" s="11"/>
      <c r="M361" s="11"/>
      <c r="N361" s="11"/>
      <c r="O361" s="11"/>
      <c r="P361" s="11"/>
    </row>
    <row r="362" spans="1:16">
      <c r="A362" s="11"/>
      <c r="B362" s="11"/>
      <c r="C362" s="11"/>
      <c r="D362" s="11"/>
      <c r="E362" s="11"/>
      <c r="F362" s="11"/>
      <c r="G362" s="11"/>
      <c r="H362" s="11"/>
      <c r="I362" s="11"/>
      <c r="J362" s="11"/>
      <c r="K362" s="11"/>
      <c r="L362" s="11"/>
      <c r="M362" s="11"/>
      <c r="N362" s="11"/>
      <c r="O362" s="11"/>
      <c r="P362" s="11"/>
    </row>
    <row r="363" spans="1:16">
      <c r="A363" s="11"/>
      <c r="B363" s="11"/>
      <c r="C363" s="11"/>
      <c r="D363" s="11"/>
      <c r="E363" s="11"/>
      <c r="F363" s="11"/>
      <c r="G363" s="11"/>
      <c r="H363" s="11"/>
      <c r="I363" s="11"/>
      <c r="J363" s="11"/>
      <c r="K363" s="11"/>
      <c r="L363" s="11"/>
      <c r="M363" s="11"/>
      <c r="N363" s="11"/>
      <c r="O363" s="11"/>
      <c r="P363" s="11"/>
    </row>
    <row r="364" spans="1:16">
      <c r="A364" s="11"/>
      <c r="B364" s="11"/>
      <c r="C364" s="11"/>
      <c r="D364" s="11"/>
      <c r="E364" s="11"/>
      <c r="F364" s="11"/>
      <c r="G364" s="11"/>
      <c r="H364" s="11"/>
      <c r="I364" s="11"/>
      <c r="J364" s="11"/>
      <c r="K364" s="11"/>
      <c r="L364" s="11"/>
      <c r="M364" s="11"/>
      <c r="N364" s="11"/>
      <c r="O364" s="11"/>
      <c r="P364" s="11"/>
    </row>
    <row r="365" spans="1:16">
      <c r="A365" s="11"/>
      <c r="B365" s="11"/>
      <c r="C365" s="11"/>
      <c r="D365" s="11"/>
      <c r="E365" s="11"/>
      <c r="F365" s="11"/>
      <c r="G365" s="11"/>
      <c r="H365" s="11"/>
      <c r="I365" s="11"/>
      <c r="J365" s="11"/>
      <c r="K365" s="11"/>
      <c r="L365" s="11"/>
      <c r="M365" s="11"/>
      <c r="N365" s="11"/>
      <c r="O365" s="11"/>
      <c r="P365" s="11"/>
    </row>
    <row r="366" spans="1:16">
      <c r="A366" s="11"/>
      <c r="B366" s="11"/>
      <c r="C366" s="11"/>
      <c r="D366" s="11"/>
      <c r="E366" s="11"/>
      <c r="F366" s="11"/>
      <c r="G366" s="11"/>
      <c r="H366" s="11"/>
      <c r="I366" s="11"/>
      <c r="J366" s="11"/>
      <c r="K366" s="11"/>
      <c r="L366" s="11"/>
      <c r="M366" s="11"/>
      <c r="N366" s="11"/>
      <c r="O366" s="11"/>
      <c r="P366" s="11"/>
    </row>
    <row r="367" spans="1:16">
      <c r="A367" s="11"/>
      <c r="B367" s="11"/>
      <c r="C367" s="11"/>
      <c r="D367" s="11"/>
      <c r="E367" s="11"/>
      <c r="F367" s="11"/>
      <c r="G367" s="11"/>
      <c r="H367" s="11"/>
      <c r="I367" s="11"/>
      <c r="J367" s="11"/>
      <c r="K367" s="11"/>
      <c r="L367" s="11"/>
      <c r="M367" s="11"/>
      <c r="N367" s="11"/>
      <c r="O367" s="11"/>
      <c r="P367" s="11"/>
    </row>
    <row r="368" spans="1:16">
      <c r="A368" s="11"/>
      <c r="B368" s="11"/>
      <c r="C368" s="11"/>
      <c r="D368" s="11"/>
      <c r="E368" s="11"/>
      <c r="F368" s="11"/>
      <c r="G368" s="11"/>
      <c r="H368" s="11"/>
      <c r="I368" s="11"/>
      <c r="J368" s="11"/>
      <c r="K368" s="11"/>
      <c r="L368" s="11"/>
      <c r="M368" s="11"/>
      <c r="N368" s="11"/>
      <c r="O368" s="11"/>
      <c r="P368" s="11"/>
    </row>
    <row r="369" spans="1:16">
      <c r="A369" s="11"/>
      <c r="B369" s="11"/>
      <c r="C369" s="11"/>
      <c r="D369" s="11"/>
      <c r="E369" s="11"/>
      <c r="F369" s="11"/>
      <c r="G369" s="11"/>
      <c r="H369" s="11"/>
      <c r="I369" s="11"/>
      <c r="J369" s="11"/>
      <c r="K369" s="11"/>
      <c r="L369" s="11"/>
      <c r="M369" s="11"/>
      <c r="N369" s="11"/>
      <c r="O369" s="11"/>
      <c r="P369" s="11"/>
    </row>
    <row r="370" spans="1:16">
      <c r="A370" s="11"/>
      <c r="B370" s="11"/>
      <c r="C370" s="11"/>
      <c r="D370" s="11"/>
      <c r="E370" s="11"/>
      <c r="F370" s="11"/>
      <c r="G370" s="11"/>
      <c r="H370" s="11"/>
      <c r="I370" s="11"/>
      <c r="J370" s="11"/>
      <c r="K370" s="11"/>
      <c r="L370" s="11"/>
      <c r="M370" s="11"/>
      <c r="N370" s="11"/>
      <c r="O370" s="11"/>
      <c r="P370" s="11"/>
    </row>
    <row r="371" spans="1:16">
      <c r="A371" s="11"/>
      <c r="B371" s="11"/>
      <c r="C371" s="11"/>
      <c r="D371" s="11"/>
      <c r="E371" s="11"/>
      <c r="F371" s="11"/>
      <c r="G371" s="11"/>
      <c r="H371" s="11"/>
      <c r="I371" s="11"/>
      <c r="J371" s="11"/>
      <c r="K371" s="11"/>
      <c r="L371" s="11"/>
      <c r="M371" s="11"/>
      <c r="N371" s="11"/>
      <c r="O371" s="11"/>
      <c r="P371" s="11"/>
    </row>
    <row r="372" spans="1:16">
      <c r="A372" s="11"/>
      <c r="B372" s="11"/>
      <c r="C372" s="11"/>
      <c r="D372" s="11"/>
      <c r="E372" s="11"/>
      <c r="F372" s="11"/>
      <c r="G372" s="11"/>
      <c r="H372" s="11"/>
      <c r="I372" s="11"/>
      <c r="J372" s="11"/>
      <c r="K372" s="11"/>
      <c r="L372" s="11"/>
      <c r="M372" s="11"/>
      <c r="N372" s="11"/>
      <c r="O372" s="11"/>
      <c r="P372" s="11"/>
    </row>
    <row r="373" spans="1:16">
      <c r="A373" s="11"/>
      <c r="B373" s="11"/>
      <c r="C373" s="11"/>
      <c r="D373" s="11"/>
      <c r="E373" s="11"/>
      <c r="F373" s="11"/>
      <c r="G373" s="11"/>
      <c r="H373" s="11"/>
      <c r="I373" s="11"/>
      <c r="J373" s="11"/>
      <c r="K373" s="11"/>
      <c r="L373" s="11"/>
      <c r="M373" s="11"/>
      <c r="N373" s="11"/>
      <c r="O373" s="11"/>
      <c r="P373" s="11"/>
    </row>
    <row r="374" spans="1:16">
      <c r="A374" s="11"/>
      <c r="B374" s="11"/>
      <c r="C374" s="11"/>
      <c r="D374" s="11"/>
      <c r="E374" s="11"/>
      <c r="F374" s="11"/>
      <c r="G374" s="11"/>
      <c r="H374" s="11"/>
      <c r="I374" s="11"/>
      <c r="J374" s="11"/>
      <c r="K374" s="11"/>
      <c r="L374" s="11"/>
      <c r="M374" s="11"/>
      <c r="N374" s="11"/>
      <c r="O374" s="11"/>
      <c r="P374" s="11"/>
    </row>
    <row r="375" spans="1:16">
      <c r="A375" s="11"/>
      <c r="B375" s="11"/>
      <c r="C375" s="11"/>
      <c r="D375" s="11"/>
      <c r="E375" s="11"/>
      <c r="F375" s="11"/>
      <c r="G375" s="11"/>
      <c r="H375" s="11"/>
      <c r="I375" s="11"/>
      <c r="J375" s="11"/>
      <c r="K375" s="11"/>
      <c r="L375" s="11"/>
      <c r="M375" s="11"/>
      <c r="N375" s="11"/>
      <c r="O375" s="11"/>
      <c r="P375" s="11"/>
    </row>
    <row r="376" spans="1:16">
      <c r="A376" s="11"/>
      <c r="B376" s="11"/>
      <c r="C376" s="11"/>
      <c r="D376" s="11"/>
      <c r="E376" s="11"/>
      <c r="F376" s="11"/>
      <c r="G376" s="11"/>
      <c r="H376" s="11"/>
      <c r="I376" s="11"/>
      <c r="J376" s="11"/>
      <c r="K376" s="11"/>
      <c r="L376" s="11"/>
      <c r="M376" s="11"/>
      <c r="N376" s="11"/>
      <c r="O376" s="11"/>
      <c r="P376" s="11"/>
    </row>
    <row r="377" spans="1:16">
      <c r="A377" s="11"/>
      <c r="B377" s="11"/>
      <c r="C377" s="11"/>
      <c r="D377" s="11"/>
      <c r="E377" s="11"/>
      <c r="F377" s="11"/>
      <c r="G377" s="11"/>
      <c r="H377" s="11"/>
      <c r="I377" s="11"/>
      <c r="J377" s="11"/>
      <c r="K377" s="11"/>
      <c r="L377" s="11"/>
      <c r="M377" s="11"/>
      <c r="N377" s="11"/>
      <c r="O377" s="11"/>
      <c r="P377" s="11"/>
    </row>
    <row r="378" spans="1:16">
      <c r="A378" s="11"/>
      <c r="B378" s="11"/>
      <c r="C378" s="11"/>
      <c r="D378" s="11"/>
      <c r="E378" s="11"/>
      <c r="F378" s="11"/>
      <c r="G378" s="11"/>
      <c r="H378" s="11"/>
      <c r="I378" s="11"/>
      <c r="J378" s="11"/>
      <c r="K378" s="11"/>
      <c r="L378" s="11"/>
      <c r="M378" s="11"/>
      <c r="N378" s="11"/>
      <c r="O378" s="11"/>
      <c r="P378" s="11"/>
    </row>
    <row r="379" spans="1:16">
      <c r="A379" s="11"/>
      <c r="B379" s="11"/>
      <c r="C379" s="11"/>
      <c r="D379" s="11"/>
      <c r="E379" s="11"/>
      <c r="F379" s="11"/>
      <c r="G379" s="11"/>
      <c r="H379" s="11"/>
      <c r="I379" s="11"/>
      <c r="J379" s="11"/>
      <c r="K379" s="11"/>
      <c r="L379" s="11"/>
      <c r="M379" s="11"/>
      <c r="N379" s="11"/>
      <c r="O379" s="11"/>
      <c r="P379" s="11"/>
    </row>
    <row r="380" spans="1:16">
      <c r="A380" s="11"/>
      <c r="B380" s="11"/>
      <c r="C380" s="11"/>
      <c r="D380" s="11"/>
      <c r="E380" s="11"/>
      <c r="F380" s="11"/>
      <c r="G380" s="11"/>
      <c r="H380" s="11"/>
      <c r="I380" s="11"/>
      <c r="J380" s="11"/>
      <c r="K380" s="11"/>
      <c r="L380" s="11"/>
      <c r="M380" s="11"/>
      <c r="N380" s="11"/>
      <c r="O380" s="11"/>
      <c r="P380" s="11"/>
    </row>
    <row r="381" spans="1:16">
      <c r="A381" s="11"/>
      <c r="B381" s="11"/>
      <c r="C381" s="11"/>
      <c r="D381" s="11"/>
      <c r="E381" s="11"/>
      <c r="F381" s="11"/>
      <c r="G381" s="11"/>
      <c r="H381" s="11"/>
      <c r="I381" s="11"/>
      <c r="J381" s="11"/>
      <c r="K381" s="11"/>
      <c r="L381" s="11"/>
      <c r="M381" s="11"/>
      <c r="N381" s="11"/>
      <c r="O381" s="11"/>
      <c r="P381" s="11"/>
    </row>
    <row r="382" spans="1:16">
      <c r="A382" s="11"/>
      <c r="B382" s="11"/>
      <c r="C382" s="11"/>
      <c r="D382" s="11"/>
      <c r="E382" s="11"/>
      <c r="F382" s="11"/>
      <c r="G382" s="11"/>
      <c r="H382" s="11"/>
      <c r="I382" s="11"/>
      <c r="J382" s="11"/>
      <c r="K382" s="11"/>
      <c r="L382" s="11"/>
      <c r="M382" s="11"/>
      <c r="N382" s="11"/>
      <c r="O382" s="11"/>
      <c r="P382" s="11"/>
    </row>
    <row r="383" spans="1:16">
      <c r="A383" s="11"/>
      <c r="B383" s="11"/>
      <c r="C383" s="11"/>
      <c r="D383" s="11"/>
      <c r="E383" s="11"/>
      <c r="F383" s="11"/>
      <c r="G383" s="11"/>
      <c r="H383" s="11"/>
      <c r="I383" s="11"/>
      <c r="J383" s="11"/>
      <c r="K383" s="11"/>
      <c r="L383" s="11"/>
      <c r="M383" s="11"/>
      <c r="N383" s="11"/>
      <c r="O383" s="11"/>
      <c r="P383" s="11"/>
    </row>
    <row r="384" spans="1:16">
      <c r="A384" s="11"/>
      <c r="B384" s="11"/>
      <c r="C384" s="11"/>
      <c r="D384" s="11"/>
      <c r="E384" s="11"/>
      <c r="F384" s="11"/>
      <c r="G384" s="11"/>
      <c r="H384" s="11"/>
      <c r="I384" s="11"/>
      <c r="J384" s="11"/>
      <c r="K384" s="11"/>
      <c r="L384" s="11"/>
      <c r="M384" s="11"/>
      <c r="N384" s="11"/>
      <c r="O384" s="11"/>
      <c r="P384" s="11"/>
    </row>
    <row r="385" spans="1:16">
      <c r="A385" s="11"/>
      <c r="B385" s="11"/>
      <c r="C385" s="11"/>
      <c r="D385" s="11"/>
      <c r="E385" s="11"/>
      <c r="F385" s="11"/>
      <c r="G385" s="11"/>
      <c r="H385" s="11"/>
      <c r="I385" s="11"/>
      <c r="J385" s="11"/>
      <c r="K385" s="11"/>
      <c r="L385" s="11"/>
      <c r="M385" s="11"/>
      <c r="N385" s="11"/>
      <c r="O385" s="11"/>
      <c r="P385" s="11"/>
    </row>
    <row r="386" spans="1:16">
      <c r="A386" s="11"/>
      <c r="B386" s="11"/>
      <c r="C386" s="11"/>
      <c r="D386" s="11"/>
      <c r="E386" s="11"/>
      <c r="F386" s="11"/>
      <c r="G386" s="11"/>
      <c r="H386" s="11"/>
      <c r="I386" s="11"/>
      <c r="J386" s="11"/>
      <c r="K386" s="11"/>
      <c r="L386" s="11"/>
      <c r="M386" s="11"/>
      <c r="N386" s="11"/>
      <c r="O386" s="11"/>
      <c r="P386" s="11"/>
    </row>
    <row r="387" spans="1:16">
      <c r="A387" s="11"/>
      <c r="B387" s="11"/>
      <c r="C387" s="11"/>
      <c r="D387" s="11"/>
      <c r="E387" s="11"/>
      <c r="F387" s="11"/>
      <c r="G387" s="11"/>
      <c r="H387" s="11"/>
      <c r="I387" s="11"/>
      <c r="J387" s="11"/>
      <c r="K387" s="11"/>
      <c r="L387" s="11"/>
      <c r="M387" s="11"/>
      <c r="N387" s="11"/>
      <c r="O387" s="11"/>
      <c r="P387" s="11"/>
    </row>
    <row r="388" spans="1:16">
      <c r="A388" s="11"/>
      <c r="B388" s="11"/>
      <c r="C388" s="11"/>
      <c r="D388" s="11"/>
      <c r="E388" s="11"/>
      <c r="F388" s="11"/>
      <c r="G388" s="11"/>
      <c r="H388" s="11"/>
      <c r="I388" s="11"/>
      <c r="J388" s="11"/>
      <c r="K388" s="11"/>
      <c r="L388" s="11"/>
      <c r="M388" s="11"/>
      <c r="N388" s="11"/>
      <c r="O388" s="11"/>
      <c r="P388" s="11"/>
    </row>
    <row r="389" spans="1:16">
      <c r="A389" s="11"/>
      <c r="B389" s="11"/>
      <c r="C389" s="11"/>
      <c r="D389" s="11"/>
      <c r="E389" s="11"/>
      <c r="F389" s="11"/>
      <c r="G389" s="11"/>
      <c r="H389" s="11"/>
      <c r="I389" s="11"/>
      <c r="J389" s="11"/>
      <c r="K389" s="11"/>
      <c r="L389" s="11"/>
      <c r="M389" s="11"/>
      <c r="N389" s="11"/>
      <c r="O389" s="11"/>
      <c r="P389" s="11"/>
    </row>
    <row r="390" spans="1:16">
      <c r="A390" s="11"/>
      <c r="B390" s="11"/>
      <c r="C390" s="11"/>
      <c r="D390" s="11"/>
      <c r="E390" s="11"/>
      <c r="F390" s="11"/>
      <c r="G390" s="11"/>
      <c r="H390" s="11"/>
      <c r="I390" s="11"/>
      <c r="J390" s="11"/>
      <c r="K390" s="11"/>
      <c r="L390" s="11"/>
      <c r="M390" s="11"/>
      <c r="N390" s="11"/>
      <c r="O390" s="11"/>
      <c r="P390" s="11"/>
    </row>
    <row r="391" spans="1:16">
      <c r="A391" s="11"/>
      <c r="B391" s="11"/>
      <c r="C391" s="11"/>
      <c r="D391" s="11"/>
      <c r="E391" s="11"/>
      <c r="F391" s="11"/>
      <c r="G391" s="11"/>
      <c r="H391" s="11"/>
      <c r="I391" s="11"/>
      <c r="J391" s="11"/>
      <c r="K391" s="11"/>
      <c r="L391" s="11"/>
      <c r="M391" s="11"/>
      <c r="N391" s="11"/>
      <c r="O391" s="11"/>
      <c r="P391" s="11"/>
    </row>
    <row r="392" spans="1:16">
      <c r="A392" s="11"/>
      <c r="B392" s="11"/>
      <c r="C392" s="11"/>
      <c r="D392" s="11"/>
      <c r="E392" s="11"/>
      <c r="F392" s="11"/>
      <c r="G392" s="11"/>
      <c r="H392" s="11"/>
      <c r="I392" s="11"/>
      <c r="J392" s="11"/>
      <c r="K392" s="11"/>
      <c r="L392" s="11"/>
      <c r="M392" s="11"/>
      <c r="N392" s="11"/>
      <c r="O392" s="11"/>
      <c r="P392" s="11"/>
    </row>
    <row r="393" spans="1:16">
      <c r="A393" s="11"/>
      <c r="B393" s="11"/>
      <c r="C393" s="11"/>
      <c r="D393" s="11"/>
      <c r="E393" s="11"/>
      <c r="F393" s="11"/>
      <c r="G393" s="11"/>
      <c r="H393" s="11"/>
      <c r="I393" s="11"/>
      <c r="J393" s="11"/>
      <c r="K393" s="11"/>
      <c r="L393" s="11"/>
      <c r="M393" s="11"/>
      <c r="N393" s="11"/>
      <c r="O393" s="11"/>
      <c r="P393" s="11"/>
    </row>
    <row r="394" spans="1:16">
      <c r="A394" s="11"/>
      <c r="B394" s="11"/>
      <c r="C394" s="11"/>
      <c r="D394" s="11"/>
      <c r="E394" s="11"/>
      <c r="F394" s="11"/>
      <c r="G394" s="11"/>
      <c r="H394" s="11"/>
      <c r="I394" s="11"/>
      <c r="J394" s="11"/>
      <c r="K394" s="11"/>
      <c r="L394" s="11"/>
      <c r="M394" s="11"/>
      <c r="N394" s="11"/>
      <c r="O394" s="11"/>
      <c r="P394" s="11"/>
    </row>
    <row r="395" spans="1:16">
      <c r="A395" s="11"/>
      <c r="B395" s="11"/>
      <c r="C395" s="11"/>
      <c r="D395" s="11"/>
      <c r="E395" s="11"/>
      <c r="F395" s="11"/>
      <c r="G395" s="11"/>
      <c r="H395" s="11"/>
      <c r="I395" s="11"/>
      <c r="J395" s="11"/>
      <c r="K395" s="11"/>
      <c r="L395" s="11"/>
      <c r="M395" s="11"/>
      <c r="N395" s="11"/>
      <c r="O395" s="11"/>
      <c r="P395" s="11"/>
    </row>
    <row r="396" spans="1:16">
      <c r="A396" s="11"/>
      <c r="B396" s="11"/>
      <c r="C396" s="11"/>
      <c r="D396" s="11"/>
      <c r="E396" s="11"/>
      <c r="F396" s="11"/>
      <c r="G396" s="11"/>
      <c r="H396" s="11"/>
      <c r="I396" s="11"/>
      <c r="J396" s="11"/>
      <c r="K396" s="11"/>
      <c r="L396" s="11"/>
      <c r="M396" s="11"/>
      <c r="N396" s="11"/>
      <c r="O396" s="11"/>
      <c r="P396" s="11"/>
    </row>
    <row r="397" spans="1:16">
      <c r="A397" s="11"/>
      <c r="B397" s="11"/>
      <c r="C397" s="11"/>
      <c r="D397" s="11"/>
      <c r="E397" s="11"/>
      <c r="F397" s="11"/>
      <c r="G397" s="11"/>
      <c r="H397" s="11"/>
      <c r="I397" s="11"/>
      <c r="J397" s="11"/>
      <c r="K397" s="11"/>
      <c r="L397" s="11"/>
      <c r="M397" s="11"/>
      <c r="N397" s="11"/>
      <c r="O397" s="11"/>
      <c r="P397" s="11"/>
    </row>
    <row r="398" spans="1:16">
      <c r="A398" s="11"/>
      <c r="B398" s="11"/>
      <c r="C398" s="11"/>
      <c r="D398" s="11"/>
      <c r="E398" s="11"/>
      <c r="F398" s="11"/>
      <c r="G398" s="11"/>
      <c r="H398" s="11"/>
      <c r="I398" s="11"/>
      <c r="J398" s="11"/>
      <c r="K398" s="11"/>
      <c r="L398" s="11"/>
      <c r="M398" s="11"/>
      <c r="N398" s="11"/>
      <c r="O398" s="11"/>
      <c r="P398" s="11"/>
    </row>
    <row r="399" spans="1:16">
      <c r="A399" s="11"/>
      <c r="B399" s="11"/>
      <c r="C399" s="11"/>
      <c r="D399" s="11"/>
      <c r="E399" s="11"/>
      <c r="F399" s="11"/>
      <c r="G399" s="11"/>
      <c r="H399" s="11"/>
      <c r="I399" s="11"/>
      <c r="J399" s="11"/>
      <c r="K399" s="11"/>
      <c r="L399" s="11"/>
      <c r="M399" s="11"/>
      <c r="N399" s="11"/>
      <c r="O399" s="11"/>
      <c r="P399" s="11"/>
    </row>
    <row r="400" spans="1:16">
      <c r="A400" s="11"/>
      <c r="B400" s="11"/>
      <c r="C400" s="11"/>
      <c r="D400" s="11"/>
      <c r="E400" s="11"/>
      <c r="F400" s="11"/>
      <c r="G400" s="11"/>
      <c r="H400" s="11"/>
      <c r="I400" s="11"/>
      <c r="J400" s="11"/>
      <c r="K400" s="11"/>
      <c r="L400" s="11"/>
      <c r="M400" s="11"/>
      <c r="N400" s="11"/>
      <c r="O400" s="11"/>
      <c r="P400" s="11"/>
    </row>
    <row r="401" spans="1:16">
      <c r="A401" s="11"/>
      <c r="B401" s="11"/>
      <c r="C401" s="11"/>
      <c r="D401" s="11"/>
      <c r="E401" s="11"/>
      <c r="F401" s="11"/>
      <c r="G401" s="11"/>
      <c r="H401" s="11"/>
      <c r="I401" s="11"/>
      <c r="J401" s="11"/>
      <c r="K401" s="11"/>
      <c r="L401" s="11"/>
      <c r="M401" s="11"/>
      <c r="N401" s="11"/>
      <c r="O401" s="11"/>
      <c r="P401" s="11"/>
    </row>
    <row r="402" spans="1:16">
      <c r="A402" s="11"/>
      <c r="B402" s="11"/>
      <c r="C402" s="11"/>
      <c r="D402" s="11"/>
      <c r="E402" s="11"/>
      <c r="F402" s="11"/>
      <c r="G402" s="11"/>
      <c r="H402" s="11"/>
      <c r="I402" s="11"/>
      <c r="J402" s="11"/>
      <c r="K402" s="11"/>
      <c r="L402" s="11"/>
      <c r="M402" s="11"/>
      <c r="N402" s="11"/>
      <c r="O402" s="11"/>
      <c r="P402" s="11"/>
    </row>
    <row r="403" spans="1:16">
      <c r="A403" s="11"/>
      <c r="B403" s="11"/>
      <c r="C403" s="11"/>
      <c r="D403" s="11"/>
      <c r="E403" s="11"/>
      <c r="F403" s="11"/>
      <c r="G403" s="11"/>
      <c r="H403" s="11"/>
      <c r="I403" s="11"/>
      <c r="J403" s="11"/>
      <c r="K403" s="11"/>
      <c r="L403" s="11"/>
      <c r="M403" s="11"/>
      <c r="N403" s="11"/>
      <c r="O403" s="11"/>
      <c r="P403" s="11"/>
    </row>
    <row r="404" spans="1:16">
      <c r="A404" s="11"/>
      <c r="B404" s="11"/>
      <c r="C404" s="11"/>
      <c r="D404" s="11"/>
      <c r="E404" s="11"/>
      <c r="F404" s="11"/>
      <c r="G404" s="11"/>
      <c r="H404" s="11"/>
      <c r="I404" s="11"/>
      <c r="J404" s="11"/>
      <c r="K404" s="11"/>
      <c r="L404" s="11"/>
      <c r="M404" s="11"/>
      <c r="N404" s="11"/>
      <c r="O404" s="11"/>
      <c r="P404" s="11"/>
    </row>
    <row r="405" spans="1:16">
      <c r="A405" s="11"/>
      <c r="B405" s="11"/>
      <c r="C405" s="11"/>
      <c r="D405" s="11"/>
      <c r="E405" s="11"/>
      <c r="F405" s="11"/>
      <c r="G405" s="11"/>
      <c r="H405" s="11"/>
      <c r="I405" s="11"/>
      <c r="J405" s="11"/>
      <c r="K405" s="11"/>
      <c r="L405" s="11"/>
      <c r="M405" s="11"/>
      <c r="N405" s="11"/>
      <c r="O405" s="11"/>
      <c r="P405" s="11"/>
    </row>
    <row r="406" spans="1:16">
      <c r="A406" s="11"/>
      <c r="B406" s="11"/>
      <c r="C406" s="11"/>
      <c r="D406" s="11"/>
      <c r="E406" s="11"/>
      <c r="F406" s="11"/>
      <c r="G406" s="11"/>
      <c r="H406" s="11"/>
      <c r="I406" s="11"/>
      <c r="J406" s="11"/>
      <c r="K406" s="11"/>
      <c r="L406" s="11"/>
      <c r="M406" s="11"/>
      <c r="N406" s="11"/>
      <c r="O406" s="11"/>
      <c r="P406" s="11"/>
    </row>
    <row r="407" spans="1:16">
      <c r="A407" s="11"/>
      <c r="B407" s="11"/>
      <c r="C407" s="11"/>
      <c r="D407" s="11"/>
      <c r="E407" s="11"/>
      <c r="F407" s="11"/>
      <c r="G407" s="11"/>
      <c r="H407" s="11"/>
      <c r="I407" s="11"/>
      <c r="J407" s="11"/>
      <c r="K407" s="11"/>
      <c r="L407" s="11"/>
      <c r="M407" s="11"/>
      <c r="N407" s="11"/>
      <c r="O407" s="11"/>
      <c r="P407" s="11"/>
    </row>
    <row r="408" spans="1:16">
      <c r="A408" s="11"/>
      <c r="B408" s="11"/>
      <c r="C408" s="11"/>
      <c r="D408" s="11"/>
      <c r="E408" s="11"/>
      <c r="F408" s="11"/>
      <c r="G408" s="11"/>
      <c r="H408" s="11"/>
      <c r="I408" s="11"/>
      <c r="J408" s="11"/>
      <c r="K408" s="11"/>
      <c r="L408" s="11"/>
      <c r="M408" s="11"/>
      <c r="N408" s="11"/>
      <c r="O408" s="11"/>
      <c r="P408" s="11"/>
    </row>
    <row r="409" spans="1:16">
      <c r="A409" s="11"/>
      <c r="B409" s="11"/>
      <c r="C409" s="11"/>
      <c r="D409" s="11"/>
      <c r="E409" s="11"/>
      <c r="F409" s="11"/>
      <c r="G409" s="11"/>
      <c r="H409" s="11"/>
      <c r="I409" s="11"/>
      <c r="J409" s="11"/>
      <c r="K409" s="11"/>
      <c r="L409" s="11"/>
      <c r="M409" s="11"/>
      <c r="N409" s="11"/>
      <c r="O409" s="11"/>
      <c r="P409" s="11"/>
    </row>
    <row r="410" spans="1:16">
      <c r="A410" s="11"/>
      <c r="B410" s="11"/>
      <c r="C410" s="11"/>
      <c r="D410" s="11"/>
      <c r="E410" s="11"/>
      <c r="F410" s="11"/>
      <c r="G410" s="11"/>
      <c r="H410" s="11"/>
      <c r="I410" s="11"/>
      <c r="J410" s="11"/>
      <c r="K410" s="11"/>
      <c r="L410" s="11"/>
      <c r="M410" s="11"/>
      <c r="N410" s="11"/>
      <c r="O410" s="11"/>
      <c r="P410" s="11"/>
    </row>
    <row r="411" spans="1:16">
      <c r="A411" s="11"/>
      <c r="B411" s="11"/>
      <c r="C411" s="11"/>
      <c r="D411" s="11"/>
      <c r="E411" s="11"/>
      <c r="F411" s="11"/>
      <c r="G411" s="11"/>
      <c r="H411" s="11"/>
      <c r="I411" s="11"/>
      <c r="J411" s="11"/>
      <c r="K411" s="11"/>
      <c r="L411" s="11"/>
      <c r="M411" s="11"/>
      <c r="N411" s="11"/>
      <c r="O411" s="11"/>
      <c r="P411" s="11"/>
    </row>
    <row r="412" spans="1:16">
      <c r="A412" s="11"/>
      <c r="B412" s="11"/>
      <c r="C412" s="11"/>
      <c r="D412" s="11"/>
      <c r="E412" s="11"/>
      <c r="F412" s="11"/>
      <c r="G412" s="11"/>
      <c r="H412" s="11"/>
      <c r="I412" s="11"/>
      <c r="J412" s="11"/>
      <c r="K412" s="11"/>
      <c r="L412" s="11"/>
      <c r="M412" s="11"/>
      <c r="N412" s="11"/>
      <c r="O412" s="11"/>
      <c r="P412" s="11"/>
    </row>
    <row r="413" spans="1:16">
      <c r="A413" s="11"/>
      <c r="B413" s="11"/>
      <c r="C413" s="11"/>
      <c r="D413" s="11"/>
      <c r="E413" s="11"/>
      <c r="F413" s="11"/>
      <c r="G413" s="11"/>
      <c r="H413" s="11"/>
      <c r="I413" s="11"/>
      <c r="J413" s="11"/>
      <c r="K413" s="11"/>
      <c r="L413" s="11"/>
      <c r="M413" s="11"/>
      <c r="N413" s="11"/>
      <c r="O413" s="11"/>
      <c r="P413" s="11"/>
    </row>
    <row r="414" spans="1:16">
      <c r="A414" s="11"/>
      <c r="B414" s="11"/>
      <c r="C414" s="11"/>
      <c r="D414" s="11"/>
      <c r="E414" s="11"/>
      <c r="F414" s="11"/>
      <c r="G414" s="11"/>
      <c r="H414" s="11"/>
      <c r="I414" s="11"/>
      <c r="J414" s="11"/>
      <c r="K414" s="11"/>
      <c r="L414" s="11"/>
      <c r="M414" s="11"/>
      <c r="N414" s="11"/>
      <c r="O414" s="11"/>
      <c r="P414" s="11"/>
    </row>
    <row r="415" spans="1:16">
      <c r="A415" s="11"/>
      <c r="B415" s="11"/>
      <c r="C415" s="11"/>
      <c r="D415" s="11"/>
      <c r="E415" s="11"/>
      <c r="F415" s="11"/>
      <c r="G415" s="11"/>
      <c r="H415" s="11"/>
      <c r="I415" s="11"/>
      <c r="J415" s="11"/>
      <c r="K415" s="11"/>
      <c r="L415" s="11"/>
      <c r="M415" s="11"/>
      <c r="N415" s="11"/>
      <c r="O415" s="11"/>
      <c r="P415" s="11"/>
    </row>
    <row r="416" spans="1:16">
      <c r="A416" s="11"/>
      <c r="B416" s="11"/>
      <c r="C416" s="11"/>
      <c r="D416" s="11"/>
      <c r="E416" s="11"/>
      <c r="F416" s="11"/>
      <c r="G416" s="11"/>
      <c r="H416" s="11"/>
      <c r="I416" s="11"/>
      <c r="J416" s="11"/>
      <c r="K416" s="11"/>
      <c r="L416" s="11"/>
      <c r="M416" s="11"/>
      <c r="N416" s="11"/>
      <c r="O416" s="11"/>
      <c r="P416" s="11"/>
    </row>
    <row r="417" spans="1:16">
      <c r="A417" s="11"/>
      <c r="B417" s="11"/>
      <c r="C417" s="11"/>
      <c r="D417" s="11"/>
      <c r="E417" s="11"/>
      <c r="F417" s="11"/>
      <c r="G417" s="11"/>
      <c r="H417" s="11"/>
      <c r="I417" s="11"/>
      <c r="J417" s="11"/>
      <c r="K417" s="11"/>
      <c r="L417" s="11"/>
      <c r="M417" s="11"/>
      <c r="N417" s="11"/>
      <c r="O417" s="11"/>
      <c r="P417" s="11"/>
    </row>
    <row r="418" spans="1:16">
      <c r="A418" s="11"/>
      <c r="B418" s="11"/>
      <c r="C418" s="11"/>
      <c r="D418" s="11"/>
      <c r="E418" s="11"/>
      <c r="F418" s="11"/>
      <c r="G418" s="11"/>
      <c r="H418" s="11"/>
      <c r="I418" s="11"/>
      <c r="J418" s="11"/>
      <c r="K418" s="11"/>
      <c r="L418" s="11"/>
      <c r="M418" s="11"/>
      <c r="N418" s="11"/>
      <c r="O418" s="11"/>
      <c r="P418" s="11"/>
    </row>
    <row r="419" spans="1:16">
      <c r="A419" s="11"/>
      <c r="B419" s="11"/>
      <c r="C419" s="11"/>
      <c r="D419" s="11"/>
      <c r="E419" s="11"/>
      <c r="F419" s="11"/>
      <c r="G419" s="11"/>
      <c r="H419" s="11"/>
      <c r="I419" s="11"/>
      <c r="J419" s="11"/>
      <c r="K419" s="11"/>
      <c r="L419" s="11"/>
      <c r="M419" s="11"/>
      <c r="N419" s="11"/>
      <c r="O419" s="11"/>
      <c r="P419" s="11"/>
    </row>
    <row r="420" spans="1:16">
      <c r="A420" s="11"/>
      <c r="B420" s="11"/>
      <c r="C420" s="11"/>
      <c r="D420" s="11"/>
      <c r="E420" s="11"/>
      <c r="F420" s="11"/>
      <c r="G420" s="11"/>
      <c r="H420" s="11"/>
      <c r="I420" s="11"/>
      <c r="J420" s="11"/>
      <c r="K420" s="11"/>
      <c r="L420" s="11"/>
      <c r="M420" s="11"/>
      <c r="N420" s="11"/>
      <c r="O420" s="11"/>
      <c r="P420" s="11"/>
    </row>
    <row r="421" spans="1:16">
      <c r="A421" s="11"/>
      <c r="B421" s="11"/>
      <c r="C421" s="11"/>
      <c r="D421" s="11"/>
      <c r="E421" s="11"/>
      <c r="F421" s="11"/>
      <c r="G421" s="11"/>
      <c r="H421" s="11"/>
      <c r="I421" s="11"/>
      <c r="J421" s="11"/>
      <c r="K421" s="11"/>
      <c r="L421" s="11"/>
      <c r="M421" s="11"/>
      <c r="N421" s="11"/>
      <c r="O421" s="11"/>
      <c r="P421" s="11"/>
    </row>
    <row r="422" spans="1:16">
      <c r="A422" s="11"/>
      <c r="B422" s="11"/>
      <c r="C422" s="11"/>
      <c r="D422" s="11"/>
      <c r="E422" s="11"/>
      <c r="F422" s="11"/>
      <c r="G422" s="11"/>
      <c r="H422" s="11"/>
      <c r="I422" s="11"/>
      <c r="J422" s="11"/>
      <c r="K422" s="11"/>
      <c r="L422" s="11"/>
      <c r="M422" s="11"/>
      <c r="N422" s="11"/>
      <c r="O422" s="11"/>
      <c r="P422" s="11"/>
    </row>
    <row r="423" spans="1:16">
      <c r="A423" s="11"/>
      <c r="B423" s="11"/>
      <c r="C423" s="11"/>
      <c r="D423" s="11"/>
      <c r="E423" s="11"/>
      <c r="F423" s="11"/>
      <c r="G423" s="11"/>
      <c r="H423" s="11"/>
      <c r="I423" s="11"/>
      <c r="J423" s="11"/>
      <c r="K423" s="11"/>
      <c r="L423" s="11"/>
      <c r="M423" s="11"/>
      <c r="N423" s="11"/>
      <c r="O423" s="11"/>
      <c r="P423" s="11"/>
    </row>
    <row r="424" spans="1:16">
      <c r="A424" s="11"/>
      <c r="B424" s="11"/>
      <c r="C424" s="11"/>
      <c r="D424" s="11"/>
      <c r="E424" s="11"/>
      <c r="F424" s="11"/>
      <c r="G424" s="11"/>
      <c r="H424" s="11"/>
      <c r="I424" s="11"/>
      <c r="J424" s="11"/>
      <c r="K424" s="11"/>
      <c r="L424" s="11"/>
      <c r="M424" s="11"/>
      <c r="N424" s="11"/>
      <c r="O424" s="11"/>
      <c r="P424" s="11"/>
    </row>
    <row r="425" spans="1:16">
      <c r="A425" s="11"/>
      <c r="B425" s="11"/>
      <c r="C425" s="11"/>
      <c r="D425" s="11"/>
      <c r="E425" s="11"/>
      <c r="F425" s="11"/>
      <c r="G425" s="11"/>
      <c r="H425" s="11"/>
      <c r="I425" s="11"/>
      <c r="J425" s="11"/>
      <c r="K425" s="11"/>
      <c r="L425" s="11"/>
      <c r="M425" s="11"/>
      <c r="N425" s="11"/>
      <c r="O425" s="11"/>
      <c r="P425" s="11"/>
    </row>
    <row r="426" spans="1:16">
      <c r="A426" s="11"/>
      <c r="B426" s="11"/>
      <c r="C426" s="11"/>
      <c r="D426" s="11"/>
      <c r="E426" s="11"/>
      <c r="F426" s="11"/>
      <c r="G426" s="11"/>
      <c r="H426" s="11"/>
      <c r="I426" s="11"/>
      <c r="J426" s="11"/>
      <c r="K426" s="11"/>
      <c r="L426" s="11"/>
      <c r="M426" s="11"/>
      <c r="N426" s="11"/>
      <c r="O426" s="11"/>
      <c r="P426" s="11"/>
    </row>
    <row r="427" spans="1:16">
      <c r="A427" s="11"/>
      <c r="B427" s="11"/>
      <c r="C427" s="11"/>
      <c r="D427" s="11"/>
      <c r="E427" s="11"/>
      <c r="F427" s="11"/>
      <c r="G427" s="11"/>
      <c r="H427" s="11"/>
      <c r="I427" s="11"/>
      <c r="J427" s="11"/>
      <c r="K427" s="11"/>
      <c r="L427" s="11"/>
      <c r="M427" s="11"/>
      <c r="N427" s="11"/>
      <c r="O427" s="11"/>
      <c r="P427" s="11"/>
    </row>
    <row r="428" spans="1:16">
      <c r="A428" s="11"/>
      <c r="B428" s="11"/>
      <c r="C428" s="11"/>
      <c r="D428" s="11"/>
      <c r="E428" s="11"/>
      <c r="F428" s="11"/>
      <c r="G428" s="11"/>
      <c r="H428" s="11"/>
      <c r="I428" s="11"/>
      <c r="J428" s="11"/>
      <c r="K428" s="11"/>
      <c r="L428" s="11"/>
      <c r="M428" s="11"/>
      <c r="N428" s="11"/>
      <c r="O428" s="11"/>
      <c r="P428" s="11"/>
    </row>
    <row r="429" spans="1:16">
      <c r="A429" s="11"/>
      <c r="B429" s="11"/>
      <c r="C429" s="11"/>
      <c r="D429" s="11"/>
      <c r="E429" s="11"/>
      <c r="F429" s="11"/>
      <c r="G429" s="11"/>
      <c r="H429" s="11"/>
      <c r="I429" s="11"/>
      <c r="J429" s="11"/>
      <c r="K429" s="11"/>
      <c r="L429" s="11"/>
      <c r="M429" s="11"/>
      <c r="N429" s="11"/>
      <c r="O429" s="11"/>
      <c r="P429" s="11"/>
    </row>
    <row r="430" spans="1:16">
      <c r="A430" s="11"/>
      <c r="B430" s="11"/>
      <c r="C430" s="11"/>
      <c r="D430" s="11"/>
      <c r="E430" s="11"/>
      <c r="F430" s="11"/>
      <c r="G430" s="11"/>
      <c r="H430" s="11"/>
      <c r="I430" s="11"/>
      <c r="J430" s="11"/>
      <c r="K430" s="11"/>
      <c r="L430" s="11"/>
      <c r="M430" s="11"/>
      <c r="N430" s="11"/>
      <c r="O430" s="11"/>
      <c r="P430" s="11"/>
    </row>
    <row r="431" spans="1:16">
      <c r="A431" s="11"/>
      <c r="B431" s="11"/>
      <c r="C431" s="11"/>
      <c r="D431" s="11"/>
      <c r="E431" s="11"/>
      <c r="F431" s="11"/>
      <c r="G431" s="11"/>
      <c r="H431" s="11"/>
      <c r="I431" s="11"/>
      <c r="J431" s="11"/>
      <c r="K431" s="11"/>
      <c r="L431" s="11"/>
      <c r="M431" s="11"/>
      <c r="N431" s="11"/>
      <c r="O431" s="11"/>
      <c r="P431" s="11"/>
    </row>
    <row r="432" spans="1:16">
      <c r="A432" s="11"/>
      <c r="B432" s="11"/>
      <c r="C432" s="11"/>
      <c r="D432" s="11"/>
      <c r="E432" s="11"/>
      <c r="F432" s="11"/>
      <c r="G432" s="11"/>
      <c r="H432" s="11"/>
      <c r="I432" s="11"/>
      <c r="J432" s="11"/>
      <c r="K432" s="11"/>
      <c r="L432" s="11"/>
      <c r="M432" s="11"/>
      <c r="N432" s="11"/>
      <c r="O432" s="11"/>
      <c r="P432" s="11"/>
    </row>
    <row r="433" spans="1:16">
      <c r="A433" s="11"/>
      <c r="B433" s="11"/>
      <c r="C433" s="11"/>
      <c r="D433" s="11"/>
      <c r="E433" s="11"/>
      <c r="F433" s="11"/>
      <c r="G433" s="11"/>
      <c r="H433" s="11"/>
      <c r="I433" s="11"/>
      <c r="J433" s="11"/>
      <c r="K433" s="11"/>
      <c r="L433" s="11"/>
      <c r="M433" s="11"/>
      <c r="N433" s="11"/>
      <c r="O433" s="11"/>
      <c r="P433" s="11"/>
    </row>
    <row r="434" spans="1:16">
      <c r="A434" s="11"/>
      <c r="B434" s="11"/>
      <c r="C434" s="11"/>
      <c r="D434" s="11"/>
      <c r="E434" s="11"/>
      <c r="F434" s="11"/>
      <c r="G434" s="11"/>
      <c r="H434" s="11"/>
      <c r="I434" s="11"/>
      <c r="J434" s="11"/>
      <c r="K434" s="11"/>
      <c r="L434" s="11"/>
      <c r="M434" s="11"/>
      <c r="N434" s="11"/>
      <c r="O434" s="11"/>
      <c r="P434" s="11"/>
    </row>
    <row r="435" spans="1:16">
      <c r="A435" s="11"/>
      <c r="B435" s="11"/>
      <c r="C435" s="11"/>
      <c r="D435" s="11"/>
      <c r="E435" s="11"/>
      <c r="F435" s="11"/>
      <c r="G435" s="11"/>
      <c r="H435" s="11"/>
      <c r="I435" s="11"/>
      <c r="J435" s="11"/>
      <c r="K435" s="11"/>
      <c r="L435" s="11"/>
      <c r="M435" s="11"/>
      <c r="N435" s="11"/>
      <c r="O435" s="11"/>
      <c r="P435" s="11"/>
    </row>
    <row r="436" spans="1:16">
      <c r="A436" s="11"/>
      <c r="B436" s="11"/>
      <c r="C436" s="11"/>
      <c r="D436" s="11"/>
      <c r="E436" s="11"/>
      <c r="F436" s="11"/>
      <c r="G436" s="11"/>
      <c r="H436" s="11"/>
      <c r="I436" s="11"/>
      <c r="J436" s="11"/>
      <c r="K436" s="11"/>
      <c r="L436" s="11"/>
      <c r="M436" s="11"/>
      <c r="N436" s="11"/>
      <c r="O436" s="11"/>
      <c r="P436" s="11"/>
    </row>
    <row r="437" spans="1:16">
      <c r="A437" s="11"/>
      <c r="B437" s="11"/>
      <c r="C437" s="11"/>
      <c r="D437" s="11"/>
      <c r="E437" s="11"/>
      <c r="F437" s="11"/>
      <c r="G437" s="11"/>
      <c r="H437" s="11"/>
      <c r="I437" s="11"/>
      <c r="J437" s="11"/>
      <c r="K437" s="11"/>
      <c r="L437" s="11"/>
      <c r="M437" s="11"/>
      <c r="N437" s="11"/>
      <c r="O437" s="11"/>
      <c r="P437" s="11"/>
    </row>
    <row r="438" spans="1:16">
      <c r="A438" s="11"/>
      <c r="B438" s="11"/>
      <c r="C438" s="11"/>
      <c r="D438" s="11"/>
      <c r="E438" s="11"/>
      <c r="F438" s="11"/>
      <c r="G438" s="11"/>
      <c r="H438" s="11"/>
      <c r="I438" s="11"/>
      <c r="J438" s="11"/>
      <c r="K438" s="11"/>
      <c r="L438" s="11"/>
      <c r="M438" s="11"/>
      <c r="N438" s="11"/>
      <c r="O438" s="11"/>
      <c r="P438" s="11"/>
    </row>
    <row r="439" spans="1:16">
      <c r="A439" s="11"/>
      <c r="B439" s="11"/>
      <c r="C439" s="11"/>
      <c r="D439" s="11"/>
      <c r="E439" s="11"/>
      <c r="F439" s="11"/>
      <c r="G439" s="11"/>
      <c r="H439" s="11"/>
      <c r="I439" s="11"/>
      <c r="J439" s="11"/>
      <c r="K439" s="11"/>
      <c r="L439" s="11"/>
      <c r="M439" s="11"/>
      <c r="N439" s="11"/>
      <c r="O439" s="11"/>
      <c r="P439" s="11"/>
    </row>
    <row r="440" spans="1:16">
      <c r="A440" s="11"/>
      <c r="B440" s="11"/>
      <c r="C440" s="11"/>
      <c r="D440" s="11"/>
      <c r="E440" s="11"/>
      <c r="F440" s="11"/>
      <c r="G440" s="11"/>
      <c r="H440" s="11"/>
      <c r="I440" s="11"/>
      <c r="J440" s="11"/>
      <c r="K440" s="11"/>
      <c r="L440" s="11"/>
      <c r="M440" s="11"/>
      <c r="N440" s="11"/>
      <c r="O440" s="11"/>
      <c r="P440" s="11"/>
    </row>
    <row r="441" spans="1:16">
      <c r="A441" s="11"/>
      <c r="B441" s="11"/>
      <c r="C441" s="11"/>
      <c r="D441" s="11"/>
      <c r="E441" s="11"/>
      <c r="F441" s="11"/>
      <c r="G441" s="11"/>
      <c r="H441" s="11"/>
      <c r="I441" s="11"/>
      <c r="J441" s="11"/>
      <c r="K441" s="11"/>
      <c r="L441" s="11"/>
      <c r="M441" s="11"/>
      <c r="N441" s="11"/>
      <c r="O441" s="11"/>
      <c r="P441" s="11"/>
    </row>
    <row r="442" spans="1:16">
      <c r="A442" s="11"/>
      <c r="B442" s="11"/>
      <c r="C442" s="11"/>
      <c r="D442" s="11"/>
      <c r="E442" s="11"/>
      <c r="F442" s="11"/>
      <c r="G442" s="11"/>
      <c r="H442" s="11"/>
      <c r="I442" s="11"/>
      <c r="J442" s="11"/>
      <c r="K442" s="11"/>
      <c r="L442" s="11"/>
      <c r="M442" s="11"/>
      <c r="N442" s="11"/>
      <c r="O442" s="11"/>
      <c r="P442" s="11"/>
    </row>
    <row r="443" spans="1:16">
      <c r="A443" s="11"/>
      <c r="B443" s="11"/>
      <c r="C443" s="11"/>
      <c r="D443" s="11"/>
      <c r="E443" s="11"/>
      <c r="F443" s="11"/>
      <c r="G443" s="11"/>
      <c r="H443" s="11"/>
      <c r="I443" s="11"/>
      <c r="J443" s="11"/>
      <c r="K443" s="11"/>
      <c r="L443" s="11"/>
      <c r="M443" s="11"/>
      <c r="N443" s="11"/>
      <c r="O443" s="11"/>
      <c r="P443" s="11"/>
    </row>
    <row r="444" spans="1:16">
      <c r="A444" s="11"/>
      <c r="B444" s="11"/>
      <c r="C444" s="11"/>
      <c r="D444" s="11"/>
      <c r="E444" s="11"/>
      <c r="F444" s="11"/>
      <c r="G444" s="11"/>
      <c r="H444" s="11"/>
      <c r="I444" s="11"/>
      <c r="J444" s="11"/>
      <c r="K444" s="11"/>
      <c r="L444" s="11"/>
      <c r="M444" s="11"/>
      <c r="N444" s="11"/>
      <c r="O444" s="11"/>
      <c r="P444" s="11"/>
    </row>
    <row r="445" spans="1:16">
      <c r="A445" s="11"/>
      <c r="B445" s="11"/>
      <c r="C445" s="11"/>
      <c r="D445" s="11"/>
      <c r="E445" s="11"/>
      <c r="F445" s="11"/>
      <c r="G445" s="11"/>
      <c r="H445" s="11"/>
      <c r="I445" s="11"/>
      <c r="J445" s="11"/>
      <c r="K445" s="11"/>
      <c r="L445" s="11"/>
      <c r="M445" s="11"/>
      <c r="N445" s="11"/>
      <c r="O445" s="11"/>
      <c r="P445" s="11"/>
    </row>
    <row r="446" spans="1:16">
      <c r="A446" s="11"/>
      <c r="B446" s="11"/>
      <c r="C446" s="11"/>
      <c r="D446" s="11"/>
      <c r="E446" s="11"/>
      <c r="F446" s="11"/>
      <c r="G446" s="11"/>
      <c r="H446" s="11"/>
      <c r="I446" s="11"/>
      <c r="J446" s="11"/>
      <c r="K446" s="11"/>
      <c r="L446" s="11"/>
      <c r="M446" s="11"/>
      <c r="N446" s="11"/>
      <c r="O446" s="11"/>
      <c r="P446" s="11"/>
    </row>
    <row r="447" spans="1:16">
      <c r="A447" s="11"/>
      <c r="B447" s="11"/>
      <c r="C447" s="11"/>
      <c r="D447" s="11"/>
      <c r="E447" s="11"/>
      <c r="F447" s="11"/>
      <c r="G447" s="11"/>
      <c r="H447" s="11"/>
      <c r="I447" s="11"/>
      <c r="J447" s="11"/>
      <c r="K447" s="11"/>
      <c r="L447" s="11"/>
      <c r="M447" s="11"/>
      <c r="N447" s="11"/>
      <c r="O447" s="11"/>
      <c r="P447" s="11"/>
    </row>
    <row r="448" spans="1:16">
      <c r="A448" s="11"/>
      <c r="B448" s="11"/>
      <c r="C448" s="11"/>
      <c r="D448" s="11"/>
      <c r="E448" s="11"/>
      <c r="F448" s="11"/>
      <c r="G448" s="11"/>
      <c r="H448" s="11"/>
      <c r="I448" s="11"/>
      <c r="J448" s="11"/>
      <c r="K448" s="11"/>
      <c r="L448" s="11"/>
      <c r="M448" s="11"/>
      <c r="N448" s="11"/>
      <c r="O448" s="11"/>
      <c r="P448" s="11"/>
    </row>
    <row r="449" spans="1:16">
      <c r="A449" s="11"/>
      <c r="B449" s="11"/>
      <c r="C449" s="11"/>
      <c r="D449" s="11"/>
      <c r="E449" s="11"/>
      <c r="F449" s="11"/>
      <c r="G449" s="11"/>
      <c r="H449" s="11"/>
      <c r="I449" s="11"/>
      <c r="J449" s="11"/>
      <c r="K449" s="11"/>
      <c r="L449" s="11"/>
      <c r="M449" s="11"/>
      <c r="N449" s="11"/>
      <c r="O449" s="11"/>
      <c r="P449" s="11"/>
    </row>
    <row r="450" spans="1:16">
      <c r="A450" s="11"/>
      <c r="B450" s="11"/>
      <c r="C450" s="11"/>
      <c r="D450" s="11"/>
      <c r="E450" s="11"/>
      <c r="F450" s="11"/>
      <c r="G450" s="11"/>
      <c r="H450" s="11"/>
      <c r="I450" s="11"/>
      <c r="J450" s="11"/>
      <c r="K450" s="11"/>
      <c r="L450" s="11"/>
      <c r="M450" s="11"/>
      <c r="N450" s="11"/>
      <c r="O450" s="11"/>
      <c r="P450" s="11"/>
    </row>
    <row r="451" spans="1:16">
      <c r="A451" s="11"/>
      <c r="B451" s="11"/>
      <c r="C451" s="11"/>
      <c r="D451" s="11"/>
      <c r="E451" s="11"/>
      <c r="F451" s="11"/>
      <c r="G451" s="11"/>
      <c r="H451" s="11"/>
      <c r="I451" s="11"/>
      <c r="J451" s="11"/>
      <c r="K451" s="11"/>
      <c r="L451" s="11"/>
      <c r="M451" s="11"/>
      <c r="N451" s="11"/>
      <c r="O451" s="11"/>
      <c r="P451" s="11"/>
    </row>
    <row r="452" spans="1:16">
      <c r="A452" s="11"/>
      <c r="B452" s="11"/>
      <c r="C452" s="11"/>
      <c r="D452" s="11"/>
      <c r="E452" s="11"/>
      <c r="F452" s="11"/>
      <c r="G452" s="11"/>
      <c r="H452" s="11"/>
      <c r="I452" s="11"/>
      <c r="J452" s="11"/>
      <c r="K452" s="11"/>
      <c r="L452" s="11"/>
      <c r="M452" s="11"/>
      <c r="N452" s="11"/>
      <c r="O452" s="11"/>
      <c r="P452" s="11"/>
    </row>
    <row r="453" spans="1:16">
      <c r="A453" s="11"/>
      <c r="B453" s="11"/>
      <c r="C453" s="11"/>
      <c r="D453" s="11"/>
      <c r="E453" s="11"/>
      <c r="F453" s="11"/>
      <c r="G453" s="11"/>
      <c r="H453" s="11"/>
      <c r="I453" s="11"/>
      <c r="J453" s="11"/>
      <c r="K453" s="11"/>
      <c r="L453" s="11"/>
      <c r="M453" s="11"/>
      <c r="N453" s="11"/>
      <c r="O453" s="11"/>
      <c r="P453" s="11"/>
    </row>
    <row r="454" spans="1:16">
      <c r="A454" s="11"/>
      <c r="B454" s="11"/>
      <c r="C454" s="11"/>
      <c r="D454" s="11"/>
      <c r="E454" s="11"/>
      <c r="F454" s="11"/>
      <c r="G454" s="11"/>
      <c r="H454" s="11"/>
      <c r="I454" s="11"/>
      <c r="J454" s="11"/>
      <c r="K454" s="11"/>
      <c r="L454" s="11"/>
      <c r="M454" s="11"/>
      <c r="N454" s="11"/>
      <c r="O454" s="11"/>
      <c r="P454" s="11"/>
    </row>
    <row r="455" spans="1:16">
      <c r="A455" s="11"/>
      <c r="B455" s="11"/>
      <c r="C455" s="11"/>
      <c r="D455" s="11"/>
      <c r="E455" s="11"/>
      <c r="F455" s="11"/>
      <c r="G455" s="11"/>
      <c r="H455" s="11"/>
      <c r="I455" s="11"/>
      <c r="J455" s="11"/>
      <c r="K455" s="11"/>
      <c r="L455" s="11"/>
      <c r="M455" s="11"/>
      <c r="N455" s="11"/>
      <c r="O455" s="11"/>
      <c r="P455" s="11"/>
    </row>
    <row r="456" spans="1:16">
      <c r="A456" s="11"/>
      <c r="B456" s="11"/>
      <c r="C456" s="11"/>
      <c r="D456" s="11"/>
      <c r="E456" s="11"/>
      <c r="F456" s="11"/>
      <c r="G456" s="11"/>
      <c r="H456" s="11"/>
      <c r="I456" s="11"/>
      <c r="J456" s="11"/>
      <c r="K456" s="11"/>
      <c r="L456" s="11"/>
      <c r="M456" s="11"/>
      <c r="N456" s="11"/>
      <c r="O456" s="11"/>
      <c r="P456" s="11"/>
    </row>
    <row r="457" spans="1:16">
      <c r="A457" s="11"/>
      <c r="B457" s="11"/>
      <c r="C457" s="11"/>
      <c r="D457" s="11"/>
      <c r="E457" s="11"/>
      <c r="F457" s="11"/>
      <c r="G457" s="11"/>
      <c r="H457" s="11"/>
      <c r="I457" s="11"/>
      <c r="J457" s="11"/>
      <c r="K457" s="11"/>
      <c r="L457" s="11"/>
      <c r="M457" s="11"/>
      <c r="N457" s="11"/>
      <c r="O457" s="11"/>
      <c r="P457" s="11"/>
    </row>
    <row r="458" spans="1:16">
      <c r="A458" s="11"/>
      <c r="B458" s="11"/>
      <c r="C458" s="11"/>
      <c r="D458" s="11"/>
      <c r="E458" s="11"/>
      <c r="F458" s="11"/>
      <c r="G458" s="11"/>
      <c r="H458" s="11"/>
      <c r="I458" s="11"/>
      <c r="J458" s="11"/>
      <c r="K458" s="11"/>
      <c r="L458" s="11"/>
      <c r="M458" s="11"/>
      <c r="N458" s="11"/>
      <c r="O458" s="11"/>
      <c r="P458" s="11"/>
    </row>
    <row r="459" spans="1:16">
      <c r="A459" s="11"/>
      <c r="B459" s="11"/>
      <c r="C459" s="11"/>
      <c r="D459" s="11"/>
      <c r="E459" s="11"/>
      <c r="F459" s="11"/>
      <c r="G459" s="11"/>
      <c r="H459" s="11"/>
      <c r="I459" s="11"/>
      <c r="J459" s="11"/>
      <c r="K459" s="11"/>
      <c r="L459" s="11"/>
      <c r="M459" s="11"/>
      <c r="N459" s="11"/>
      <c r="O459" s="11"/>
      <c r="P459" s="11"/>
    </row>
    <row r="460" spans="1:16">
      <c r="A460" s="11"/>
      <c r="B460" s="11"/>
      <c r="C460" s="11"/>
      <c r="D460" s="11"/>
      <c r="E460" s="11"/>
      <c r="F460" s="11"/>
      <c r="G460" s="11"/>
      <c r="H460" s="11"/>
      <c r="I460" s="11"/>
      <c r="J460" s="11"/>
      <c r="K460" s="11"/>
      <c r="L460" s="11"/>
      <c r="M460" s="11"/>
      <c r="N460" s="11"/>
      <c r="O460" s="11"/>
      <c r="P460" s="11"/>
    </row>
    <row r="461" spans="1:16">
      <c r="A461" s="11"/>
      <c r="B461" s="11"/>
      <c r="C461" s="11"/>
      <c r="D461" s="11"/>
      <c r="E461" s="11"/>
      <c r="F461" s="11"/>
      <c r="G461" s="11"/>
      <c r="H461" s="11"/>
      <c r="I461" s="11"/>
      <c r="J461" s="11"/>
      <c r="K461" s="11"/>
      <c r="L461" s="11"/>
      <c r="M461" s="11"/>
      <c r="N461" s="11"/>
      <c r="O461" s="11"/>
      <c r="P461" s="11"/>
    </row>
    <row r="462" spans="1:16">
      <c r="A462" s="11"/>
      <c r="B462" s="11"/>
      <c r="C462" s="11"/>
      <c r="D462" s="11"/>
      <c r="E462" s="11"/>
      <c r="F462" s="11"/>
      <c r="G462" s="11"/>
      <c r="H462" s="11"/>
      <c r="I462" s="11"/>
      <c r="J462" s="11"/>
      <c r="K462" s="11"/>
      <c r="L462" s="11"/>
      <c r="M462" s="11"/>
      <c r="N462" s="11"/>
      <c r="O462" s="11"/>
      <c r="P462" s="11"/>
    </row>
    <row r="463" spans="1:16">
      <c r="A463" s="11"/>
      <c r="B463" s="11"/>
      <c r="C463" s="11"/>
      <c r="D463" s="11"/>
      <c r="E463" s="11"/>
      <c r="F463" s="11"/>
      <c r="G463" s="11"/>
      <c r="H463" s="11"/>
      <c r="I463" s="11"/>
      <c r="J463" s="11"/>
      <c r="K463" s="11"/>
      <c r="L463" s="11"/>
      <c r="M463" s="11"/>
      <c r="N463" s="11"/>
      <c r="O463" s="11"/>
      <c r="P463" s="11"/>
    </row>
    <row r="464" spans="1:16">
      <c r="A464" s="11"/>
      <c r="B464" s="11"/>
      <c r="C464" s="11"/>
      <c r="D464" s="11"/>
      <c r="E464" s="11"/>
      <c r="F464" s="11"/>
      <c r="G464" s="11"/>
      <c r="H464" s="11"/>
      <c r="I464" s="11"/>
      <c r="J464" s="11"/>
      <c r="K464" s="11"/>
      <c r="L464" s="11"/>
      <c r="M464" s="11"/>
      <c r="N464" s="11"/>
      <c r="O464" s="11"/>
      <c r="P464" s="11"/>
    </row>
    <row r="465" spans="1:16">
      <c r="A465" s="11"/>
      <c r="B465" s="11"/>
      <c r="C465" s="11"/>
      <c r="D465" s="11"/>
      <c r="E465" s="11"/>
      <c r="F465" s="11"/>
      <c r="G465" s="11"/>
      <c r="H465" s="11"/>
      <c r="I465" s="11"/>
      <c r="J465" s="11"/>
      <c r="K465" s="11"/>
      <c r="L465" s="11"/>
      <c r="M465" s="11"/>
      <c r="N465" s="11"/>
      <c r="O465" s="11"/>
      <c r="P465" s="11"/>
    </row>
    <row r="466" spans="1:16">
      <c r="A466" s="11"/>
      <c r="B466" s="11"/>
      <c r="C466" s="11"/>
      <c r="D466" s="11"/>
      <c r="E466" s="11"/>
      <c r="F466" s="11"/>
      <c r="G466" s="11"/>
      <c r="H466" s="11"/>
      <c r="I466" s="11"/>
      <c r="J466" s="11"/>
      <c r="K466" s="11"/>
      <c r="L466" s="11"/>
      <c r="M466" s="11"/>
      <c r="N466" s="11"/>
      <c r="O466" s="11"/>
      <c r="P466" s="11"/>
    </row>
    <row r="467" spans="1:16">
      <c r="A467" s="11"/>
      <c r="B467" s="11"/>
      <c r="C467" s="11"/>
      <c r="D467" s="11"/>
      <c r="E467" s="11"/>
      <c r="F467" s="11"/>
      <c r="G467" s="11"/>
      <c r="H467" s="11"/>
      <c r="I467" s="11"/>
      <c r="J467" s="11"/>
      <c r="K467" s="11"/>
      <c r="L467" s="11"/>
      <c r="M467" s="11"/>
      <c r="N467" s="11"/>
      <c r="O467" s="11"/>
      <c r="P467" s="11"/>
    </row>
    <row r="468" spans="1:16">
      <c r="A468" s="11"/>
      <c r="B468" s="11"/>
      <c r="C468" s="11"/>
      <c r="D468" s="11"/>
      <c r="E468" s="11"/>
      <c r="F468" s="11"/>
      <c r="G468" s="11"/>
      <c r="H468" s="11"/>
      <c r="I468" s="11"/>
      <c r="J468" s="11"/>
      <c r="K468" s="11"/>
      <c r="L468" s="11"/>
      <c r="M468" s="11"/>
      <c r="N468" s="11"/>
      <c r="O468" s="11"/>
      <c r="P468" s="11"/>
    </row>
    <row r="469" spans="1:16">
      <c r="A469" s="11"/>
      <c r="B469" s="11"/>
      <c r="C469" s="11"/>
      <c r="D469" s="11"/>
      <c r="E469" s="11"/>
      <c r="F469" s="11"/>
      <c r="G469" s="11"/>
      <c r="H469" s="11"/>
      <c r="I469" s="11"/>
      <c r="J469" s="11"/>
      <c r="K469" s="11"/>
      <c r="L469" s="11"/>
      <c r="M469" s="11"/>
      <c r="N469" s="11"/>
      <c r="O469" s="11"/>
      <c r="P469" s="11"/>
    </row>
    <row r="470" spans="1:16">
      <c r="A470" s="11"/>
      <c r="B470" s="11"/>
      <c r="C470" s="11"/>
      <c r="D470" s="11"/>
      <c r="E470" s="11"/>
      <c r="F470" s="11"/>
      <c r="G470" s="11"/>
      <c r="H470" s="11"/>
      <c r="I470" s="11"/>
      <c r="J470" s="11"/>
      <c r="K470" s="11"/>
      <c r="L470" s="11"/>
      <c r="M470" s="11"/>
      <c r="N470" s="11"/>
      <c r="O470" s="11"/>
      <c r="P470" s="11"/>
    </row>
    <row r="471" spans="1:16">
      <c r="A471" s="11"/>
      <c r="B471" s="11"/>
      <c r="C471" s="11"/>
      <c r="D471" s="11"/>
      <c r="E471" s="11"/>
      <c r="F471" s="11"/>
      <c r="G471" s="11"/>
      <c r="H471" s="11"/>
      <c r="I471" s="11"/>
      <c r="J471" s="11"/>
      <c r="K471" s="11"/>
      <c r="L471" s="11"/>
      <c r="M471" s="11"/>
      <c r="N471" s="11"/>
      <c r="O471" s="11"/>
      <c r="P471" s="11"/>
    </row>
    <row r="472" spans="1:16">
      <c r="A472" s="11"/>
      <c r="B472" s="11"/>
      <c r="C472" s="11"/>
      <c r="D472" s="11"/>
      <c r="E472" s="11"/>
      <c r="F472" s="11"/>
      <c r="G472" s="11"/>
      <c r="H472" s="11"/>
      <c r="I472" s="11"/>
      <c r="J472" s="11"/>
      <c r="K472" s="11"/>
      <c r="L472" s="11"/>
      <c r="M472" s="11"/>
      <c r="N472" s="11"/>
      <c r="O472" s="11"/>
      <c r="P472" s="11"/>
    </row>
    <row r="473" spans="1:16">
      <c r="A473" s="11"/>
      <c r="B473" s="11"/>
      <c r="C473" s="11"/>
      <c r="D473" s="11"/>
      <c r="E473" s="11"/>
      <c r="F473" s="11"/>
      <c r="G473" s="11"/>
      <c r="H473" s="11"/>
      <c r="I473" s="11"/>
      <c r="J473" s="11"/>
      <c r="K473" s="11"/>
      <c r="L473" s="11"/>
      <c r="M473" s="11"/>
      <c r="N473" s="11"/>
      <c r="O473" s="11"/>
      <c r="P473" s="11"/>
    </row>
    <row r="474" spans="1:16">
      <c r="A474" s="11"/>
      <c r="B474" s="11"/>
      <c r="C474" s="11"/>
      <c r="D474" s="11"/>
      <c r="E474" s="11"/>
      <c r="F474" s="11"/>
      <c r="G474" s="11"/>
      <c r="H474" s="11"/>
      <c r="I474" s="11"/>
      <c r="J474" s="11"/>
      <c r="K474" s="11"/>
      <c r="L474" s="11"/>
      <c r="M474" s="11"/>
      <c r="N474" s="11"/>
      <c r="O474" s="11"/>
      <c r="P474" s="11"/>
    </row>
    <row r="475" spans="1:16">
      <c r="A475" s="11"/>
      <c r="B475" s="11"/>
      <c r="C475" s="11"/>
      <c r="D475" s="11"/>
      <c r="E475" s="11"/>
      <c r="F475" s="11"/>
      <c r="G475" s="11"/>
      <c r="H475" s="11"/>
      <c r="I475" s="11"/>
      <c r="J475" s="11"/>
      <c r="K475" s="11"/>
      <c r="L475" s="11"/>
      <c r="M475" s="11"/>
      <c r="N475" s="11"/>
      <c r="O475" s="11"/>
      <c r="P475" s="11"/>
    </row>
    <row r="476" spans="1:16">
      <c r="A476" s="11"/>
      <c r="B476" s="11"/>
      <c r="C476" s="11"/>
      <c r="D476" s="11"/>
      <c r="E476" s="11"/>
      <c r="F476" s="11"/>
      <c r="G476" s="11"/>
      <c r="H476" s="11"/>
      <c r="I476" s="11"/>
      <c r="J476" s="11"/>
      <c r="K476" s="11"/>
      <c r="L476" s="11"/>
      <c r="M476" s="11"/>
      <c r="N476" s="11"/>
      <c r="O476" s="11"/>
      <c r="P476" s="11"/>
    </row>
    <row r="477" spans="1:16">
      <c r="A477" s="11"/>
      <c r="B477" s="11"/>
      <c r="C477" s="11"/>
      <c r="D477" s="11"/>
      <c r="E477" s="11"/>
      <c r="F477" s="11"/>
      <c r="G477" s="11"/>
      <c r="H477" s="11"/>
      <c r="I477" s="11"/>
      <c r="J477" s="11"/>
      <c r="K477" s="11"/>
      <c r="L477" s="11"/>
      <c r="M477" s="11"/>
      <c r="N477" s="11"/>
      <c r="O477" s="11"/>
      <c r="P477" s="11"/>
    </row>
    <row r="478" spans="1:16">
      <c r="A478" s="11"/>
      <c r="B478" s="11"/>
      <c r="C478" s="11"/>
      <c r="D478" s="11"/>
      <c r="E478" s="11"/>
      <c r="F478" s="11"/>
      <c r="G478" s="11"/>
      <c r="H478" s="11"/>
      <c r="I478" s="11"/>
      <c r="J478" s="11"/>
      <c r="K478" s="11"/>
      <c r="L478" s="11"/>
      <c r="M478" s="11"/>
      <c r="N478" s="11"/>
      <c r="O478" s="11"/>
      <c r="P478" s="11"/>
    </row>
    <row r="479" spans="1:16">
      <c r="A479" s="11"/>
      <c r="B479" s="11"/>
      <c r="C479" s="11"/>
      <c r="D479" s="11"/>
      <c r="E479" s="11"/>
      <c r="F479" s="11"/>
      <c r="G479" s="11"/>
      <c r="H479" s="11"/>
      <c r="I479" s="11"/>
      <c r="J479" s="11"/>
      <c r="K479" s="11"/>
      <c r="L479" s="11"/>
      <c r="M479" s="11"/>
      <c r="N479" s="11"/>
      <c r="O479" s="11"/>
      <c r="P479" s="11"/>
    </row>
    <row r="480" spans="1:16">
      <c r="A480" s="11"/>
      <c r="B480" s="11"/>
      <c r="C480" s="11"/>
      <c r="D480" s="11"/>
      <c r="E480" s="11"/>
      <c r="F480" s="11"/>
      <c r="G480" s="11"/>
      <c r="H480" s="11"/>
      <c r="I480" s="11"/>
      <c r="J480" s="11"/>
      <c r="K480" s="11"/>
      <c r="L480" s="11"/>
      <c r="M480" s="11"/>
      <c r="N480" s="11"/>
      <c r="O480" s="11"/>
      <c r="P480" s="11"/>
    </row>
    <row r="481" spans="1:16">
      <c r="A481" s="11"/>
      <c r="B481" s="11"/>
      <c r="C481" s="11"/>
      <c r="D481" s="11"/>
      <c r="E481" s="11"/>
      <c r="F481" s="11"/>
      <c r="G481" s="11"/>
      <c r="H481" s="11"/>
      <c r="I481" s="11"/>
      <c r="J481" s="11"/>
      <c r="K481" s="11"/>
      <c r="L481" s="11"/>
      <c r="M481" s="11"/>
      <c r="N481" s="11"/>
      <c r="O481" s="11"/>
      <c r="P481" s="11"/>
    </row>
    <row r="482" spans="1:16">
      <c r="A482" s="11"/>
      <c r="B482" s="11"/>
      <c r="C482" s="11"/>
      <c r="D482" s="11"/>
      <c r="E482" s="11"/>
      <c r="F482" s="11"/>
      <c r="G482" s="11"/>
      <c r="H482" s="11"/>
      <c r="I482" s="11"/>
      <c r="J482" s="11"/>
      <c r="K482" s="11"/>
      <c r="L482" s="11"/>
      <c r="M482" s="11"/>
      <c r="N482" s="11"/>
      <c r="O482" s="11"/>
      <c r="P482" s="11"/>
    </row>
    <row r="483" spans="1:16">
      <c r="A483" s="11"/>
      <c r="B483" s="11"/>
      <c r="C483" s="11"/>
      <c r="D483" s="11"/>
      <c r="E483" s="11"/>
      <c r="F483" s="11"/>
      <c r="G483" s="11"/>
      <c r="H483" s="11"/>
      <c r="I483" s="11"/>
      <c r="J483" s="11"/>
      <c r="K483" s="11"/>
      <c r="L483" s="11"/>
      <c r="M483" s="11"/>
      <c r="N483" s="11"/>
      <c r="O483" s="11"/>
      <c r="P483" s="11"/>
    </row>
    <row r="484" spans="1:16">
      <c r="A484" s="11"/>
      <c r="B484" s="11"/>
      <c r="C484" s="11"/>
      <c r="D484" s="11"/>
      <c r="E484" s="11"/>
      <c r="F484" s="11"/>
      <c r="G484" s="11"/>
      <c r="H484" s="11"/>
      <c r="I484" s="11"/>
      <c r="J484" s="11"/>
      <c r="K484" s="11"/>
      <c r="L484" s="11"/>
      <c r="M484" s="11"/>
      <c r="N484" s="11"/>
      <c r="O484" s="11"/>
      <c r="P484" s="11"/>
    </row>
    <row r="485" spans="1:16">
      <c r="A485" s="11"/>
      <c r="B485" s="11"/>
      <c r="C485" s="11"/>
      <c r="D485" s="11"/>
      <c r="E485" s="11"/>
      <c r="F485" s="11"/>
      <c r="G485" s="11"/>
      <c r="H485" s="11"/>
      <c r="I485" s="11"/>
      <c r="J485" s="11"/>
      <c r="K485" s="11"/>
      <c r="L485" s="11"/>
      <c r="M485" s="11"/>
      <c r="N485" s="11"/>
      <c r="O485" s="11"/>
      <c r="P485" s="11"/>
    </row>
    <row r="486" spans="1:16">
      <c r="A486" s="11"/>
      <c r="B486" s="11"/>
      <c r="C486" s="11"/>
      <c r="D486" s="11"/>
      <c r="E486" s="11"/>
      <c r="F486" s="11"/>
      <c r="G486" s="11"/>
      <c r="H486" s="11"/>
      <c r="I486" s="11"/>
      <c r="J486" s="11"/>
      <c r="K486" s="11"/>
      <c r="L486" s="11"/>
      <c r="M486" s="11"/>
      <c r="N486" s="11"/>
      <c r="O486" s="11"/>
      <c r="P486" s="11"/>
    </row>
    <row r="487" spans="1:16">
      <c r="A487" s="11"/>
      <c r="B487" s="11"/>
      <c r="C487" s="11"/>
      <c r="D487" s="11"/>
      <c r="E487" s="11"/>
      <c r="F487" s="11"/>
      <c r="G487" s="11"/>
      <c r="H487" s="11"/>
      <c r="I487" s="11"/>
      <c r="J487" s="11"/>
      <c r="K487" s="11"/>
      <c r="L487" s="11"/>
      <c r="M487" s="11"/>
      <c r="N487" s="11"/>
      <c r="O487" s="11"/>
      <c r="P487" s="11"/>
    </row>
    <row r="488" spans="1:16">
      <c r="A488" s="11"/>
      <c r="B488" s="11"/>
      <c r="C488" s="11"/>
      <c r="D488" s="11"/>
      <c r="E488" s="11"/>
      <c r="F488" s="11"/>
      <c r="G488" s="11"/>
      <c r="H488" s="11"/>
      <c r="I488" s="11"/>
      <c r="J488" s="11"/>
      <c r="K488" s="11"/>
      <c r="L488" s="11"/>
      <c r="M488" s="11"/>
      <c r="N488" s="11"/>
      <c r="O488" s="11"/>
      <c r="P488" s="11"/>
    </row>
    <row r="489" spans="1:16">
      <c r="A489" s="11"/>
      <c r="B489" s="11"/>
      <c r="C489" s="11"/>
      <c r="D489" s="11"/>
      <c r="E489" s="11"/>
      <c r="F489" s="11"/>
      <c r="G489" s="11"/>
      <c r="H489" s="11"/>
      <c r="I489" s="11"/>
      <c r="J489" s="11"/>
      <c r="K489" s="11"/>
      <c r="L489" s="11"/>
      <c r="M489" s="11"/>
      <c r="N489" s="11"/>
      <c r="O489" s="11"/>
      <c r="P489" s="11"/>
    </row>
    <row r="490" spans="1:16">
      <c r="A490" s="11"/>
      <c r="B490" s="11"/>
      <c r="C490" s="11"/>
      <c r="D490" s="11"/>
      <c r="E490" s="11"/>
      <c r="F490" s="11"/>
      <c r="G490" s="11"/>
      <c r="H490" s="11"/>
      <c r="I490" s="11"/>
      <c r="J490" s="11"/>
      <c r="K490" s="11"/>
      <c r="L490" s="11"/>
      <c r="M490" s="11"/>
      <c r="N490" s="11"/>
      <c r="O490" s="11"/>
      <c r="P490" s="11"/>
    </row>
    <row r="491" spans="1:16">
      <c r="A491" s="11"/>
      <c r="B491" s="11"/>
      <c r="C491" s="11"/>
      <c r="D491" s="11"/>
      <c r="E491" s="11"/>
      <c r="F491" s="11"/>
      <c r="G491" s="11"/>
      <c r="H491" s="11"/>
      <c r="I491" s="11"/>
      <c r="J491" s="11"/>
      <c r="K491" s="11"/>
      <c r="L491" s="11"/>
      <c r="M491" s="11"/>
      <c r="N491" s="11"/>
      <c r="O491" s="11"/>
      <c r="P491" s="11"/>
    </row>
    <row r="492" spans="1:16">
      <c r="A492" s="11"/>
      <c r="B492" s="11"/>
      <c r="C492" s="11"/>
      <c r="D492" s="11"/>
      <c r="E492" s="11"/>
      <c r="F492" s="11"/>
      <c r="G492" s="11"/>
      <c r="H492" s="11"/>
      <c r="I492" s="11"/>
      <c r="J492" s="11"/>
      <c r="K492" s="11"/>
      <c r="L492" s="11"/>
      <c r="M492" s="11"/>
      <c r="N492" s="11"/>
      <c r="O492" s="11"/>
      <c r="P492" s="11"/>
    </row>
    <row r="493" spans="1:16">
      <c r="A493" s="11"/>
      <c r="B493" s="11"/>
      <c r="C493" s="11"/>
      <c r="D493" s="11"/>
      <c r="E493" s="11"/>
      <c r="F493" s="11"/>
      <c r="G493" s="11"/>
      <c r="H493" s="11"/>
      <c r="I493" s="11"/>
      <c r="J493" s="11"/>
      <c r="K493" s="11"/>
      <c r="L493" s="11"/>
      <c r="M493" s="11"/>
      <c r="N493" s="11"/>
      <c r="O493" s="11"/>
      <c r="P493" s="11"/>
    </row>
    <row r="494" spans="1:16">
      <c r="A494" s="11"/>
      <c r="B494" s="11"/>
      <c r="C494" s="11"/>
      <c r="D494" s="11"/>
      <c r="E494" s="11"/>
      <c r="F494" s="11"/>
      <c r="G494" s="11"/>
      <c r="H494" s="11"/>
      <c r="I494" s="11"/>
      <c r="J494" s="11"/>
      <c r="K494" s="11"/>
      <c r="L494" s="11"/>
      <c r="M494" s="11"/>
      <c r="N494" s="11"/>
      <c r="O494" s="11"/>
      <c r="P494" s="11"/>
    </row>
    <row r="495" spans="1:16">
      <c r="A495" s="11"/>
      <c r="B495" s="11"/>
      <c r="C495" s="11"/>
      <c r="D495" s="11"/>
      <c r="E495" s="11"/>
      <c r="F495" s="11"/>
      <c r="G495" s="11"/>
      <c r="H495" s="11"/>
      <c r="I495" s="11"/>
      <c r="J495" s="11"/>
      <c r="K495" s="11"/>
      <c r="L495" s="11"/>
      <c r="M495" s="11"/>
      <c r="N495" s="11"/>
      <c r="O495" s="11"/>
      <c r="P495" s="11"/>
    </row>
    <row r="496" spans="1:16">
      <c r="A496" s="11"/>
      <c r="B496" s="11"/>
      <c r="C496" s="11"/>
      <c r="D496" s="11"/>
      <c r="E496" s="11"/>
      <c r="F496" s="11"/>
      <c r="G496" s="11"/>
      <c r="H496" s="11"/>
      <c r="I496" s="11"/>
      <c r="J496" s="11"/>
      <c r="K496" s="11"/>
      <c r="L496" s="11"/>
      <c r="M496" s="11"/>
      <c r="N496" s="11"/>
      <c r="O496" s="11"/>
      <c r="P496" s="11"/>
    </row>
    <row r="497" spans="1:16">
      <c r="A497" s="11"/>
      <c r="B497" s="11"/>
      <c r="C497" s="11"/>
      <c r="D497" s="11"/>
      <c r="E497" s="11"/>
      <c r="F497" s="11"/>
      <c r="G497" s="11"/>
      <c r="H497" s="11"/>
      <c r="I497" s="11"/>
      <c r="J497" s="11"/>
      <c r="K497" s="11"/>
      <c r="L497" s="11"/>
      <c r="M497" s="11"/>
      <c r="N497" s="11"/>
      <c r="O497" s="11"/>
      <c r="P497" s="11"/>
    </row>
    <row r="498" spans="1:16">
      <c r="A498" s="11"/>
      <c r="B498" s="11"/>
      <c r="C498" s="11"/>
      <c r="D498" s="11"/>
      <c r="E498" s="11"/>
      <c r="F498" s="11"/>
      <c r="G498" s="11"/>
      <c r="H498" s="11"/>
      <c r="I498" s="11"/>
      <c r="J498" s="11"/>
      <c r="K498" s="11"/>
      <c r="L498" s="11"/>
      <c r="M498" s="11"/>
      <c r="N498" s="11"/>
      <c r="O498" s="11"/>
      <c r="P498" s="11"/>
    </row>
    <row r="499" spans="1:16">
      <c r="A499" s="11"/>
      <c r="B499" s="11"/>
      <c r="C499" s="11"/>
      <c r="D499" s="11"/>
      <c r="E499" s="11"/>
      <c r="F499" s="11"/>
      <c r="G499" s="11"/>
      <c r="H499" s="11"/>
      <c r="I499" s="11"/>
      <c r="J499" s="11"/>
      <c r="K499" s="11"/>
      <c r="L499" s="11"/>
      <c r="M499" s="11"/>
      <c r="N499" s="11"/>
      <c r="O499" s="11"/>
      <c r="P499" s="11"/>
    </row>
    <row r="500" spans="1:16">
      <c r="A500" s="11"/>
      <c r="B500" s="11"/>
      <c r="C500" s="11"/>
      <c r="D500" s="11"/>
      <c r="E500" s="11"/>
      <c r="F500" s="11"/>
      <c r="G500" s="11"/>
      <c r="H500" s="11"/>
      <c r="I500" s="11"/>
      <c r="J500" s="11"/>
      <c r="K500" s="11"/>
      <c r="L500" s="11"/>
      <c r="M500" s="11"/>
      <c r="N500" s="11"/>
      <c r="O500" s="11"/>
      <c r="P500" s="11"/>
    </row>
    <row r="501" spans="1:16">
      <c r="A501" s="11"/>
      <c r="B501" s="11"/>
      <c r="C501" s="11"/>
      <c r="D501" s="11"/>
      <c r="E501" s="11"/>
      <c r="F501" s="11"/>
      <c r="G501" s="11"/>
      <c r="H501" s="11"/>
      <c r="I501" s="11"/>
      <c r="J501" s="11"/>
      <c r="K501" s="11"/>
      <c r="L501" s="11"/>
      <c r="M501" s="11"/>
      <c r="N501" s="11"/>
      <c r="O501" s="11"/>
      <c r="P501" s="11"/>
    </row>
    <row r="502" spans="1:16">
      <c r="A502" s="11"/>
      <c r="B502" s="11"/>
      <c r="C502" s="11"/>
      <c r="D502" s="11"/>
      <c r="E502" s="11"/>
      <c r="F502" s="11"/>
      <c r="G502" s="11"/>
      <c r="H502" s="11"/>
      <c r="I502" s="11"/>
      <c r="J502" s="11"/>
      <c r="K502" s="11"/>
      <c r="L502" s="11"/>
      <c r="M502" s="11"/>
      <c r="N502" s="11"/>
      <c r="O502" s="11"/>
      <c r="P502" s="11"/>
    </row>
    <row r="503" spans="1:16">
      <c r="A503" s="11"/>
      <c r="B503" s="11"/>
      <c r="C503" s="11"/>
      <c r="D503" s="11"/>
      <c r="E503" s="11"/>
      <c r="F503" s="11"/>
      <c r="G503" s="11"/>
      <c r="H503" s="11"/>
      <c r="I503" s="11"/>
      <c r="J503" s="11"/>
      <c r="K503" s="11"/>
      <c r="L503" s="11"/>
      <c r="M503" s="11"/>
      <c r="N503" s="11"/>
      <c r="O503" s="11"/>
      <c r="P503" s="11"/>
    </row>
    <row r="504" spans="1:16">
      <c r="A504" s="11"/>
      <c r="B504" s="11"/>
      <c r="C504" s="11"/>
      <c r="D504" s="11"/>
      <c r="E504" s="11"/>
      <c r="F504" s="11"/>
      <c r="G504" s="11"/>
      <c r="H504" s="11"/>
      <c r="I504" s="11"/>
      <c r="J504" s="11"/>
      <c r="K504" s="11"/>
      <c r="L504" s="11"/>
      <c r="M504" s="11"/>
      <c r="N504" s="11"/>
      <c r="O504" s="11"/>
      <c r="P504" s="11"/>
    </row>
    <row r="505" spans="1:16">
      <c r="A505" s="11"/>
      <c r="B505" s="11"/>
      <c r="C505" s="11"/>
      <c r="D505" s="11"/>
      <c r="E505" s="11"/>
      <c r="F505" s="11"/>
      <c r="G505" s="11"/>
      <c r="H505" s="11"/>
      <c r="I505" s="11"/>
      <c r="J505" s="11"/>
      <c r="K505" s="11"/>
      <c r="L505" s="11"/>
      <c r="M505" s="11"/>
      <c r="N505" s="11"/>
      <c r="O505" s="11"/>
      <c r="P505" s="11"/>
    </row>
  </sheetData>
  <autoFilter ref="A4:P505" xr:uid="{00000000-0009-0000-0000-000025000000}"/>
  <mergeCells count="2">
    <mergeCell ref="A1:P1"/>
    <mergeCell ref="A2:P2"/>
  </mergeCells>
  <dataValidations count="1">
    <dataValidation type="list" allowBlank="1" showInputMessage="1" showErrorMessage="1" errorTitle="Valeur non reconnue" error="Choisir une valeur du référentiel." promptTitle="Saisie ToTAL" prompt="Sélectionner une valeur contrôlée." sqref="B6:B505" xr:uid="{00000000-0002-0000-2500-000000000000}">
      <formula1>Liste_08</formula1>
    </dataValidation>
  </dataValidation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11"/>
  <sheetViews>
    <sheetView showGridLines="0" workbookViewId="0">
      <pane ySplit="4" topLeftCell="A5" activePane="bottomLeft" state="frozen"/>
      <selection pane="bottomLeft"/>
    </sheetView>
  </sheetViews>
  <sheetFormatPr defaultRowHeight="15"/>
  <cols>
    <col min="1" max="1" width="22" customWidth="1"/>
    <col min="2" max="2" width="30" customWidth="1"/>
    <col min="3" max="3" width="22" customWidth="1"/>
    <col min="4" max="4" width="25" customWidth="1"/>
    <col min="5" max="5" width="22" customWidth="1"/>
    <col min="6" max="6" width="31" customWidth="1"/>
    <col min="7" max="9" width="22" customWidth="1"/>
    <col min="10" max="10" width="24" customWidth="1"/>
  </cols>
  <sheetData>
    <row r="1" spans="1:10">
      <c r="A1" s="55" t="s">
        <v>4565</v>
      </c>
      <c r="B1" s="30"/>
      <c r="C1" s="30"/>
      <c r="D1" s="30"/>
    </row>
    <row r="2" spans="1:10">
      <c r="A2" s="29" t="s">
        <v>4566</v>
      </c>
      <c r="B2" s="30"/>
      <c r="C2" s="30"/>
      <c r="D2" s="30"/>
    </row>
    <row r="4" spans="1:10">
      <c r="A4" s="50" t="s">
        <v>4137</v>
      </c>
      <c r="B4" s="50" t="s">
        <v>4567</v>
      </c>
      <c r="C4" s="50" t="s">
        <v>4441</v>
      </c>
      <c r="D4" s="50" t="s">
        <v>4568</v>
      </c>
      <c r="E4" s="50" t="s">
        <v>4569</v>
      </c>
      <c r="F4" s="50" t="s">
        <v>4570</v>
      </c>
      <c r="G4" s="50" t="s">
        <v>4571</v>
      </c>
      <c r="H4" s="50" t="s">
        <v>4572</v>
      </c>
      <c r="I4" s="50" t="s">
        <v>4573</v>
      </c>
      <c r="J4" s="50" t="s">
        <v>4574</v>
      </c>
    </row>
    <row r="5" spans="1:10">
      <c r="A5" s="12" t="s">
        <v>4144</v>
      </c>
      <c r="B5" s="12" t="s">
        <v>4575</v>
      </c>
      <c r="C5" s="12" t="s">
        <v>4576</v>
      </c>
      <c r="D5" s="12" t="s">
        <v>4577</v>
      </c>
      <c r="E5" s="12" t="s">
        <v>4578</v>
      </c>
      <c r="F5" s="12" t="s">
        <v>4435</v>
      </c>
      <c r="G5" s="12" t="s">
        <v>4579</v>
      </c>
      <c r="H5" s="12" t="s">
        <v>3036</v>
      </c>
      <c r="I5" s="12" t="s">
        <v>4257</v>
      </c>
      <c r="J5" s="12" t="s">
        <v>4256</v>
      </c>
    </row>
    <row r="6" spans="1:10">
      <c r="A6" s="12" t="s">
        <v>4152</v>
      </c>
      <c r="B6" s="12" t="s">
        <v>4580</v>
      </c>
      <c r="C6" s="12" t="s">
        <v>4581</v>
      </c>
      <c r="D6" s="12" t="s">
        <v>4582</v>
      </c>
      <c r="E6" s="12" t="s">
        <v>4583</v>
      </c>
      <c r="F6" s="12" t="s">
        <v>4584</v>
      </c>
      <c r="G6" s="12" t="s">
        <v>4585</v>
      </c>
      <c r="H6" s="12" t="s">
        <v>3039</v>
      </c>
      <c r="I6" s="12" t="s">
        <v>4586</v>
      </c>
      <c r="J6" s="12" t="s">
        <v>2111</v>
      </c>
    </row>
    <row r="7" spans="1:10">
      <c r="A7" s="12" t="s">
        <v>4160</v>
      </c>
      <c r="B7" s="12" t="s">
        <v>4256</v>
      </c>
      <c r="C7" s="12" t="s">
        <v>4587</v>
      </c>
      <c r="D7" s="12" t="s">
        <v>4588</v>
      </c>
      <c r="E7" s="12" t="s">
        <v>4588</v>
      </c>
      <c r="F7" s="12" t="s">
        <v>4589</v>
      </c>
      <c r="G7" s="12" t="s">
        <v>4590</v>
      </c>
      <c r="H7" s="12" t="s">
        <v>3042</v>
      </c>
      <c r="I7" s="12" t="s">
        <v>4591</v>
      </c>
      <c r="J7" s="12" t="s">
        <v>4592</v>
      </c>
    </row>
    <row r="8" spans="1:10">
      <c r="A8" s="12" t="s">
        <v>4168</v>
      </c>
      <c r="C8" s="12" t="s">
        <v>4593</v>
      </c>
      <c r="D8" s="12" t="s">
        <v>4594</v>
      </c>
      <c r="E8" s="12" t="s">
        <v>4595</v>
      </c>
      <c r="F8" s="12" t="s">
        <v>4596</v>
      </c>
      <c r="G8" s="12" t="s">
        <v>4597</v>
      </c>
      <c r="H8" s="12" t="s">
        <v>3045</v>
      </c>
      <c r="I8" s="12" t="s">
        <v>4598</v>
      </c>
      <c r="J8" s="12" t="s">
        <v>4599</v>
      </c>
    </row>
    <row r="9" spans="1:10">
      <c r="A9" s="12" t="s">
        <v>4176</v>
      </c>
      <c r="F9" s="12" t="s">
        <v>4600</v>
      </c>
      <c r="G9" s="12" t="s">
        <v>4598</v>
      </c>
      <c r="H9" s="12" t="s">
        <v>3048</v>
      </c>
      <c r="J9" s="12" t="s">
        <v>4601</v>
      </c>
    </row>
    <row r="10" spans="1:10">
      <c r="A10" s="12" t="s">
        <v>4183</v>
      </c>
      <c r="H10" s="12" t="s">
        <v>3051</v>
      </c>
    </row>
    <row r="11" spans="1:10">
      <c r="A11" s="12" t="s">
        <v>4191</v>
      </c>
    </row>
  </sheetData>
  <mergeCells count="2">
    <mergeCell ref="A1:D1"/>
    <mergeCell ref="A2:D2"/>
  </mergeCells>
  <pageMargins left="0.75" right="0.75" top="1" bottom="1" header="0.5" footer="0.5"/>
</worksheet>
</file>

<file path=docMetadata/LabelInfo.xml><?xml version="1.0" encoding="utf-8"?>
<clbl:labelList xmlns:clbl="http://schemas.microsoft.com/office/2020/mipLabelMetadata">
  <clbl:label id="{6be7ebee-5b98-4973-86ef-ae3752ea54e7}" enabled="1" method="Standar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Registre maître ToTAL du test, version initiale finale</dc:title>
  <dc:subject>Découverte, clarification, réconciliation et redressement du test logiciel</dc:subject>
  <dc:creator>Belanger, Michel</dc:creator>
  <cp:keywords/>
  <dc:description>Classeur maître unique consolidant toutes les feuilles disponibles et les fondations historiques, avec la liste primaire comme autorité de pilotage.</dc:description>
  <cp:lastModifiedBy/>
  <cp:revision/>
  <dcterms:created xsi:type="dcterms:W3CDTF">2026-09-22T01:48:19Z</dcterms:created>
  <dcterms:modified xsi:type="dcterms:W3CDTF">2026-09-22T01:53:10Z</dcterms:modified>
  <cp:category/>
  <cp:contentStatus/>
</cp:coreProperties>
</file>